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wid/Library/Mobile Documents/com~apple~CloudDocs/Dokumenty/Projekty/NSMT/AI_GUM/2024/Opole/analizy_vs_opole/optics/"/>
    </mc:Choice>
  </mc:AlternateContent>
  <xr:revisionPtr revIDLastSave="0" documentId="13_ncr:1_{5829EFA5-D746-5347-B85F-F449AE9F5CF0}" xr6:coauthVersionLast="47" xr6:coauthVersionMax="47" xr10:uidLastSave="{00000000-0000-0000-0000-000000000000}"/>
  <bookViews>
    <workbookView xWindow="0" yWindow="500" windowWidth="29040" windowHeight="15840" tabRatio="782" xr2:uid="{00000000-000D-0000-FFFF-FFFF00000000}"/>
  </bookViews>
  <sheets>
    <sheet name="Baza" sheetId="1" r:id="rId1"/>
    <sheet name="Par_S_005" sheetId="7" r:id="rId2"/>
    <sheet name="Par_S_005 Graph" sheetId="10" r:id="rId3"/>
    <sheet name="Par_S_05" sheetId="8" r:id="rId4"/>
    <sheet name="Par_S_05 Graph" sheetId="11" r:id="rId5"/>
    <sheet name="Par_P_005" sheetId="3" r:id="rId6"/>
    <sheet name="Par_P_05" sheetId="4" r:id="rId7"/>
    <sheet name="Par_R_005" sheetId="5" r:id="rId8"/>
    <sheet name="Par_R_005_Graph" sheetId="13" r:id="rId9"/>
    <sheet name="Par_R_05" sheetId="6" r:id="rId10"/>
    <sheet name="Par_R_05_Graph" sheetId="14" r:id="rId11"/>
    <sheet name="Punty NM" sheetId="2" r:id="rId12"/>
    <sheet name="Punty NM Graph" sheetId="9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14" l="1"/>
  <c r="B18" i="14"/>
  <c r="C17" i="14"/>
  <c r="B17" i="14"/>
  <c r="C16" i="14"/>
  <c r="B16" i="14"/>
  <c r="C15" i="14"/>
  <c r="B15" i="14"/>
  <c r="C14" i="14"/>
  <c r="B14" i="14"/>
  <c r="C13" i="14"/>
  <c r="B13" i="14"/>
  <c r="C12" i="14"/>
  <c r="B12" i="14"/>
  <c r="C11" i="14"/>
  <c r="B11" i="14"/>
  <c r="C10" i="14"/>
  <c r="B10" i="14"/>
  <c r="C9" i="14"/>
  <c r="B9" i="14"/>
  <c r="C8" i="14"/>
  <c r="B8" i="14"/>
  <c r="C7" i="14"/>
  <c r="B7" i="14"/>
  <c r="C6" i="14"/>
  <c r="B6" i="14"/>
  <c r="C5" i="14"/>
  <c r="B5" i="14"/>
  <c r="C4" i="14"/>
  <c r="C1" i="14" s="1"/>
  <c r="B4" i="14"/>
  <c r="B1" i="14" s="1"/>
  <c r="C3" i="14"/>
  <c r="B3" i="14"/>
  <c r="D2" i="14"/>
  <c r="D9" i="14" s="1"/>
  <c r="C18" i="13"/>
  <c r="B18" i="13"/>
  <c r="C17" i="13"/>
  <c r="B17" i="13"/>
  <c r="C16" i="13"/>
  <c r="B16" i="13"/>
  <c r="C15" i="13"/>
  <c r="B15" i="13"/>
  <c r="C14" i="13"/>
  <c r="B14" i="13"/>
  <c r="C13" i="13"/>
  <c r="B13" i="13"/>
  <c r="C12" i="13"/>
  <c r="B12" i="13"/>
  <c r="C11" i="13"/>
  <c r="B11" i="13"/>
  <c r="C10" i="13"/>
  <c r="B10" i="13"/>
  <c r="C9" i="13"/>
  <c r="B9" i="13"/>
  <c r="C8" i="13"/>
  <c r="B8" i="13"/>
  <c r="C7" i="13"/>
  <c r="B7" i="13"/>
  <c r="C6" i="13"/>
  <c r="B6" i="13"/>
  <c r="C5" i="13"/>
  <c r="B5" i="13"/>
  <c r="C4" i="13"/>
  <c r="C1" i="13" s="1"/>
  <c r="B4" i="13"/>
  <c r="B1" i="13" s="1"/>
  <c r="C3" i="13"/>
  <c r="B3" i="13"/>
  <c r="D2" i="13"/>
  <c r="D17" i="13" s="1"/>
  <c r="U8" i="14" l="1"/>
  <c r="U9" i="14"/>
  <c r="U11" i="14"/>
  <c r="U17" i="14"/>
  <c r="U6" i="13"/>
  <c r="D14" i="13"/>
  <c r="D9" i="13"/>
  <c r="U14" i="14"/>
  <c r="U10" i="13"/>
  <c r="U11" i="13"/>
  <c r="U6" i="14"/>
  <c r="U12" i="14"/>
  <c r="U16" i="14"/>
  <c r="U10" i="14"/>
  <c r="U15" i="14"/>
  <c r="U7" i="14"/>
  <c r="U13" i="14"/>
  <c r="U18" i="14"/>
  <c r="D12" i="14"/>
  <c r="D17" i="14"/>
  <c r="D3" i="14"/>
  <c r="D8" i="14"/>
  <c r="D11" i="14"/>
  <c r="D14" i="14"/>
  <c r="D16" i="14"/>
  <c r="E2" i="14"/>
  <c r="D5" i="14"/>
  <c r="D7" i="14"/>
  <c r="D10" i="14"/>
  <c r="D13" i="14"/>
  <c r="D15" i="14"/>
  <c r="D18" i="14"/>
  <c r="D4" i="14"/>
  <c r="D1" i="14" s="1"/>
  <c r="D6" i="14"/>
  <c r="D6" i="13"/>
  <c r="D11" i="13"/>
  <c r="D16" i="13"/>
  <c r="U9" i="13"/>
  <c r="U17" i="13"/>
  <c r="U13" i="13"/>
  <c r="U12" i="13"/>
  <c r="D3" i="13"/>
  <c r="D8" i="13"/>
  <c r="U7" i="13"/>
  <c r="U16" i="13"/>
  <c r="U15" i="13"/>
  <c r="U8" i="13"/>
  <c r="U14" i="13"/>
  <c r="U18" i="13"/>
  <c r="D5" i="13"/>
  <c r="D7" i="13"/>
  <c r="D10" i="13"/>
  <c r="D13" i="13"/>
  <c r="D15" i="13"/>
  <c r="D18" i="13"/>
  <c r="E2" i="13"/>
  <c r="D4" i="13"/>
  <c r="D1" i="13" s="1"/>
  <c r="D12" i="13"/>
  <c r="S18" i="11"/>
  <c r="R18" i="11"/>
  <c r="Q18" i="11"/>
  <c r="P18" i="11"/>
  <c r="O18" i="11"/>
  <c r="N18" i="11"/>
  <c r="M18" i="11"/>
  <c r="L18" i="11"/>
  <c r="K18" i="11"/>
  <c r="J18" i="11"/>
  <c r="I18" i="11"/>
  <c r="H18" i="11"/>
  <c r="G18" i="11"/>
  <c r="F18" i="11"/>
  <c r="E18" i="11"/>
  <c r="D18" i="11"/>
  <c r="C18" i="11"/>
  <c r="B18" i="11"/>
  <c r="S17" i="11"/>
  <c r="R17" i="11"/>
  <c r="Q17" i="11"/>
  <c r="P17" i="11"/>
  <c r="O17" i="11"/>
  <c r="N17" i="11"/>
  <c r="M17" i="11"/>
  <c r="L17" i="11"/>
  <c r="K17" i="11"/>
  <c r="J17" i="11"/>
  <c r="I17" i="11"/>
  <c r="H17" i="11"/>
  <c r="G17" i="11"/>
  <c r="F17" i="11"/>
  <c r="E17" i="11"/>
  <c r="D17" i="11"/>
  <c r="C17" i="11"/>
  <c r="B17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G16" i="11"/>
  <c r="F16" i="11"/>
  <c r="E16" i="11"/>
  <c r="D16" i="11"/>
  <c r="C16" i="11"/>
  <c r="B16" i="11"/>
  <c r="S15" i="11"/>
  <c r="R15" i="11"/>
  <c r="Q15" i="11"/>
  <c r="P15" i="11"/>
  <c r="O15" i="11"/>
  <c r="N15" i="11"/>
  <c r="M15" i="11"/>
  <c r="L15" i="11"/>
  <c r="K15" i="11"/>
  <c r="J15" i="11"/>
  <c r="I15" i="11"/>
  <c r="H15" i="11"/>
  <c r="G15" i="11"/>
  <c r="F15" i="11"/>
  <c r="E15" i="11"/>
  <c r="D15" i="11"/>
  <c r="C15" i="11"/>
  <c r="B15" i="11"/>
  <c r="S14" i="11"/>
  <c r="R14" i="11"/>
  <c r="Q14" i="11"/>
  <c r="P14" i="11"/>
  <c r="O14" i="11"/>
  <c r="N14" i="11"/>
  <c r="M14" i="11"/>
  <c r="L14" i="11"/>
  <c r="K14" i="11"/>
  <c r="J14" i="11"/>
  <c r="I14" i="11"/>
  <c r="H14" i="11"/>
  <c r="G14" i="11"/>
  <c r="F14" i="11"/>
  <c r="E14" i="11"/>
  <c r="D14" i="11"/>
  <c r="C14" i="11"/>
  <c r="B14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G13" i="11"/>
  <c r="F13" i="11"/>
  <c r="E13" i="11"/>
  <c r="D13" i="11"/>
  <c r="C13" i="11"/>
  <c r="B13" i="11"/>
  <c r="S12" i="11"/>
  <c r="R12" i="11"/>
  <c r="Q12" i="11"/>
  <c r="P12" i="11"/>
  <c r="O12" i="11"/>
  <c r="N12" i="11"/>
  <c r="M12" i="11"/>
  <c r="L12" i="11"/>
  <c r="K12" i="11"/>
  <c r="J12" i="11"/>
  <c r="I12" i="11"/>
  <c r="H12" i="11"/>
  <c r="G12" i="11"/>
  <c r="F12" i="11"/>
  <c r="E12" i="11"/>
  <c r="D12" i="11"/>
  <c r="C12" i="11"/>
  <c r="B12" i="11"/>
  <c r="S11" i="11"/>
  <c r="R11" i="11"/>
  <c r="Q11" i="11"/>
  <c r="P11" i="11"/>
  <c r="O11" i="11"/>
  <c r="N11" i="11"/>
  <c r="M11" i="11"/>
  <c r="L11" i="11"/>
  <c r="K11" i="11"/>
  <c r="J11" i="11"/>
  <c r="I11" i="11"/>
  <c r="H11" i="11"/>
  <c r="G11" i="11"/>
  <c r="F11" i="11"/>
  <c r="E11" i="11"/>
  <c r="D11" i="11"/>
  <c r="C11" i="11"/>
  <c r="B11" i="11"/>
  <c r="S10" i="11"/>
  <c r="R10" i="11"/>
  <c r="Q10" i="11"/>
  <c r="P10" i="11"/>
  <c r="O10" i="11"/>
  <c r="N10" i="11"/>
  <c r="M10" i="11"/>
  <c r="L10" i="11"/>
  <c r="K10" i="11"/>
  <c r="J10" i="11"/>
  <c r="I10" i="11"/>
  <c r="H10" i="11"/>
  <c r="G10" i="11"/>
  <c r="F10" i="11"/>
  <c r="E10" i="11"/>
  <c r="D10" i="11"/>
  <c r="C10" i="11"/>
  <c r="B10" i="11"/>
  <c r="S9" i="11"/>
  <c r="R9" i="11"/>
  <c r="Q9" i="11"/>
  <c r="P9" i="11"/>
  <c r="O9" i="11"/>
  <c r="N9" i="11"/>
  <c r="M9" i="11"/>
  <c r="L9" i="11"/>
  <c r="K9" i="11"/>
  <c r="J9" i="11"/>
  <c r="I9" i="11"/>
  <c r="H9" i="11"/>
  <c r="G9" i="11"/>
  <c r="F9" i="11"/>
  <c r="E9" i="11"/>
  <c r="D9" i="11"/>
  <c r="C9" i="11"/>
  <c r="B9" i="11"/>
  <c r="S8" i="11"/>
  <c r="R8" i="11"/>
  <c r="Q8" i="11"/>
  <c r="P8" i="11"/>
  <c r="O8" i="11"/>
  <c r="N8" i="11"/>
  <c r="M8" i="11"/>
  <c r="L8" i="11"/>
  <c r="K8" i="11"/>
  <c r="J8" i="11"/>
  <c r="I8" i="11"/>
  <c r="H8" i="11"/>
  <c r="G8" i="11"/>
  <c r="F8" i="11"/>
  <c r="E8" i="11"/>
  <c r="D8" i="11"/>
  <c r="C8" i="11"/>
  <c r="B8" i="11"/>
  <c r="S7" i="11"/>
  <c r="R7" i="11"/>
  <c r="Q7" i="11"/>
  <c r="P7" i="11"/>
  <c r="O7" i="11"/>
  <c r="N7" i="11"/>
  <c r="M7" i="11"/>
  <c r="L7" i="11"/>
  <c r="K7" i="11"/>
  <c r="J7" i="11"/>
  <c r="I7" i="11"/>
  <c r="H7" i="11"/>
  <c r="G7" i="11"/>
  <c r="F7" i="11"/>
  <c r="E7" i="11"/>
  <c r="D7" i="11"/>
  <c r="C7" i="11"/>
  <c r="B7" i="11"/>
  <c r="S6" i="11"/>
  <c r="R6" i="11"/>
  <c r="Q6" i="11"/>
  <c r="P6" i="11"/>
  <c r="O6" i="11"/>
  <c r="N6" i="11"/>
  <c r="M6" i="11"/>
  <c r="L6" i="11"/>
  <c r="K6" i="11"/>
  <c r="J6" i="11"/>
  <c r="I6" i="11"/>
  <c r="H6" i="11"/>
  <c r="G6" i="11"/>
  <c r="F6" i="11"/>
  <c r="E6" i="11"/>
  <c r="D6" i="11"/>
  <c r="C6" i="11"/>
  <c r="B6" i="11"/>
  <c r="S5" i="11"/>
  <c r="R5" i="11"/>
  <c r="Q5" i="11"/>
  <c r="P5" i="11"/>
  <c r="O5" i="11"/>
  <c r="N5" i="11"/>
  <c r="M5" i="11"/>
  <c r="L5" i="11"/>
  <c r="K5" i="11"/>
  <c r="J5" i="11"/>
  <c r="I5" i="11"/>
  <c r="H5" i="11"/>
  <c r="G5" i="11"/>
  <c r="F5" i="11"/>
  <c r="E5" i="11"/>
  <c r="D5" i="11"/>
  <c r="C5" i="11"/>
  <c r="B5" i="11"/>
  <c r="S4" i="11"/>
  <c r="S1" i="11" s="1"/>
  <c r="R4" i="11"/>
  <c r="R1" i="11" s="1"/>
  <c r="Q4" i="11"/>
  <c r="Q1" i="11" s="1"/>
  <c r="P4" i="11"/>
  <c r="P1" i="11" s="1"/>
  <c r="O4" i="11"/>
  <c r="O1" i="11" s="1"/>
  <c r="N4" i="11"/>
  <c r="N1" i="11" s="1"/>
  <c r="M4" i="11"/>
  <c r="M1" i="11" s="1"/>
  <c r="L4" i="11"/>
  <c r="L1" i="11" s="1"/>
  <c r="K4" i="11"/>
  <c r="K1" i="11" s="1"/>
  <c r="J4" i="11"/>
  <c r="J1" i="11" s="1"/>
  <c r="I4" i="11"/>
  <c r="I1" i="11" s="1"/>
  <c r="H4" i="11"/>
  <c r="H1" i="11" s="1"/>
  <c r="G4" i="11"/>
  <c r="G1" i="11" s="1"/>
  <c r="F4" i="11"/>
  <c r="F1" i="11" s="1"/>
  <c r="E4" i="11"/>
  <c r="E1" i="11" s="1"/>
  <c r="D4" i="11"/>
  <c r="D1" i="11" s="1"/>
  <c r="C4" i="11"/>
  <c r="C1" i="11" s="1"/>
  <c r="B4" i="11"/>
  <c r="B1" i="11" s="1"/>
  <c r="S3" i="11"/>
  <c r="R3" i="11"/>
  <c r="Q3" i="11"/>
  <c r="P3" i="11"/>
  <c r="O3" i="11"/>
  <c r="N3" i="11"/>
  <c r="M3" i="11"/>
  <c r="L3" i="11"/>
  <c r="K3" i="11"/>
  <c r="J3" i="11"/>
  <c r="I3" i="11"/>
  <c r="H3" i="11"/>
  <c r="G3" i="11"/>
  <c r="F3" i="11"/>
  <c r="E3" i="11"/>
  <c r="D3" i="11"/>
  <c r="C3" i="11"/>
  <c r="B3" i="11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B18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D17" i="10"/>
  <c r="C17" i="10"/>
  <c r="B17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B16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B15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B14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B13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B12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D11" i="10"/>
  <c r="C11" i="10"/>
  <c r="B11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B10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B9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D8" i="10"/>
  <c r="C8" i="10"/>
  <c r="B8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B7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B6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B5" i="10"/>
  <c r="S4" i="10"/>
  <c r="S1" i="10" s="1"/>
  <c r="R4" i="10"/>
  <c r="R1" i="10" s="1"/>
  <c r="Q4" i="10"/>
  <c r="P4" i="10"/>
  <c r="P1" i="10" s="1"/>
  <c r="O4" i="10"/>
  <c r="O1" i="10" s="1"/>
  <c r="N4" i="10"/>
  <c r="N1" i="10" s="1"/>
  <c r="M4" i="10"/>
  <c r="M1" i="10" s="1"/>
  <c r="L4" i="10"/>
  <c r="L1" i="10" s="1"/>
  <c r="K4" i="10"/>
  <c r="K1" i="10" s="1"/>
  <c r="J4" i="10"/>
  <c r="J1" i="10" s="1"/>
  <c r="I4" i="10"/>
  <c r="I1" i="10" s="1"/>
  <c r="H4" i="10"/>
  <c r="H1" i="10" s="1"/>
  <c r="G4" i="10"/>
  <c r="G1" i="10" s="1"/>
  <c r="F4" i="10"/>
  <c r="F1" i="10" s="1"/>
  <c r="E4" i="10"/>
  <c r="E1" i="10" s="1"/>
  <c r="D4" i="10"/>
  <c r="D1" i="10" s="1"/>
  <c r="C4" i="10"/>
  <c r="C1" i="10" s="1"/>
  <c r="B4" i="10"/>
  <c r="B1" i="10" s="1"/>
  <c r="S3" i="10"/>
  <c r="R3" i="10"/>
  <c r="Q3" i="10"/>
  <c r="P3" i="10"/>
  <c r="O3" i="10"/>
  <c r="N3" i="10"/>
  <c r="M3" i="10"/>
  <c r="L3" i="10"/>
  <c r="K3" i="10"/>
  <c r="J3" i="10"/>
  <c r="I3" i="10"/>
  <c r="H3" i="10"/>
  <c r="G3" i="10"/>
  <c r="F3" i="10"/>
  <c r="E3" i="10"/>
  <c r="D3" i="10"/>
  <c r="C3" i="10"/>
  <c r="B3" i="10"/>
  <c r="Q1" i="10"/>
  <c r="I17" i="9"/>
  <c r="H17" i="9"/>
  <c r="G17" i="9"/>
  <c r="F17" i="9"/>
  <c r="E17" i="9"/>
  <c r="D17" i="9"/>
  <c r="C17" i="9"/>
  <c r="B17" i="9"/>
  <c r="I16" i="9"/>
  <c r="H16" i="9"/>
  <c r="G16" i="9"/>
  <c r="F16" i="9"/>
  <c r="E16" i="9"/>
  <c r="D16" i="9"/>
  <c r="C16" i="9"/>
  <c r="B16" i="9"/>
  <c r="I15" i="9"/>
  <c r="H15" i="9"/>
  <c r="G15" i="9"/>
  <c r="F15" i="9"/>
  <c r="E15" i="9"/>
  <c r="D15" i="9"/>
  <c r="C15" i="9"/>
  <c r="B15" i="9"/>
  <c r="I14" i="9"/>
  <c r="H14" i="9"/>
  <c r="G14" i="9"/>
  <c r="F14" i="9"/>
  <c r="E14" i="9"/>
  <c r="D14" i="9"/>
  <c r="C14" i="9"/>
  <c r="B14" i="9"/>
  <c r="I13" i="9"/>
  <c r="H13" i="9"/>
  <c r="G13" i="9"/>
  <c r="F13" i="9"/>
  <c r="E13" i="9"/>
  <c r="D13" i="9"/>
  <c r="C13" i="9"/>
  <c r="B13" i="9"/>
  <c r="I12" i="9"/>
  <c r="H12" i="9"/>
  <c r="G12" i="9"/>
  <c r="F12" i="9"/>
  <c r="E12" i="9"/>
  <c r="D12" i="9"/>
  <c r="C12" i="9"/>
  <c r="B12" i="9"/>
  <c r="I11" i="9"/>
  <c r="H11" i="9"/>
  <c r="G11" i="9"/>
  <c r="F11" i="9"/>
  <c r="E11" i="9"/>
  <c r="D11" i="9"/>
  <c r="C11" i="9"/>
  <c r="B11" i="9"/>
  <c r="I10" i="9"/>
  <c r="H10" i="9"/>
  <c r="G10" i="9"/>
  <c r="F10" i="9"/>
  <c r="E10" i="9"/>
  <c r="D10" i="9"/>
  <c r="C10" i="9"/>
  <c r="B10" i="9"/>
  <c r="I9" i="9"/>
  <c r="H9" i="9"/>
  <c r="G9" i="9"/>
  <c r="F9" i="9"/>
  <c r="E9" i="9"/>
  <c r="D9" i="9"/>
  <c r="C9" i="9"/>
  <c r="B9" i="9"/>
  <c r="J9" i="9" s="1"/>
  <c r="M9" i="9" s="1"/>
  <c r="I8" i="9"/>
  <c r="H8" i="9"/>
  <c r="G8" i="9"/>
  <c r="F8" i="9"/>
  <c r="E8" i="9"/>
  <c r="D8" i="9"/>
  <c r="C8" i="9"/>
  <c r="B8" i="9"/>
  <c r="I7" i="9"/>
  <c r="L7" i="9" s="1"/>
  <c r="O7" i="9" s="1"/>
  <c r="H7" i="9"/>
  <c r="G7" i="9"/>
  <c r="F7" i="9"/>
  <c r="E7" i="9"/>
  <c r="D7" i="9"/>
  <c r="C7" i="9"/>
  <c r="B7" i="9"/>
  <c r="I6" i="9"/>
  <c r="H6" i="9"/>
  <c r="G6" i="9"/>
  <c r="F6" i="9"/>
  <c r="E6" i="9"/>
  <c r="D6" i="9"/>
  <c r="C6" i="9"/>
  <c r="B6" i="9"/>
  <c r="I5" i="9"/>
  <c r="L5" i="9" s="1"/>
  <c r="H5" i="9"/>
  <c r="G5" i="9"/>
  <c r="F5" i="9"/>
  <c r="E5" i="9"/>
  <c r="D5" i="9"/>
  <c r="C5" i="9"/>
  <c r="B5" i="9"/>
  <c r="I4" i="9"/>
  <c r="H4" i="9"/>
  <c r="G4" i="9"/>
  <c r="F4" i="9"/>
  <c r="E4" i="9"/>
  <c r="D4" i="9"/>
  <c r="C4" i="9"/>
  <c r="B4" i="9"/>
  <c r="I3" i="9"/>
  <c r="H3" i="9"/>
  <c r="G3" i="9"/>
  <c r="F3" i="9"/>
  <c r="E3" i="9"/>
  <c r="D3" i="9"/>
  <c r="C3" i="9"/>
  <c r="B3" i="9"/>
  <c r="I2" i="9"/>
  <c r="H2" i="9"/>
  <c r="G2" i="9"/>
  <c r="F2" i="9"/>
  <c r="E2" i="9"/>
  <c r="D2" i="9"/>
  <c r="C2" i="9"/>
  <c r="B2" i="9"/>
  <c r="J8" i="9" l="1"/>
  <c r="M8" i="9" s="1"/>
  <c r="J14" i="9"/>
  <c r="M14" i="9" s="1"/>
  <c r="L6" i="9"/>
  <c r="L10" i="9"/>
  <c r="J10" i="9"/>
  <c r="M10" i="9" s="1"/>
  <c r="K11" i="9"/>
  <c r="J13" i="9"/>
  <c r="M13" i="9" s="1"/>
  <c r="K13" i="9"/>
  <c r="N13" i="9" s="1"/>
  <c r="J7" i="9"/>
  <c r="M7" i="9" s="1"/>
  <c r="L9" i="9"/>
  <c r="O9" i="9" s="1"/>
  <c r="L17" i="9"/>
  <c r="O17" i="9" s="1"/>
  <c r="K7" i="9"/>
  <c r="N7" i="9" s="1"/>
  <c r="L13" i="9"/>
  <c r="O13" i="9" s="1"/>
  <c r="K8" i="9"/>
  <c r="N8" i="9" s="1"/>
  <c r="K9" i="9"/>
  <c r="N9" i="9" s="1"/>
  <c r="J15" i="9"/>
  <c r="M15" i="9" s="1"/>
  <c r="J16" i="9"/>
  <c r="M16" i="9" s="1"/>
  <c r="K17" i="9"/>
  <c r="N17" i="9" s="1"/>
  <c r="J6" i="9"/>
  <c r="M6" i="9" s="1"/>
  <c r="L12" i="9"/>
  <c r="O12" i="9" s="1"/>
  <c r="O6" i="9"/>
  <c r="N11" i="9"/>
  <c r="L15" i="9"/>
  <c r="O15" i="9" s="1"/>
  <c r="E17" i="14"/>
  <c r="E9" i="14"/>
  <c r="E6" i="14"/>
  <c r="E4" i="14"/>
  <c r="E1" i="14" s="1"/>
  <c r="E18" i="14"/>
  <c r="E15" i="14"/>
  <c r="E13" i="14"/>
  <c r="E10" i="14"/>
  <c r="E7" i="14"/>
  <c r="F2" i="14"/>
  <c r="E5" i="14"/>
  <c r="E16" i="14"/>
  <c r="E14" i="14"/>
  <c r="E11" i="14"/>
  <c r="E8" i="14"/>
  <c r="E3" i="14"/>
  <c r="E12" i="14"/>
  <c r="E17" i="13"/>
  <c r="E12" i="13"/>
  <c r="E9" i="13"/>
  <c r="E6" i="13"/>
  <c r="E4" i="13"/>
  <c r="E1" i="13" s="1"/>
  <c r="E5" i="13"/>
  <c r="E16" i="13"/>
  <c r="E11" i="13"/>
  <c r="E18" i="13"/>
  <c r="E15" i="13"/>
  <c r="E13" i="13"/>
  <c r="E10" i="13"/>
  <c r="E7" i="13"/>
  <c r="E3" i="13"/>
  <c r="F2" i="13"/>
  <c r="E14" i="13"/>
  <c r="E8" i="13"/>
  <c r="K12" i="9"/>
  <c r="N12" i="9" s="1"/>
  <c r="L8" i="9"/>
  <c r="O8" i="9" s="1"/>
  <c r="J5" i="9"/>
  <c r="M5" i="9" s="1"/>
  <c r="K6" i="9"/>
  <c r="N6" i="9" s="1"/>
  <c r="K16" i="9"/>
  <c r="N16" i="9" s="1"/>
  <c r="K15" i="9"/>
  <c r="N15" i="9" s="1"/>
  <c r="J17" i="9"/>
  <c r="M17" i="9" s="1"/>
  <c r="J12" i="9"/>
  <c r="M12" i="9" s="1"/>
  <c r="K14" i="9"/>
  <c r="N14" i="9" s="1"/>
  <c r="J11" i="9"/>
  <c r="M11" i="9" s="1"/>
  <c r="L16" i="9"/>
  <c r="O16" i="9" s="1"/>
  <c r="K10" i="9"/>
  <c r="N10" i="9" s="1"/>
  <c r="O10" i="9"/>
  <c r="O5" i="9"/>
  <c r="L11" i="9"/>
  <c r="O11" i="9" s="1"/>
  <c r="K5" i="9"/>
  <c r="N5" i="9" s="1"/>
  <c r="L14" i="9"/>
  <c r="O14" i="9" s="1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C4" i="8"/>
  <c r="C1" i="8" s="1"/>
  <c r="D4" i="8"/>
  <c r="D1" i="8" s="1"/>
  <c r="E4" i="8"/>
  <c r="E1" i="8" s="1"/>
  <c r="F4" i="8"/>
  <c r="F1" i="8" s="1"/>
  <c r="G4" i="8"/>
  <c r="G1" i="8" s="1"/>
  <c r="H4" i="8"/>
  <c r="H1" i="8" s="1"/>
  <c r="I4" i="8"/>
  <c r="I1" i="8" s="1"/>
  <c r="J4" i="8"/>
  <c r="K4" i="8"/>
  <c r="K1" i="8" s="1"/>
  <c r="L4" i="8"/>
  <c r="L1" i="8" s="1"/>
  <c r="M4" i="8"/>
  <c r="M1" i="8" s="1"/>
  <c r="N4" i="8"/>
  <c r="O4" i="8"/>
  <c r="O1" i="8" s="1"/>
  <c r="P4" i="8"/>
  <c r="Q4" i="8"/>
  <c r="Q1" i="8" s="1"/>
  <c r="R4" i="8"/>
  <c r="R1" i="8" s="1"/>
  <c r="S4" i="8"/>
  <c r="S1" i="8" s="1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B4" i="8"/>
  <c r="B1" i="8" s="1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3" i="8"/>
  <c r="P1" i="8"/>
  <c r="N1" i="8"/>
  <c r="J1" i="8"/>
  <c r="C3" i="7"/>
  <c r="D3" i="7"/>
  <c r="E3" i="7"/>
  <c r="F3" i="7"/>
  <c r="G3" i="7"/>
  <c r="H3" i="7"/>
  <c r="I3" i="7"/>
  <c r="J3" i="7"/>
  <c r="K3" i="7"/>
  <c r="L3" i="7"/>
  <c r="M3" i="7"/>
  <c r="N3" i="7"/>
  <c r="O3" i="7"/>
  <c r="P3" i="7"/>
  <c r="Q3" i="7"/>
  <c r="R3" i="7"/>
  <c r="S3" i="7"/>
  <c r="C4" i="7"/>
  <c r="C1" i="7" s="1"/>
  <c r="D4" i="7"/>
  <c r="D1" i="7" s="1"/>
  <c r="E4" i="7"/>
  <c r="E1" i="7" s="1"/>
  <c r="F4" i="7"/>
  <c r="F1" i="7" s="1"/>
  <c r="G4" i="7"/>
  <c r="G1" i="7" s="1"/>
  <c r="H4" i="7"/>
  <c r="H1" i="7" s="1"/>
  <c r="I4" i="7"/>
  <c r="I1" i="7" s="1"/>
  <c r="J4" i="7"/>
  <c r="J1" i="7" s="1"/>
  <c r="K4" i="7"/>
  <c r="K1" i="7" s="1"/>
  <c r="L4" i="7"/>
  <c r="L1" i="7" s="1"/>
  <c r="M4" i="7"/>
  <c r="M1" i="7" s="1"/>
  <c r="N4" i="7"/>
  <c r="N1" i="7" s="1"/>
  <c r="O4" i="7"/>
  <c r="O1" i="7" s="1"/>
  <c r="P4" i="7"/>
  <c r="P1" i="7" s="1"/>
  <c r="Q4" i="7"/>
  <c r="Q1" i="7" s="1"/>
  <c r="R4" i="7"/>
  <c r="R1" i="7" s="1"/>
  <c r="S4" i="7"/>
  <c r="S1" i="7" s="1"/>
  <c r="C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C6" i="7"/>
  <c r="D6" i="7"/>
  <c r="E6" i="7"/>
  <c r="F6" i="7"/>
  <c r="G6" i="7"/>
  <c r="H6" i="7"/>
  <c r="I6" i="7"/>
  <c r="J6" i="7"/>
  <c r="K6" i="7"/>
  <c r="L6" i="7"/>
  <c r="M6" i="7"/>
  <c r="N6" i="7"/>
  <c r="O6" i="7"/>
  <c r="P6" i="7"/>
  <c r="Q6" i="7"/>
  <c r="R6" i="7"/>
  <c r="S6" i="7"/>
  <c r="C7" i="7"/>
  <c r="D7" i="7"/>
  <c r="E7" i="7"/>
  <c r="F7" i="7"/>
  <c r="G7" i="7"/>
  <c r="H7" i="7"/>
  <c r="I7" i="7"/>
  <c r="J7" i="7"/>
  <c r="K7" i="7"/>
  <c r="L7" i="7"/>
  <c r="M7" i="7"/>
  <c r="N7" i="7"/>
  <c r="O7" i="7"/>
  <c r="P7" i="7"/>
  <c r="Q7" i="7"/>
  <c r="R7" i="7"/>
  <c r="S7" i="7"/>
  <c r="C8" i="7"/>
  <c r="D8" i="7"/>
  <c r="E8" i="7"/>
  <c r="F8" i="7"/>
  <c r="G8" i="7"/>
  <c r="H8" i="7"/>
  <c r="I8" i="7"/>
  <c r="J8" i="7"/>
  <c r="K8" i="7"/>
  <c r="L8" i="7"/>
  <c r="M8" i="7"/>
  <c r="N8" i="7"/>
  <c r="O8" i="7"/>
  <c r="P8" i="7"/>
  <c r="Q8" i="7"/>
  <c r="R8" i="7"/>
  <c r="S8" i="7"/>
  <c r="C9" i="7"/>
  <c r="D9" i="7"/>
  <c r="E9" i="7"/>
  <c r="F9" i="7"/>
  <c r="G9" i="7"/>
  <c r="H9" i="7"/>
  <c r="I9" i="7"/>
  <c r="J9" i="7"/>
  <c r="K9" i="7"/>
  <c r="L9" i="7"/>
  <c r="M9" i="7"/>
  <c r="N9" i="7"/>
  <c r="O9" i="7"/>
  <c r="P9" i="7"/>
  <c r="Q9" i="7"/>
  <c r="R9" i="7"/>
  <c r="S9" i="7"/>
  <c r="C10" i="7"/>
  <c r="D10" i="7"/>
  <c r="E10" i="7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S10" i="7"/>
  <c r="C11" i="7"/>
  <c r="D11" i="7"/>
  <c r="E11" i="7"/>
  <c r="F11" i="7"/>
  <c r="G11" i="7"/>
  <c r="H11" i="7"/>
  <c r="I11" i="7"/>
  <c r="J11" i="7"/>
  <c r="K11" i="7"/>
  <c r="L11" i="7"/>
  <c r="M11" i="7"/>
  <c r="N11" i="7"/>
  <c r="O11" i="7"/>
  <c r="P11" i="7"/>
  <c r="Q11" i="7"/>
  <c r="R11" i="7"/>
  <c r="S11" i="7"/>
  <c r="C12" i="7"/>
  <c r="D12" i="7"/>
  <c r="E12" i="7"/>
  <c r="F12" i="7"/>
  <c r="G12" i="7"/>
  <c r="H12" i="7"/>
  <c r="I12" i="7"/>
  <c r="J12" i="7"/>
  <c r="K12" i="7"/>
  <c r="L12" i="7"/>
  <c r="M12" i="7"/>
  <c r="N12" i="7"/>
  <c r="O12" i="7"/>
  <c r="P12" i="7"/>
  <c r="Q12" i="7"/>
  <c r="R12" i="7"/>
  <c r="S12" i="7"/>
  <c r="C13" i="7"/>
  <c r="D13" i="7"/>
  <c r="E13" i="7"/>
  <c r="F13" i="7"/>
  <c r="G13" i="7"/>
  <c r="H13" i="7"/>
  <c r="I13" i="7"/>
  <c r="J13" i="7"/>
  <c r="K13" i="7"/>
  <c r="L13" i="7"/>
  <c r="M13" i="7"/>
  <c r="N13" i="7"/>
  <c r="O13" i="7"/>
  <c r="P13" i="7"/>
  <c r="Q13" i="7"/>
  <c r="R13" i="7"/>
  <c r="S13" i="7"/>
  <c r="C14" i="7"/>
  <c r="D14" i="7"/>
  <c r="E14" i="7"/>
  <c r="F14" i="7"/>
  <c r="G14" i="7"/>
  <c r="H14" i="7"/>
  <c r="I14" i="7"/>
  <c r="J14" i="7"/>
  <c r="K14" i="7"/>
  <c r="L14" i="7"/>
  <c r="M14" i="7"/>
  <c r="N14" i="7"/>
  <c r="O14" i="7"/>
  <c r="P14" i="7"/>
  <c r="Q14" i="7"/>
  <c r="R14" i="7"/>
  <c r="S14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C16" i="7"/>
  <c r="D16" i="7"/>
  <c r="E16" i="7"/>
  <c r="F16" i="7"/>
  <c r="G16" i="7"/>
  <c r="H16" i="7"/>
  <c r="I16" i="7"/>
  <c r="J16" i="7"/>
  <c r="K16" i="7"/>
  <c r="L16" i="7"/>
  <c r="M16" i="7"/>
  <c r="N16" i="7"/>
  <c r="O16" i="7"/>
  <c r="P16" i="7"/>
  <c r="Q16" i="7"/>
  <c r="R16" i="7"/>
  <c r="S16" i="7"/>
  <c r="C17" i="7"/>
  <c r="D17" i="7"/>
  <c r="E17" i="7"/>
  <c r="F17" i="7"/>
  <c r="G17" i="7"/>
  <c r="H17" i="7"/>
  <c r="I17" i="7"/>
  <c r="J17" i="7"/>
  <c r="K17" i="7"/>
  <c r="L17" i="7"/>
  <c r="M17" i="7"/>
  <c r="N17" i="7"/>
  <c r="O17" i="7"/>
  <c r="P17" i="7"/>
  <c r="Q17" i="7"/>
  <c r="R17" i="7"/>
  <c r="S17" i="7"/>
  <c r="C18" i="7"/>
  <c r="D18" i="7"/>
  <c r="E18" i="7"/>
  <c r="F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C19" i="7"/>
  <c r="D19" i="7"/>
  <c r="E19" i="7"/>
  <c r="F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4" i="7"/>
  <c r="B1" i="7" s="1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3" i="7"/>
  <c r="D3" i="6"/>
  <c r="D4" i="6"/>
  <c r="D1" i="6" s="1"/>
  <c r="D12" i="6"/>
  <c r="D13" i="6"/>
  <c r="D18" i="6"/>
  <c r="C4" i="6"/>
  <c r="C1" i="6" s="1"/>
  <c r="C5" i="6"/>
  <c r="C6" i="6"/>
  <c r="C7" i="6"/>
  <c r="C8" i="6"/>
  <c r="C9" i="6"/>
  <c r="C10" i="6"/>
  <c r="C11" i="6"/>
  <c r="C12" i="6"/>
  <c r="U12" i="6" s="1"/>
  <c r="C13" i="6"/>
  <c r="C14" i="6"/>
  <c r="C15" i="6"/>
  <c r="C16" i="6"/>
  <c r="U16" i="6" s="1"/>
  <c r="C17" i="6"/>
  <c r="C18" i="6"/>
  <c r="C19" i="6"/>
  <c r="C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3" i="6"/>
  <c r="D2" i="6"/>
  <c r="D14" i="6" s="1"/>
  <c r="B1" i="6"/>
  <c r="C4" i="5"/>
  <c r="C1" i="5" s="1"/>
  <c r="C5" i="5"/>
  <c r="C6" i="5"/>
  <c r="C7" i="5"/>
  <c r="C8" i="5"/>
  <c r="C9" i="5"/>
  <c r="C10" i="5"/>
  <c r="C11" i="5"/>
  <c r="C12" i="5"/>
  <c r="U12" i="5" s="1"/>
  <c r="C13" i="5"/>
  <c r="C14" i="5"/>
  <c r="C15" i="5"/>
  <c r="C16" i="5"/>
  <c r="C17" i="5"/>
  <c r="C18" i="5"/>
  <c r="C19" i="5"/>
  <c r="C3" i="5"/>
  <c r="B4" i="5"/>
  <c r="B1" i="5" s="1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3" i="5"/>
  <c r="D2" i="5"/>
  <c r="E2" i="5" s="1"/>
  <c r="C3" i="4"/>
  <c r="C4" i="4"/>
  <c r="C1" i="4" s="1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B4" i="4"/>
  <c r="B1" i="4" s="1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3" i="4"/>
  <c r="D2" i="4"/>
  <c r="D19" i="4" s="1"/>
  <c r="C4" i="3"/>
  <c r="C1" i="3" s="1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3" i="3"/>
  <c r="B4" i="3"/>
  <c r="B1" i="3" s="1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D2" i="3"/>
  <c r="D6" i="3" s="1"/>
  <c r="B3" i="3"/>
  <c r="B3" i="2"/>
  <c r="C3" i="2"/>
  <c r="D3" i="2"/>
  <c r="E3" i="2"/>
  <c r="F3" i="2"/>
  <c r="G3" i="2"/>
  <c r="H3" i="2"/>
  <c r="I3" i="2"/>
  <c r="B4" i="2"/>
  <c r="C4" i="2"/>
  <c r="D4" i="2"/>
  <c r="E4" i="2"/>
  <c r="F4" i="2"/>
  <c r="G4" i="2"/>
  <c r="H4" i="2"/>
  <c r="I4" i="2"/>
  <c r="B5" i="2"/>
  <c r="C5" i="2"/>
  <c r="J5" i="2" s="1"/>
  <c r="M5" i="2" s="1"/>
  <c r="D5" i="2"/>
  <c r="E5" i="2"/>
  <c r="F5" i="2"/>
  <c r="G5" i="2"/>
  <c r="H5" i="2"/>
  <c r="I5" i="2"/>
  <c r="B6" i="2"/>
  <c r="C6" i="2"/>
  <c r="D6" i="2"/>
  <c r="E6" i="2"/>
  <c r="F6" i="2"/>
  <c r="G6" i="2"/>
  <c r="K6" i="2" s="1"/>
  <c r="H6" i="2"/>
  <c r="I6" i="2"/>
  <c r="B7" i="2"/>
  <c r="C7" i="2"/>
  <c r="J7" i="2" s="1"/>
  <c r="M7" i="2" s="1"/>
  <c r="D7" i="2"/>
  <c r="E7" i="2"/>
  <c r="F7" i="2"/>
  <c r="G7" i="2"/>
  <c r="K7" i="2" s="1"/>
  <c r="H7" i="2"/>
  <c r="I7" i="2"/>
  <c r="B8" i="2"/>
  <c r="C8" i="2"/>
  <c r="D8" i="2"/>
  <c r="E8" i="2"/>
  <c r="F8" i="2"/>
  <c r="G8" i="2"/>
  <c r="H8" i="2"/>
  <c r="I8" i="2"/>
  <c r="B9" i="2"/>
  <c r="C9" i="2"/>
  <c r="D9" i="2"/>
  <c r="E9" i="2"/>
  <c r="F9" i="2"/>
  <c r="G9" i="2"/>
  <c r="K9" i="2" s="1"/>
  <c r="H9" i="2"/>
  <c r="I9" i="2"/>
  <c r="B10" i="2"/>
  <c r="C10" i="2"/>
  <c r="J10" i="2" s="1"/>
  <c r="M10" i="2" s="1"/>
  <c r="D10" i="2"/>
  <c r="N10" i="2" s="1"/>
  <c r="E10" i="2"/>
  <c r="F10" i="2"/>
  <c r="G10" i="2"/>
  <c r="K10" i="2" s="1"/>
  <c r="H10" i="2"/>
  <c r="I10" i="2"/>
  <c r="B11" i="2"/>
  <c r="C11" i="2"/>
  <c r="J11" i="2" s="1"/>
  <c r="M11" i="2" s="1"/>
  <c r="D11" i="2"/>
  <c r="E11" i="2"/>
  <c r="F11" i="2"/>
  <c r="G11" i="2"/>
  <c r="H11" i="2"/>
  <c r="I11" i="2"/>
  <c r="B12" i="2"/>
  <c r="C12" i="2"/>
  <c r="D12" i="2"/>
  <c r="E12" i="2"/>
  <c r="F12" i="2"/>
  <c r="G12" i="2"/>
  <c r="K12" i="2" s="1"/>
  <c r="H12" i="2"/>
  <c r="I12" i="2"/>
  <c r="B13" i="2"/>
  <c r="C13" i="2"/>
  <c r="J13" i="2" s="1"/>
  <c r="M13" i="2" s="1"/>
  <c r="D13" i="2"/>
  <c r="E13" i="2"/>
  <c r="F13" i="2"/>
  <c r="G13" i="2"/>
  <c r="K13" i="2" s="1"/>
  <c r="H13" i="2"/>
  <c r="I13" i="2"/>
  <c r="B14" i="2"/>
  <c r="C14" i="2"/>
  <c r="D14" i="2"/>
  <c r="E14" i="2"/>
  <c r="F14" i="2"/>
  <c r="G14" i="2"/>
  <c r="H14" i="2"/>
  <c r="I14" i="2"/>
  <c r="B15" i="2"/>
  <c r="C15" i="2"/>
  <c r="J15" i="2" s="1"/>
  <c r="M15" i="2" s="1"/>
  <c r="D15" i="2"/>
  <c r="E15" i="2"/>
  <c r="F15" i="2"/>
  <c r="G15" i="2"/>
  <c r="K15" i="2" s="1"/>
  <c r="H15" i="2"/>
  <c r="I15" i="2"/>
  <c r="B16" i="2"/>
  <c r="C16" i="2"/>
  <c r="J16" i="2" s="1"/>
  <c r="M16" i="2" s="1"/>
  <c r="D16" i="2"/>
  <c r="E16" i="2"/>
  <c r="F16" i="2"/>
  <c r="G16" i="2"/>
  <c r="K16" i="2" s="1"/>
  <c r="H16" i="2"/>
  <c r="I16" i="2"/>
  <c r="B17" i="2"/>
  <c r="C17" i="2"/>
  <c r="J17" i="2" s="1"/>
  <c r="M17" i="2" s="1"/>
  <c r="D17" i="2"/>
  <c r="E17" i="2"/>
  <c r="F17" i="2"/>
  <c r="G17" i="2"/>
  <c r="H17" i="2"/>
  <c r="I17" i="2"/>
  <c r="B18" i="2"/>
  <c r="C18" i="2"/>
  <c r="D18" i="2"/>
  <c r="E18" i="2"/>
  <c r="F18" i="2"/>
  <c r="G18" i="2"/>
  <c r="K18" i="2" s="1"/>
  <c r="H18" i="2"/>
  <c r="I18" i="2"/>
  <c r="C2" i="2"/>
  <c r="D2" i="2"/>
  <c r="E2" i="2"/>
  <c r="F2" i="2"/>
  <c r="G2" i="2"/>
  <c r="H2" i="2"/>
  <c r="I2" i="2"/>
  <c r="B2" i="2"/>
  <c r="K17" i="2" l="1"/>
  <c r="K14" i="2"/>
  <c r="K11" i="2"/>
  <c r="K8" i="2"/>
  <c r="K5" i="2"/>
  <c r="J9" i="2"/>
  <c r="M9" i="2" s="1"/>
  <c r="U16" i="5"/>
  <c r="N8" i="2"/>
  <c r="L18" i="2"/>
  <c r="O18" i="2" s="1"/>
  <c r="L17" i="2"/>
  <c r="O17" i="2" s="1"/>
  <c r="L16" i="2"/>
  <c r="O16" i="2" s="1"/>
  <c r="L15" i="2"/>
  <c r="O15" i="2" s="1"/>
  <c r="L14" i="2"/>
  <c r="O14" i="2" s="1"/>
  <c r="L13" i="2"/>
  <c r="O13" i="2" s="1"/>
  <c r="L12" i="2"/>
  <c r="O12" i="2" s="1"/>
  <c r="L11" i="2"/>
  <c r="O11" i="2" s="1"/>
  <c r="L10" i="2"/>
  <c r="O10" i="2" s="1"/>
  <c r="L9" i="2"/>
  <c r="O9" i="2" s="1"/>
  <c r="L8" i="2"/>
  <c r="O8" i="2" s="1"/>
  <c r="L7" i="2"/>
  <c r="O7" i="2" s="1"/>
  <c r="L6" i="2"/>
  <c r="O6" i="2" s="1"/>
  <c r="L5" i="2"/>
  <c r="O5" i="2" s="1"/>
  <c r="U8" i="5"/>
  <c r="U8" i="6"/>
  <c r="D5" i="3"/>
  <c r="D17" i="3"/>
  <c r="U19" i="5"/>
  <c r="U11" i="5"/>
  <c r="U15" i="6"/>
  <c r="U7" i="6"/>
  <c r="N16" i="2"/>
  <c r="N15" i="2"/>
  <c r="N14" i="2"/>
  <c r="N11" i="2"/>
  <c r="N9" i="2"/>
  <c r="N7" i="2"/>
  <c r="N6" i="2"/>
  <c r="N5" i="2"/>
  <c r="D3" i="3"/>
  <c r="D13" i="3"/>
  <c r="U18" i="5"/>
  <c r="U14" i="5"/>
  <c r="U10" i="5"/>
  <c r="U6" i="5"/>
  <c r="U18" i="6"/>
  <c r="U14" i="6"/>
  <c r="U10" i="6"/>
  <c r="U6" i="6"/>
  <c r="D16" i="6"/>
  <c r="D11" i="6"/>
  <c r="U15" i="5"/>
  <c r="U7" i="5"/>
  <c r="U19" i="6"/>
  <c r="U11" i="6"/>
  <c r="N18" i="2"/>
  <c r="N17" i="2"/>
  <c r="N13" i="2"/>
  <c r="N12" i="2"/>
  <c r="J18" i="2"/>
  <c r="M18" i="2" s="1"/>
  <c r="J14" i="2"/>
  <c r="M14" i="2" s="1"/>
  <c r="J12" i="2"/>
  <c r="M12" i="2" s="1"/>
  <c r="J8" i="2"/>
  <c r="M8" i="2" s="1"/>
  <c r="J6" i="2"/>
  <c r="M6" i="2" s="1"/>
  <c r="D9" i="3"/>
  <c r="U17" i="5"/>
  <c r="U13" i="5"/>
  <c r="U9" i="5"/>
  <c r="U17" i="6"/>
  <c r="U13" i="6"/>
  <c r="U9" i="6"/>
  <c r="D15" i="6"/>
  <c r="D6" i="6"/>
  <c r="F4" i="14"/>
  <c r="F1" i="14" s="1"/>
  <c r="F18" i="14"/>
  <c r="F15" i="14"/>
  <c r="F13" i="14"/>
  <c r="F10" i="14"/>
  <c r="F7" i="14"/>
  <c r="G2" i="14"/>
  <c r="F5" i="14"/>
  <c r="F16" i="14"/>
  <c r="F14" i="14"/>
  <c r="F11" i="14"/>
  <c r="F8" i="14"/>
  <c r="F3" i="14"/>
  <c r="F17" i="14"/>
  <c r="F12" i="14"/>
  <c r="F9" i="14"/>
  <c r="F6" i="14"/>
  <c r="F4" i="13"/>
  <c r="F1" i="13" s="1"/>
  <c r="F18" i="13"/>
  <c r="F15" i="13"/>
  <c r="F13" i="13"/>
  <c r="F10" i="13"/>
  <c r="F7" i="13"/>
  <c r="F8" i="13"/>
  <c r="F14" i="13"/>
  <c r="F3" i="13"/>
  <c r="G2" i="13"/>
  <c r="F5" i="13"/>
  <c r="F16" i="13"/>
  <c r="F11" i="13"/>
  <c r="F17" i="13"/>
  <c r="F12" i="13"/>
  <c r="F9" i="13"/>
  <c r="F6" i="13"/>
  <c r="F2" i="5"/>
  <c r="G2" i="5" s="1"/>
  <c r="E3" i="5"/>
  <c r="E4" i="5"/>
  <c r="E1" i="5" s="1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D9" i="6"/>
  <c r="D16" i="3"/>
  <c r="D12" i="3"/>
  <c r="D8" i="3"/>
  <c r="D4" i="3"/>
  <c r="D1" i="3" s="1"/>
  <c r="D8" i="6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1" i="4" s="1"/>
  <c r="D3" i="4"/>
  <c r="D10" i="6"/>
  <c r="D19" i="3"/>
  <c r="D15" i="3"/>
  <c r="D11" i="3"/>
  <c r="D7" i="3"/>
  <c r="D17" i="6"/>
  <c r="D5" i="6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1" i="5" s="1"/>
  <c r="D3" i="5"/>
  <c r="D19" i="6"/>
  <c r="D7" i="6"/>
  <c r="E2" i="3"/>
  <c r="D18" i="3"/>
  <c r="D14" i="3"/>
  <c r="D10" i="3"/>
  <c r="E2" i="6"/>
  <c r="E2" i="4"/>
  <c r="E16" i="3"/>
  <c r="E14" i="3"/>
  <c r="E12" i="3"/>
  <c r="E10" i="3"/>
  <c r="E8" i="3"/>
  <c r="E6" i="3"/>
  <c r="G4" i="14" l="1"/>
  <c r="G1" i="14" s="1"/>
  <c r="G10" i="14"/>
  <c r="H2" i="14"/>
  <c r="G18" i="14"/>
  <c r="G15" i="14"/>
  <c r="G13" i="14"/>
  <c r="G5" i="14"/>
  <c r="G16" i="14"/>
  <c r="G14" i="14"/>
  <c r="G11" i="14"/>
  <c r="G8" i="14"/>
  <c r="G3" i="14"/>
  <c r="G17" i="14"/>
  <c r="G12" i="14"/>
  <c r="G9" i="14"/>
  <c r="G6" i="14"/>
  <c r="G7" i="14"/>
  <c r="G4" i="13"/>
  <c r="G1" i="13" s="1"/>
  <c r="G13" i="13"/>
  <c r="G15" i="13"/>
  <c r="G18" i="13"/>
  <c r="G10" i="13"/>
  <c r="G7" i="13"/>
  <c r="G8" i="13"/>
  <c r="G17" i="13"/>
  <c r="H2" i="13"/>
  <c r="G6" i="13"/>
  <c r="G5" i="13"/>
  <c r="G11" i="13"/>
  <c r="G16" i="13"/>
  <c r="G14" i="13"/>
  <c r="G3" i="13"/>
  <c r="G12" i="13"/>
  <c r="G9" i="13"/>
  <c r="G3" i="5"/>
  <c r="G4" i="5"/>
  <c r="G1" i="5" s="1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E4" i="3"/>
  <c r="E1" i="3" s="1"/>
  <c r="F2" i="3"/>
  <c r="E7" i="3"/>
  <c r="E11" i="3"/>
  <c r="E15" i="3"/>
  <c r="E19" i="3"/>
  <c r="E3" i="3"/>
  <c r="E5" i="3"/>
  <c r="E9" i="3"/>
  <c r="E13" i="3"/>
  <c r="E17" i="3"/>
  <c r="E18" i="3"/>
  <c r="E9" i="6"/>
  <c r="E14" i="6"/>
  <c r="E19" i="6"/>
  <c r="E7" i="6"/>
  <c r="E12" i="6"/>
  <c r="E5" i="6"/>
  <c r="E17" i="6"/>
  <c r="E10" i="6"/>
  <c r="E3" i="6"/>
  <c r="E15" i="6"/>
  <c r="E8" i="6"/>
  <c r="E6" i="6"/>
  <c r="E13" i="6"/>
  <c r="E11" i="6"/>
  <c r="E4" i="6"/>
  <c r="E1" i="6" s="1"/>
  <c r="E16" i="6"/>
  <c r="E18" i="6"/>
  <c r="E3" i="4"/>
  <c r="E4" i="4"/>
  <c r="E1" i="4" s="1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F3" i="5"/>
  <c r="F4" i="5"/>
  <c r="F1" i="5" s="1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" i="6"/>
  <c r="H2" i="5"/>
  <c r="F2" i="4"/>
  <c r="H10" i="14" l="1"/>
  <c r="H7" i="14"/>
  <c r="I2" i="14"/>
  <c r="H5" i="14"/>
  <c r="H16" i="14"/>
  <c r="H14" i="14"/>
  <c r="H11" i="14"/>
  <c r="H8" i="14"/>
  <c r="H3" i="14"/>
  <c r="H17" i="14"/>
  <c r="H12" i="14"/>
  <c r="H9" i="14"/>
  <c r="H6" i="14"/>
  <c r="H4" i="14"/>
  <c r="H1" i="14" s="1"/>
  <c r="H18" i="14"/>
  <c r="H15" i="14"/>
  <c r="H13" i="14"/>
  <c r="H15" i="13"/>
  <c r="H13" i="13"/>
  <c r="H10" i="13"/>
  <c r="H18" i="13"/>
  <c r="H7" i="13"/>
  <c r="I2" i="13"/>
  <c r="H5" i="13"/>
  <c r="H9" i="13"/>
  <c r="H6" i="13"/>
  <c r="H16" i="13"/>
  <c r="H14" i="13"/>
  <c r="H11" i="13"/>
  <c r="H8" i="13"/>
  <c r="H3" i="13"/>
  <c r="H17" i="13"/>
  <c r="H12" i="13"/>
  <c r="H4" i="13"/>
  <c r="H1" i="13" s="1"/>
  <c r="H3" i="5"/>
  <c r="H4" i="5"/>
  <c r="H1" i="5" s="1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F4" i="6"/>
  <c r="F1" i="6" s="1"/>
  <c r="F16" i="6"/>
  <c r="F9" i="6"/>
  <c r="F14" i="6"/>
  <c r="F7" i="6"/>
  <c r="F19" i="6"/>
  <c r="F12" i="6"/>
  <c r="F5" i="6"/>
  <c r="F17" i="6"/>
  <c r="F10" i="6"/>
  <c r="F3" i="6"/>
  <c r="F15" i="6"/>
  <c r="F8" i="6"/>
  <c r="F6" i="6"/>
  <c r="F18" i="6"/>
  <c r="F11" i="6"/>
  <c r="F13" i="6"/>
  <c r="F3" i="3"/>
  <c r="F6" i="3"/>
  <c r="F10" i="3"/>
  <c r="F14" i="3"/>
  <c r="F18" i="3"/>
  <c r="G2" i="3"/>
  <c r="F4" i="3"/>
  <c r="F1" i="3" s="1"/>
  <c r="F8" i="3"/>
  <c r="F12" i="3"/>
  <c r="F16" i="3"/>
  <c r="F19" i="3"/>
  <c r="F17" i="3"/>
  <c r="F15" i="3"/>
  <c r="F13" i="3"/>
  <c r="F11" i="3"/>
  <c r="F5" i="3"/>
  <c r="F9" i="3"/>
  <c r="F7" i="3"/>
  <c r="F3" i="4"/>
  <c r="F4" i="4"/>
  <c r="F1" i="4" s="1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G2" i="6"/>
  <c r="I2" i="5"/>
  <c r="G2" i="4"/>
  <c r="I18" i="14" l="1"/>
  <c r="I15" i="14"/>
  <c r="I13" i="14"/>
  <c r="I10" i="14"/>
  <c r="I7" i="14"/>
  <c r="J2" i="14"/>
  <c r="I5" i="14"/>
  <c r="I16" i="14"/>
  <c r="I14" i="14"/>
  <c r="I11" i="14"/>
  <c r="I8" i="14"/>
  <c r="I3" i="14"/>
  <c r="I17" i="14"/>
  <c r="I12" i="14"/>
  <c r="I9" i="14"/>
  <c r="I6" i="14"/>
  <c r="I4" i="14"/>
  <c r="I1" i="14" s="1"/>
  <c r="I18" i="13"/>
  <c r="I15" i="13"/>
  <c r="I13" i="13"/>
  <c r="I10" i="13"/>
  <c r="I7" i="13"/>
  <c r="J2" i="13"/>
  <c r="I5" i="13"/>
  <c r="I6" i="13"/>
  <c r="I16" i="13"/>
  <c r="I14" i="13"/>
  <c r="I11" i="13"/>
  <c r="I8" i="13"/>
  <c r="I3" i="13"/>
  <c r="I12" i="13"/>
  <c r="I9" i="13"/>
  <c r="I17" i="13"/>
  <c r="I4" i="13"/>
  <c r="I1" i="13" s="1"/>
  <c r="G11" i="6"/>
  <c r="G4" i="6"/>
  <c r="G1" i="6" s="1"/>
  <c r="G16" i="6"/>
  <c r="G9" i="6"/>
  <c r="G8" i="6"/>
  <c r="G14" i="6"/>
  <c r="G7" i="6"/>
  <c r="G19" i="6"/>
  <c r="G12" i="6"/>
  <c r="G5" i="6"/>
  <c r="G17" i="6"/>
  <c r="G10" i="6"/>
  <c r="G3" i="6"/>
  <c r="G15" i="6"/>
  <c r="G13" i="6"/>
  <c r="G6" i="6"/>
  <c r="G18" i="6"/>
  <c r="H2" i="3"/>
  <c r="G10" i="3"/>
  <c r="G8" i="3"/>
  <c r="G11" i="3"/>
  <c r="G14" i="3"/>
  <c r="G12" i="3"/>
  <c r="G6" i="3"/>
  <c r="G16" i="3"/>
  <c r="G4" i="3"/>
  <c r="G1" i="3" s="1"/>
  <c r="G3" i="3"/>
  <c r="G7" i="3"/>
  <c r="G19" i="3"/>
  <c r="G13" i="3"/>
  <c r="G9" i="3"/>
  <c r="G17" i="3"/>
  <c r="G15" i="3"/>
  <c r="G18" i="3"/>
  <c r="G5" i="3"/>
  <c r="G3" i="4"/>
  <c r="G4" i="4"/>
  <c r="G1" i="4" s="1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I3" i="5"/>
  <c r="I4" i="5"/>
  <c r="I1" i="5" s="1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H2" i="6"/>
  <c r="J2" i="5"/>
  <c r="H2" i="4"/>
  <c r="K2" i="14" l="1"/>
  <c r="J5" i="14"/>
  <c r="J3" i="14"/>
  <c r="J16" i="14"/>
  <c r="J14" i="14"/>
  <c r="J11" i="14"/>
  <c r="J8" i="14"/>
  <c r="J17" i="14"/>
  <c r="J12" i="14"/>
  <c r="J6" i="14"/>
  <c r="J9" i="14"/>
  <c r="J4" i="14"/>
  <c r="J1" i="14" s="1"/>
  <c r="J18" i="14"/>
  <c r="J15" i="14"/>
  <c r="J13" i="14"/>
  <c r="J10" i="14"/>
  <c r="J7" i="14"/>
  <c r="K2" i="13"/>
  <c r="J5" i="13"/>
  <c r="J16" i="13"/>
  <c r="J14" i="13"/>
  <c r="J11" i="13"/>
  <c r="J8" i="13"/>
  <c r="J12" i="13"/>
  <c r="J9" i="13"/>
  <c r="J6" i="13"/>
  <c r="J3" i="13"/>
  <c r="J4" i="13"/>
  <c r="J1" i="13" s="1"/>
  <c r="J17" i="13"/>
  <c r="J18" i="13"/>
  <c r="J15" i="13"/>
  <c r="J13" i="13"/>
  <c r="J10" i="13"/>
  <c r="J7" i="13"/>
  <c r="H3" i="3"/>
  <c r="H17" i="3"/>
  <c r="H16" i="3"/>
  <c r="H19" i="3"/>
  <c r="H4" i="3"/>
  <c r="H1" i="3" s="1"/>
  <c r="H8" i="3"/>
  <c r="H6" i="3"/>
  <c r="I2" i="3"/>
  <c r="H14" i="3"/>
  <c r="H18" i="3"/>
  <c r="H12" i="3"/>
  <c r="H10" i="3"/>
  <c r="H5" i="3"/>
  <c r="H9" i="3"/>
  <c r="H11" i="3"/>
  <c r="H13" i="3"/>
  <c r="H7" i="3"/>
  <c r="H15" i="3"/>
  <c r="H6" i="6"/>
  <c r="H18" i="6"/>
  <c r="H11" i="6"/>
  <c r="H4" i="6"/>
  <c r="H1" i="6" s="1"/>
  <c r="H16" i="6"/>
  <c r="H9" i="6"/>
  <c r="H15" i="6"/>
  <c r="H14" i="6"/>
  <c r="H7" i="6"/>
  <c r="H19" i="6"/>
  <c r="H12" i="6"/>
  <c r="H5" i="6"/>
  <c r="H17" i="6"/>
  <c r="H10" i="6"/>
  <c r="H3" i="6"/>
  <c r="H8" i="6"/>
  <c r="H13" i="6"/>
  <c r="H14" i="4"/>
  <c r="H3" i="4"/>
  <c r="H15" i="4"/>
  <c r="H4" i="4"/>
  <c r="H1" i="4" s="1"/>
  <c r="H16" i="4"/>
  <c r="H12" i="4"/>
  <c r="H5" i="4"/>
  <c r="H17" i="4"/>
  <c r="H6" i="4"/>
  <c r="H18" i="4"/>
  <c r="H7" i="4"/>
  <c r="H19" i="4"/>
  <c r="H8" i="4"/>
  <c r="H9" i="4"/>
  <c r="H11" i="4"/>
  <c r="H10" i="4"/>
  <c r="H13" i="4"/>
  <c r="J3" i="5"/>
  <c r="J4" i="5"/>
  <c r="J1" i="5" s="1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I2" i="6"/>
  <c r="K2" i="5"/>
  <c r="I2" i="4"/>
  <c r="L2" i="14" l="1"/>
  <c r="K8" i="14"/>
  <c r="K14" i="14"/>
  <c r="K16" i="14"/>
  <c r="K11" i="14"/>
  <c r="K3" i="14"/>
  <c r="K17" i="14"/>
  <c r="K9" i="14"/>
  <c r="K6" i="14"/>
  <c r="K12" i="14"/>
  <c r="K4" i="14"/>
  <c r="K1" i="14" s="1"/>
  <c r="K18" i="14"/>
  <c r="K15" i="14"/>
  <c r="K13" i="14"/>
  <c r="K10" i="14"/>
  <c r="K7" i="14"/>
  <c r="K5" i="14"/>
  <c r="L2" i="13"/>
  <c r="K5" i="13"/>
  <c r="K16" i="13"/>
  <c r="K11" i="13"/>
  <c r="K14" i="13"/>
  <c r="K8" i="13"/>
  <c r="K3" i="13"/>
  <c r="K18" i="13"/>
  <c r="K13" i="13"/>
  <c r="K9" i="13"/>
  <c r="K4" i="13"/>
  <c r="K1" i="13" s="1"/>
  <c r="K7" i="13"/>
  <c r="K17" i="13"/>
  <c r="K12" i="13"/>
  <c r="K6" i="13"/>
  <c r="K15" i="13"/>
  <c r="K10" i="13"/>
  <c r="I10" i="3"/>
  <c r="J2" i="3"/>
  <c r="I6" i="3"/>
  <c r="I5" i="3"/>
  <c r="I17" i="3"/>
  <c r="I7" i="3"/>
  <c r="I13" i="3"/>
  <c r="I8" i="3"/>
  <c r="I4" i="3"/>
  <c r="I1" i="3" s="1"/>
  <c r="I12" i="3"/>
  <c r="I16" i="3"/>
  <c r="I9" i="3"/>
  <c r="I11" i="3"/>
  <c r="I14" i="3"/>
  <c r="I3" i="3"/>
  <c r="I18" i="3"/>
  <c r="I15" i="3"/>
  <c r="I19" i="3"/>
  <c r="I13" i="6"/>
  <c r="I6" i="6"/>
  <c r="I18" i="6"/>
  <c r="I11" i="6"/>
  <c r="I4" i="6"/>
  <c r="I1" i="6" s="1"/>
  <c r="I16" i="6"/>
  <c r="I9" i="6"/>
  <c r="I14" i="6"/>
  <c r="I10" i="6"/>
  <c r="I7" i="6"/>
  <c r="I19" i="6"/>
  <c r="I12" i="6"/>
  <c r="I5" i="6"/>
  <c r="I17" i="6"/>
  <c r="I3" i="6"/>
  <c r="I15" i="6"/>
  <c r="I8" i="6"/>
  <c r="K3" i="5"/>
  <c r="K4" i="5"/>
  <c r="K1" i="5" s="1"/>
  <c r="K7" i="5"/>
  <c r="K19" i="5"/>
  <c r="K5" i="5"/>
  <c r="K8" i="5"/>
  <c r="K16" i="5"/>
  <c r="K17" i="5"/>
  <c r="K9" i="5"/>
  <c r="K10" i="5"/>
  <c r="K11" i="5"/>
  <c r="K12" i="5"/>
  <c r="K13" i="5"/>
  <c r="K14" i="5"/>
  <c r="K15" i="5"/>
  <c r="K6" i="5"/>
  <c r="K18" i="5"/>
  <c r="I3" i="4"/>
  <c r="I4" i="4"/>
  <c r="I1" i="4" s="1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J2" i="6"/>
  <c r="L2" i="5"/>
  <c r="J2" i="4"/>
  <c r="L5" i="14" l="1"/>
  <c r="L3" i="14"/>
  <c r="L17" i="14"/>
  <c r="L12" i="14"/>
  <c r="L9" i="14"/>
  <c r="L6" i="14"/>
  <c r="L4" i="14"/>
  <c r="L1" i="14" s="1"/>
  <c r="L18" i="14"/>
  <c r="L15" i="14"/>
  <c r="L13" i="14"/>
  <c r="L10" i="14"/>
  <c r="L7" i="14"/>
  <c r="M2" i="14"/>
  <c r="L16" i="14"/>
  <c r="L14" i="14"/>
  <c r="L11" i="14"/>
  <c r="L8" i="14"/>
  <c r="L5" i="13"/>
  <c r="L16" i="13"/>
  <c r="L14" i="13"/>
  <c r="L11" i="13"/>
  <c r="L8" i="13"/>
  <c r="L3" i="13"/>
  <c r="L13" i="13"/>
  <c r="L17" i="13"/>
  <c r="L12" i="13"/>
  <c r="L9" i="13"/>
  <c r="L6" i="13"/>
  <c r="L4" i="13"/>
  <c r="L1" i="13" s="1"/>
  <c r="L10" i="13"/>
  <c r="L7" i="13"/>
  <c r="L18" i="13"/>
  <c r="L15" i="13"/>
  <c r="M2" i="13"/>
  <c r="L3" i="5"/>
  <c r="L4" i="5"/>
  <c r="L1" i="5" s="1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J3" i="4"/>
  <c r="J4" i="4"/>
  <c r="J1" i="4" s="1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15" i="3"/>
  <c r="J10" i="3"/>
  <c r="J12" i="3"/>
  <c r="J16" i="3"/>
  <c r="J19" i="3"/>
  <c r="J5" i="3"/>
  <c r="J13" i="3"/>
  <c r="K2" i="3"/>
  <c r="J17" i="3"/>
  <c r="J9" i="3"/>
  <c r="J14" i="3"/>
  <c r="J11" i="3"/>
  <c r="J4" i="3"/>
  <c r="J1" i="3" s="1"/>
  <c r="J18" i="3"/>
  <c r="J3" i="3"/>
  <c r="J8" i="3"/>
  <c r="J7" i="3"/>
  <c r="J6" i="3"/>
  <c r="J8" i="6"/>
  <c r="J13" i="6"/>
  <c r="J6" i="6"/>
  <c r="J18" i="6"/>
  <c r="J11" i="6"/>
  <c r="J4" i="6"/>
  <c r="J1" i="6" s="1"/>
  <c r="J16" i="6"/>
  <c r="J5" i="6"/>
  <c r="J9" i="6"/>
  <c r="J14" i="6"/>
  <c r="J7" i="6"/>
  <c r="J19" i="6"/>
  <c r="J12" i="6"/>
  <c r="J10" i="6"/>
  <c r="J3" i="6"/>
  <c r="J15" i="6"/>
  <c r="J17" i="6"/>
  <c r="K2" i="6"/>
  <c r="M2" i="5"/>
  <c r="K2" i="4"/>
  <c r="M16" i="14" l="1"/>
  <c r="M14" i="14"/>
  <c r="M11" i="14"/>
  <c r="M17" i="14"/>
  <c r="M12" i="14"/>
  <c r="M9" i="14"/>
  <c r="M6" i="14"/>
  <c r="M4" i="14"/>
  <c r="M1" i="14" s="1"/>
  <c r="M18" i="14"/>
  <c r="M15" i="14"/>
  <c r="M13" i="14"/>
  <c r="M10" i="14"/>
  <c r="M7" i="14"/>
  <c r="N2" i="14"/>
  <c r="M5" i="14"/>
  <c r="M8" i="14"/>
  <c r="M3" i="14"/>
  <c r="M16" i="13"/>
  <c r="M14" i="13"/>
  <c r="M11" i="13"/>
  <c r="M8" i="13"/>
  <c r="M3" i="13"/>
  <c r="M18" i="13"/>
  <c r="M15" i="13"/>
  <c r="M13" i="13"/>
  <c r="M7" i="13"/>
  <c r="M17" i="13"/>
  <c r="M12" i="13"/>
  <c r="M9" i="13"/>
  <c r="M6" i="13"/>
  <c r="M10" i="13"/>
  <c r="N2" i="13"/>
  <c r="M4" i="13"/>
  <c r="M1" i="13" s="1"/>
  <c r="M5" i="13"/>
  <c r="M3" i="5"/>
  <c r="M4" i="5"/>
  <c r="M1" i="5" s="1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K3" i="6"/>
  <c r="K15" i="6"/>
  <c r="K8" i="6"/>
  <c r="K13" i="6"/>
  <c r="K6" i="6"/>
  <c r="K18" i="6"/>
  <c r="K11" i="6"/>
  <c r="K12" i="6"/>
  <c r="K4" i="6"/>
  <c r="K1" i="6" s="1"/>
  <c r="K16" i="6"/>
  <c r="K9" i="6"/>
  <c r="K14" i="6"/>
  <c r="K7" i="6"/>
  <c r="K19" i="6"/>
  <c r="K5" i="6"/>
  <c r="K17" i="6"/>
  <c r="K10" i="6"/>
  <c r="K8" i="3"/>
  <c r="K15" i="3"/>
  <c r="K4" i="3"/>
  <c r="K1" i="3" s="1"/>
  <c r="K16" i="3"/>
  <c r="K17" i="3"/>
  <c r="K18" i="3"/>
  <c r="K10" i="3"/>
  <c r="K3" i="3"/>
  <c r="L2" i="3"/>
  <c r="K19" i="3"/>
  <c r="K5" i="3"/>
  <c r="K9" i="3"/>
  <c r="K11" i="3"/>
  <c r="K6" i="3"/>
  <c r="K14" i="3"/>
  <c r="K7" i="3"/>
  <c r="K12" i="3"/>
  <c r="K13" i="3"/>
  <c r="K3" i="4"/>
  <c r="K4" i="4"/>
  <c r="K1" i="4" s="1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L2" i="6"/>
  <c r="N2" i="5"/>
  <c r="L2" i="4"/>
  <c r="N3" i="14" l="1"/>
  <c r="N17" i="14"/>
  <c r="N12" i="14"/>
  <c r="N9" i="14"/>
  <c r="N6" i="14"/>
  <c r="N4" i="14"/>
  <c r="N1" i="14" s="1"/>
  <c r="N18" i="14"/>
  <c r="N15" i="14"/>
  <c r="N13" i="14"/>
  <c r="N10" i="14"/>
  <c r="N7" i="14"/>
  <c r="O2" i="14"/>
  <c r="N5" i="14"/>
  <c r="N16" i="14"/>
  <c r="N14" i="14"/>
  <c r="N11" i="14"/>
  <c r="N8" i="14"/>
  <c r="N3" i="13"/>
  <c r="N17" i="13"/>
  <c r="N12" i="13"/>
  <c r="N9" i="13"/>
  <c r="N6" i="13"/>
  <c r="O2" i="13"/>
  <c r="N4" i="13"/>
  <c r="N1" i="13" s="1"/>
  <c r="N18" i="13"/>
  <c r="N7" i="13"/>
  <c r="N5" i="13"/>
  <c r="N15" i="13"/>
  <c r="N13" i="13"/>
  <c r="N10" i="13"/>
  <c r="N16" i="13"/>
  <c r="N14" i="13"/>
  <c r="N11" i="13"/>
  <c r="N8" i="13"/>
  <c r="N3" i="5"/>
  <c r="N4" i="5"/>
  <c r="N1" i="5" s="1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L18" i="3"/>
  <c r="L16" i="3"/>
  <c r="L13" i="3"/>
  <c r="L3" i="3"/>
  <c r="L12" i="3"/>
  <c r="L5" i="3"/>
  <c r="L17" i="3"/>
  <c r="M2" i="3"/>
  <c r="L8" i="3"/>
  <c r="L19" i="3"/>
  <c r="L15" i="3"/>
  <c r="L10" i="3"/>
  <c r="L7" i="3"/>
  <c r="L14" i="3"/>
  <c r="L4" i="3"/>
  <c r="L1" i="3" s="1"/>
  <c r="L6" i="3"/>
  <c r="L11" i="3"/>
  <c r="L9" i="3"/>
  <c r="L10" i="6"/>
  <c r="L3" i="6"/>
  <c r="L15" i="6"/>
  <c r="L8" i="6"/>
  <c r="L13" i="6"/>
  <c r="L6" i="6"/>
  <c r="L18" i="6"/>
  <c r="L11" i="6"/>
  <c r="L4" i="6"/>
  <c r="L1" i="6" s="1"/>
  <c r="L16" i="6"/>
  <c r="L7" i="6"/>
  <c r="L9" i="6"/>
  <c r="L14" i="6"/>
  <c r="L19" i="6"/>
  <c r="L12" i="6"/>
  <c r="L5" i="6"/>
  <c r="L17" i="6"/>
  <c r="L3" i="4"/>
  <c r="L4" i="4"/>
  <c r="L1" i="4" s="1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M2" i="6"/>
  <c r="O2" i="5"/>
  <c r="M2" i="4"/>
  <c r="O17" i="14" l="1"/>
  <c r="O9" i="14"/>
  <c r="O6" i="14"/>
  <c r="O4" i="14"/>
  <c r="O1" i="14" s="1"/>
  <c r="O18" i="14"/>
  <c r="O15" i="14"/>
  <c r="O13" i="14"/>
  <c r="O10" i="14"/>
  <c r="O7" i="14"/>
  <c r="P2" i="14"/>
  <c r="O5" i="14"/>
  <c r="O16" i="14"/>
  <c r="O14" i="14"/>
  <c r="O11" i="14"/>
  <c r="O8" i="14"/>
  <c r="O3" i="14"/>
  <c r="O12" i="14"/>
  <c r="O9" i="13"/>
  <c r="O17" i="13"/>
  <c r="O12" i="13"/>
  <c r="O6" i="13"/>
  <c r="O4" i="13"/>
  <c r="O1" i="13" s="1"/>
  <c r="O14" i="13"/>
  <c r="O11" i="13"/>
  <c r="O8" i="13"/>
  <c r="O7" i="13"/>
  <c r="O16" i="13"/>
  <c r="O18" i="13"/>
  <c r="O15" i="13"/>
  <c r="O13" i="13"/>
  <c r="O10" i="13"/>
  <c r="P2" i="13"/>
  <c r="O5" i="13"/>
  <c r="O3" i="13"/>
  <c r="M6" i="4"/>
  <c r="M13" i="4"/>
  <c r="M19" i="4"/>
  <c r="M4" i="4"/>
  <c r="M1" i="4" s="1"/>
  <c r="M18" i="4"/>
  <c r="M3" i="4"/>
  <c r="M5" i="4"/>
  <c r="M8" i="4"/>
  <c r="M10" i="4"/>
  <c r="M11" i="4"/>
  <c r="M15" i="4"/>
  <c r="M9" i="4"/>
  <c r="M14" i="4"/>
  <c r="M17" i="4"/>
  <c r="M7" i="4"/>
  <c r="M12" i="4"/>
  <c r="M16" i="4"/>
  <c r="M6" i="3"/>
  <c r="N2" i="3"/>
  <c r="M17" i="3"/>
  <c r="M10" i="3"/>
  <c r="M18" i="3"/>
  <c r="M13" i="3"/>
  <c r="M15" i="3"/>
  <c r="M14" i="3"/>
  <c r="M5" i="3"/>
  <c r="M11" i="3"/>
  <c r="M3" i="3"/>
  <c r="M7" i="3"/>
  <c r="M12" i="3"/>
  <c r="M8" i="3"/>
  <c r="M19" i="3"/>
  <c r="M9" i="3"/>
  <c r="M16" i="3"/>
  <c r="M4" i="3"/>
  <c r="M1" i="3" s="1"/>
  <c r="M5" i="6"/>
  <c r="M17" i="6"/>
  <c r="M10" i="6"/>
  <c r="M3" i="6"/>
  <c r="M15" i="6"/>
  <c r="M8" i="6"/>
  <c r="M13" i="6"/>
  <c r="M6" i="6"/>
  <c r="M18" i="6"/>
  <c r="M14" i="6"/>
  <c r="M11" i="6"/>
  <c r="M4" i="6"/>
  <c r="M1" i="6" s="1"/>
  <c r="M16" i="6"/>
  <c r="M9" i="6"/>
  <c r="M7" i="6"/>
  <c r="M19" i="6"/>
  <c r="M12" i="6"/>
  <c r="O3" i="5"/>
  <c r="O4" i="5"/>
  <c r="O1" i="5" s="1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P2" i="5"/>
  <c r="N2" i="6"/>
  <c r="N2" i="4"/>
  <c r="P17" i="14" l="1"/>
  <c r="P12" i="14"/>
  <c r="P4" i="14"/>
  <c r="P1" i="14" s="1"/>
  <c r="P18" i="14"/>
  <c r="P15" i="14"/>
  <c r="P13" i="14"/>
  <c r="P10" i="14"/>
  <c r="P7" i="14"/>
  <c r="Q2" i="14"/>
  <c r="P5" i="14"/>
  <c r="P16" i="14"/>
  <c r="P14" i="14"/>
  <c r="P11" i="14"/>
  <c r="P8" i="14"/>
  <c r="P3" i="14"/>
  <c r="P9" i="14"/>
  <c r="P6" i="14"/>
  <c r="P17" i="13"/>
  <c r="P12" i="13"/>
  <c r="P9" i="13"/>
  <c r="P6" i="13"/>
  <c r="P4" i="13"/>
  <c r="P1" i="13" s="1"/>
  <c r="Q2" i="13"/>
  <c r="P16" i="13"/>
  <c r="P5" i="13"/>
  <c r="P18" i="13"/>
  <c r="P15" i="13"/>
  <c r="P13" i="13"/>
  <c r="P10" i="13"/>
  <c r="P7" i="13"/>
  <c r="P8" i="13"/>
  <c r="P14" i="13"/>
  <c r="P11" i="13"/>
  <c r="P3" i="13"/>
  <c r="N12" i="6"/>
  <c r="N5" i="6"/>
  <c r="N17" i="6"/>
  <c r="N10" i="6"/>
  <c r="N3" i="6"/>
  <c r="N15" i="6"/>
  <c r="N8" i="6"/>
  <c r="N13" i="6"/>
  <c r="N6" i="6"/>
  <c r="N18" i="6"/>
  <c r="N11" i="6"/>
  <c r="N4" i="6"/>
  <c r="N1" i="6" s="1"/>
  <c r="N16" i="6"/>
  <c r="N9" i="6"/>
  <c r="N14" i="6"/>
  <c r="N7" i="6"/>
  <c r="N19" i="6"/>
  <c r="N6" i="3"/>
  <c r="N18" i="3"/>
  <c r="N14" i="3"/>
  <c r="N19" i="3"/>
  <c r="N16" i="3"/>
  <c r="N13" i="3"/>
  <c r="N5" i="3"/>
  <c r="N3" i="3"/>
  <c r="N8" i="3"/>
  <c r="O2" i="3"/>
  <c r="N9" i="3"/>
  <c r="N17" i="3"/>
  <c r="N7" i="3"/>
  <c r="N15" i="3"/>
  <c r="N12" i="3"/>
  <c r="N10" i="3"/>
  <c r="N4" i="3"/>
  <c r="N1" i="3" s="1"/>
  <c r="N11" i="3"/>
  <c r="P6" i="5"/>
  <c r="P16" i="5"/>
  <c r="P17" i="5"/>
  <c r="Q2" i="5"/>
  <c r="P3" i="5"/>
  <c r="P13" i="5"/>
  <c r="P4" i="5"/>
  <c r="P1" i="5" s="1"/>
  <c r="P5" i="5"/>
  <c r="P10" i="5"/>
  <c r="P12" i="5"/>
  <c r="P14" i="5"/>
  <c r="P15" i="5"/>
  <c r="P9" i="5"/>
  <c r="P8" i="5"/>
  <c r="P19" i="5"/>
  <c r="P7" i="5"/>
  <c r="P18" i="5"/>
  <c r="P11" i="5"/>
  <c r="N3" i="4"/>
  <c r="N4" i="4"/>
  <c r="N1" i="4" s="1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O2" i="6"/>
  <c r="O2" i="4"/>
  <c r="Q17" i="14" l="1"/>
  <c r="Q12" i="14"/>
  <c r="Q9" i="14"/>
  <c r="Q4" i="14"/>
  <c r="Q1" i="14" s="1"/>
  <c r="Q18" i="14"/>
  <c r="Q15" i="14"/>
  <c r="Q13" i="14"/>
  <c r="Q10" i="14"/>
  <c r="Q7" i="14"/>
  <c r="R2" i="14"/>
  <c r="Q5" i="14"/>
  <c r="Q16" i="14"/>
  <c r="Q14" i="14"/>
  <c r="Q11" i="14"/>
  <c r="Q8" i="14"/>
  <c r="Q3" i="14"/>
  <c r="Q6" i="14"/>
  <c r="Q17" i="13"/>
  <c r="Q12" i="13"/>
  <c r="Q9" i="13"/>
  <c r="Q6" i="13"/>
  <c r="Q4" i="13"/>
  <c r="Q1" i="13" s="1"/>
  <c r="Q18" i="13"/>
  <c r="Q15" i="13"/>
  <c r="Q13" i="13"/>
  <c r="Q10" i="13"/>
  <c r="Q7" i="13"/>
  <c r="Q5" i="13"/>
  <c r="Q16" i="13"/>
  <c r="Q8" i="13"/>
  <c r="Q3" i="13"/>
  <c r="R2" i="13"/>
  <c r="Q14" i="13"/>
  <c r="Q11" i="13"/>
  <c r="O7" i="6"/>
  <c r="O19" i="6"/>
  <c r="O12" i="6"/>
  <c r="O5" i="6"/>
  <c r="O17" i="6"/>
  <c r="O10" i="6"/>
  <c r="O3" i="6"/>
  <c r="O15" i="6"/>
  <c r="O8" i="6"/>
  <c r="O16" i="6"/>
  <c r="O13" i="6"/>
  <c r="O4" i="6"/>
  <c r="O1" i="6" s="1"/>
  <c r="O6" i="6"/>
  <c r="O18" i="6"/>
  <c r="O11" i="6"/>
  <c r="O9" i="6"/>
  <c r="O14" i="6"/>
  <c r="R2" i="5"/>
  <c r="Q14" i="5"/>
  <c r="Q11" i="5"/>
  <c r="Q17" i="5"/>
  <c r="Q3" i="5"/>
  <c r="Q6" i="5"/>
  <c r="Q9" i="5"/>
  <c r="Q12" i="5"/>
  <c r="Q15" i="5"/>
  <c r="Q18" i="5"/>
  <c r="Q4" i="5"/>
  <c r="Q1" i="5" s="1"/>
  <c r="Q7" i="5"/>
  <c r="Q10" i="5"/>
  <c r="Q13" i="5"/>
  <c r="Q16" i="5"/>
  <c r="Q19" i="5"/>
  <c r="Q5" i="5"/>
  <c r="Q8" i="5"/>
  <c r="O7" i="3"/>
  <c r="O6" i="3"/>
  <c r="O10" i="3"/>
  <c r="O18" i="3"/>
  <c r="O17" i="3"/>
  <c r="O13" i="3"/>
  <c r="O5" i="3"/>
  <c r="O3" i="3"/>
  <c r="O19" i="3"/>
  <c r="O15" i="3"/>
  <c r="O4" i="3"/>
  <c r="O1" i="3" s="1"/>
  <c r="O16" i="3"/>
  <c r="O8" i="3"/>
  <c r="O14" i="3"/>
  <c r="O12" i="3"/>
  <c r="O9" i="3"/>
  <c r="O11" i="3"/>
  <c r="P2" i="4"/>
  <c r="O3" i="4"/>
  <c r="O4" i="4"/>
  <c r="O1" i="4" s="1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P2" i="6"/>
  <c r="R4" i="14" l="1"/>
  <c r="R1" i="14" s="1"/>
  <c r="R18" i="14"/>
  <c r="R15" i="14"/>
  <c r="R13" i="14"/>
  <c r="R10" i="14"/>
  <c r="R7" i="14"/>
  <c r="S2" i="14"/>
  <c r="R16" i="14"/>
  <c r="R11" i="14"/>
  <c r="R5" i="14"/>
  <c r="R14" i="14"/>
  <c r="R8" i="14"/>
  <c r="R3" i="14"/>
  <c r="R17" i="14"/>
  <c r="R12" i="14"/>
  <c r="R9" i="14"/>
  <c r="R6" i="14"/>
  <c r="R4" i="13"/>
  <c r="R1" i="13" s="1"/>
  <c r="R18" i="13"/>
  <c r="R15" i="13"/>
  <c r="R13" i="13"/>
  <c r="R10" i="13"/>
  <c r="R7" i="13"/>
  <c r="R3" i="13"/>
  <c r="R16" i="13"/>
  <c r="S2" i="13"/>
  <c r="R5" i="13"/>
  <c r="R14" i="13"/>
  <c r="R11" i="13"/>
  <c r="R8" i="13"/>
  <c r="R17" i="13"/>
  <c r="R12" i="13"/>
  <c r="R9" i="13"/>
  <c r="R6" i="13"/>
  <c r="P14" i="6"/>
  <c r="P7" i="6"/>
  <c r="P19" i="6"/>
  <c r="P12" i="6"/>
  <c r="P5" i="6"/>
  <c r="P17" i="6"/>
  <c r="P10" i="6"/>
  <c r="P3" i="6"/>
  <c r="P15" i="6"/>
  <c r="P8" i="6"/>
  <c r="P11" i="6"/>
  <c r="P13" i="6"/>
  <c r="P6" i="6"/>
  <c r="P18" i="6"/>
  <c r="P4" i="6"/>
  <c r="P1" i="6" s="1"/>
  <c r="P16" i="6"/>
  <c r="P9" i="6"/>
  <c r="S2" i="5"/>
  <c r="R5" i="5"/>
  <c r="R8" i="5"/>
  <c r="R11" i="5"/>
  <c r="R14" i="5"/>
  <c r="R17" i="5"/>
  <c r="R3" i="5"/>
  <c r="R6" i="5"/>
  <c r="R9" i="5"/>
  <c r="R12" i="5"/>
  <c r="R15" i="5"/>
  <c r="R18" i="5"/>
  <c r="R4" i="5"/>
  <c r="R1" i="5" s="1"/>
  <c r="R7" i="5"/>
  <c r="R10" i="5"/>
  <c r="R13" i="5"/>
  <c r="R16" i="5"/>
  <c r="R19" i="5"/>
  <c r="Q2" i="6"/>
  <c r="S7" i="14" l="1"/>
  <c r="S18" i="14"/>
  <c r="S15" i="14"/>
  <c r="S13" i="14"/>
  <c r="S10" i="14"/>
  <c r="S5" i="14"/>
  <c r="S14" i="14"/>
  <c r="S16" i="14"/>
  <c r="S11" i="14"/>
  <c r="S8" i="14"/>
  <c r="S3" i="14"/>
  <c r="T2" i="14"/>
  <c r="S17" i="14"/>
  <c r="S12" i="14"/>
  <c r="S9" i="14"/>
  <c r="S6" i="14"/>
  <c r="S4" i="14"/>
  <c r="S1" i="14" s="1"/>
  <c r="S4" i="13"/>
  <c r="S1" i="13" s="1"/>
  <c r="S10" i="13"/>
  <c r="S7" i="13"/>
  <c r="S18" i="13"/>
  <c r="S15" i="13"/>
  <c r="S13" i="13"/>
  <c r="T2" i="13"/>
  <c r="S3" i="13"/>
  <c r="S5" i="13"/>
  <c r="S12" i="13"/>
  <c r="S9" i="13"/>
  <c r="S16" i="13"/>
  <c r="S14" i="13"/>
  <c r="S11" i="13"/>
  <c r="S8" i="13"/>
  <c r="S17" i="13"/>
  <c r="S6" i="13"/>
  <c r="T2" i="5"/>
  <c r="S4" i="5"/>
  <c r="S1" i="5" s="1"/>
  <c r="S7" i="5"/>
  <c r="S10" i="5"/>
  <c r="S13" i="5"/>
  <c r="S16" i="5"/>
  <c r="S19" i="5"/>
  <c r="S5" i="5"/>
  <c r="S8" i="5"/>
  <c r="S11" i="5"/>
  <c r="S14" i="5"/>
  <c r="S17" i="5"/>
  <c r="S3" i="5"/>
  <c r="S6" i="5"/>
  <c r="S9" i="5"/>
  <c r="S12" i="5"/>
  <c r="S15" i="5"/>
  <c r="S18" i="5"/>
  <c r="Q9" i="6"/>
  <c r="Q14" i="6"/>
  <c r="Q7" i="6"/>
  <c r="Q19" i="6"/>
  <c r="Q12" i="6"/>
  <c r="Q5" i="6"/>
  <c r="Q17" i="6"/>
  <c r="Q18" i="6"/>
  <c r="Q10" i="6"/>
  <c r="Q6" i="6"/>
  <c r="Q3" i="6"/>
  <c r="Q15" i="6"/>
  <c r="Q8" i="6"/>
  <c r="Q13" i="6"/>
  <c r="Q11" i="6"/>
  <c r="Q4" i="6"/>
  <c r="Q1" i="6" s="1"/>
  <c r="Q16" i="6"/>
  <c r="R2" i="6"/>
  <c r="T18" i="14" l="1"/>
  <c r="T15" i="14"/>
  <c r="T13" i="14"/>
  <c r="T10" i="14"/>
  <c r="T7" i="14"/>
  <c r="U2" i="14"/>
  <c r="V2" i="14" s="1"/>
  <c r="W2" i="14" s="1"/>
  <c r="T5" i="14"/>
  <c r="T16" i="14"/>
  <c r="T14" i="14"/>
  <c r="T11" i="14"/>
  <c r="T8" i="14"/>
  <c r="T3" i="14"/>
  <c r="T17" i="14"/>
  <c r="T12" i="14"/>
  <c r="T9" i="14"/>
  <c r="T6" i="14"/>
  <c r="T4" i="14"/>
  <c r="T1" i="14" s="1"/>
  <c r="T18" i="13"/>
  <c r="T15" i="13"/>
  <c r="T13" i="13"/>
  <c r="T10" i="13"/>
  <c r="T7" i="13"/>
  <c r="U2" i="13"/>
  <c r="V2" i="13" s="1"/>
  <c r="W2" i="13" s="1"/>
  <c r="T3" i="13"/>
  <c r="T5" i="13"/>
  <c r="T17" i="13"/>
  <c r="T16" i="13"/>
  <c r="T14" i="13"/>
  <c r="T11" i="13"/>
  <c r="T8" i="13"/>
  <c r="T6" i="13"/>
  <c r="T12" i="13"/>
  <c r="T9" i="13"/>
  <c r="T4" i="13"/>
  <c r="T1" i="13" s="1"/>
  <c r="U2" i="5"/>
  <c r="V2" i="5" s="1"/>
  <c r="W2" i="5" s="1"/>
  <c r="T4" i="5"/>
  <c r="T1" i="5" s="1"/>
  <c r="T7" i="5"/>
  <c r="T10" i="5"/>
  <c r="T13" i="5"/>
  <c r="T16" i="5"/>
  <c r="T19" i="5"/>
  <c r="T6" i="5"/>
  <c r="T9" i="5"/>
  <c r="T5" i="5"/>
  <c r="T8" i="5"/>
  <c r="T11" i="5"/>
  <c r="T14" i="5"/>
  <c r="T17" i="5"/>
  <c r="T12" i="5"/>
  <c r="T15" i="5"/>
  <c r="T3" i="5"/>
  <c r="T18" i="5"/>
  <c r="R4" i="6"/>
  <c r="R1" i="6" s="1"/>
  <c r="R16" i="6"/>
  <c r="R9" i="6"/>
  <c r="R14" i="6"/>
  <c r="R7" i="6"/>
  <c r="R19" i="6"/>
  <c r="R12" i="6"/>
  <c r="R5" i="6"/>
  <c r="R17" i="6"/>
  <c r="R10" i="6"/>
  <c r="R13" i="6"/>
  <c r="R3" i="6"/>
  <c r="R15" i="6"/>
  <c r="R8" i="6"/>
  <c r="R6" i="6"/>
  <c r="R18" i="6"/>
  <c r="R11" i="6"/>
  <c r="S2" i="6"/>
  <c r="S11" i="6" l="1"/>
  <c r="S4" i="6"/>
  <c r="S1" i="6" s="1"/>
  <c r="S16" i="6"/>
  <c r="S9" i="6"/>
  <c r="S14" i="6"/>
  <c r="S8" i="6"/>
  <c r="S7" i="6"/>
  <c r="S19" i="6"/>
  <c r="S12" i="6"/>
  <c r="S5" i="6"/>
  <c r="S17" i="6"/>
  <c r="S10" i="6"/>
  <c r="S3" i="6"/>
  <c r="S15" i="6"/>
  <c r="S13" i="6"/>
  <c r="S6" i="6"/>
  <c r="S18" i="6"/>
  <c r="T2" i="6"/>
  <c r="U2" i="6" s="1"/>
  <c r="T6" i="6" l="1"/>
  <c r="T18" i="6"/>
  <c r="T11" i="6"/>
  <c r="T4" i="6"/>
  <c r="T1" i="6" s="1"/>
  <c r="T16" i="6"/>
  <c r="T9" i="6"/>
  <c r="T3" i="6"/>
  <c r="T14" i="6"/>
  <c r="T7" i="6"/>
  <c r="T19" i="6"/>
  <c r="T12" i="6"/>
  <c r="T15" i="6"/>
  <c r="T5" i="6"/>
  <c r="T17" i="6"/>
  <c r="T10" i="6"/>
  <c r="T8" i="6"/>
  <c r="T13" i="6"/>
  <c r="V2" i="6"/>
  <c r="W2" i="6" s="1"/>
</calcChain>
</file>

<file path=xl/sharedStrings.xml><?xml version="1.0" encoding="utf-8"?>
<sst xmlns="http://schemas.openxmlformats.org/spreadsheetml/2006/main" count="1164" uniqueCount="290">
  <si>
    <t>OPERATOR:2</t>
  </si>
  <si>
    <t>OPERATOR:4</t>
  </si>
  <si>
    <t>OPERATOR:8</t>
  </si>
  <si>
    <t>OPERATOR:9</t>
  </si>
  <si>
    <t>OPERATOR:5</t>
  </si>
  <si>
    <t>OPERATOR:10</t>
  </si>
  <si>
    <t>OPERATOR:11</t>
  </si>
  <si>
    <t>Kąt obrotu osi X</t>
  </si>
  <si>
    <t>Kąt obrotu osi Y</t>
  </si>
  <si>
    <t>Area_NM (Amp_full-Amp_NM)</t>
  </si>
  <si>
    <t>Area NM_005 (Aev_005-Amp_005)</t>
  </si>
  <si>
    <t>Area NM_05 (Aev_05-Amp_05)</t>
  </si>
  <si>
    <t>Procent_NM (((Area_NM/Aev)*100))</t>
  </si>
  <si>
    <t>Procent NM_005 (((Area_NM_005/Aev)*100))</t>
  </si>
  <si>
    <t>Procent NM_05 (((Area_NM_05/Aev)*100))</t>
  </si>
  <si>
    <t>Amp</t>
  </si>
  <si>
    <t>Aev</t>
  </si>
  <si>
    <t>Pp[Średnia]</t>
  </si>
  <si>
    <t>Pp[Std odch]</t>
  </si>
  <si>
    <t>Pp[Min]</t>
  </si>
  <si>
    <t>Pp[Max]</t>
  </si>
  <si>
    <t>Pv[Średnia]</t>
  </si>
  <si>
    <t>Pv[Std odch]</t>
  </si>
  <si>
    <t>Pv[Min]</t>
  </si>
  <si>
    <t>Pv[Max]</t>
  </si>
  <si>
    <t>Pz[Średnia]</t>
  </si>
  <si>
    <t>Pz[Std odch]</t>
  </si>
  <si>
    <t>Pz[Min]</t>
  </si>
  <si>
    <t>Pz[Max]</t>
  </si>
  <si>
    <t>Pc (Brak uśredniania (pojedyncza wartość))[Średnia]</t>
  </si>
  <si>
    <t>Pc (Brak uśredniania (pojedyncza wartość))[Std odch]</t>
  </si>
  <si>
    <t>Pc (Brak uśredniania (pojedyncza wartość))[Min]</t>
  </si>
  <si>
    <t>Pc (Brak uśredniania (pojedyncza wartość))[Max]</t>
  </si>
  <si>
    <t>Pt[Średnia]</t>
  </si>
  <si>
    <t>Pt[Std odch]</t>
  </si>
  <si>
    <t>Pt[Min]</t>
  </si>
  <si>
    <t>Pt[Max]</t>
  </si>
  <si>
    <t>Pa[Średnia]</t>
  </si>
  <si>
    <t>Pa[Std odch]</t>
  </si>
  <si>
    <t>Pa[Min]</t>
  </si>
  <si>
    <t>Pa[Max]</t>
  </si>
  <si>
    <t>Pq[Średnia]</t>
  </si>
  <si>
    <t>Pq[Std odch]</t>
  </si>
  <si>
    <t>Pq[Min]</t>
  </si>
  <si>
    <t>Pq[Max]</t>
  </si>
  <si>
    <t>Psk[Średnia]</t>
  </si>
  <si>
    <t>Psk[Std odch]</t>
  </si>
  <si>
    <t>Psk[Min]</t>
  </si>
  <si>
    <t>Psk[Max]</t>
  </si>
  <si>
    <t>Pku[Średnia]</t>
  </si>
  <si>
    <t>Pku[Std odch]</t>
  </si>
  <si>
    <t>Pku[Min]</t>
  </si>
  <si>
    <t>Pku[Max]</t>
  </si>
  <si>
    <t>PSm (Brak uśredniania (pojedyncza wartość))[Średnia]</t>
  </si>
  <si>
    <t>PSm (Brak uśredniania (pojedyncza wartość))[Std odch]</t>
  </si>
  <si>
    <t>PSm (Brak uśredniania (pojedyncza wartość))[Min]</t>
  </si>
  <si>
    <t>PSm (Brak uśredniania (pojedyncza wartość))[Max]</t>
  </si>
  <si>
    <t>Pdq[Średnia]</t>
  </si>
  <si>
    <t>Pdq[Std odch]</t>
  </si>
  <si>
    <t>Pdq[Min]</t>
  </si>
  <si>
    <t>Pdq[Max]</t>
  </si>
  <si>
    <t>Pmr (c = 1 µm poniżej najwyższego wypiętrzenia)[Średnia]</t>
  </si>
  <si>
    <t>Pmr (c = 1 µm poniżej najwyższego wypiętrzenia)[Std odch]</t>
  </si>
  <si>
    <t>Pmr (c = 1 µm poniżej najwyższego wypiętrzenia)[Min]</t>
  </si>
  <si>
    <t>Pmr (c = 1 µm poniżej najwyższego wypiętrzenia)[Max]</t>
  </si>
  <si>
    <t>Pdc (p = 20%, q = 80%)[Średnia]</t>
  </si>
  <si>
    <t>Pdc (p = 20%, q = 80%)[Std odch]</t>
  </si>
  <si>
    <t>Pdc (p = 20%, q = 80%)[Min]</t>
  </si>
  <si>
    <t>Pdc (p = 20%, q = 80%)[Max]</t>
  </si>
  <si>
    <t>PPc (Brak uśredniania (pojedyncza wartość))[Średnia]</t>
  </si>
  <si>
    <t>PPc (Brak uśredniania (pojedyncza wartość))[Std odch]</t>
  </si>
  <si>
    <t>PPc (Brak uśredniania (pojedyncza wartość))[Min]</t>
  </si>
  <si>
    <t>PPc (Brak uśredniania (pojedyncza wartość))[Max]</t>
  </si>
  <si>
    <t>Rp[Średnia]</t>
  </si>
  <si>
    <t>Rp[Std odch]</t>
  </si>
  <si>
    <t>Rp[Min]</t>
  </si>
  <si>
    <t>Rp[Max]</t>
  </si>
  <si>
    <t>Rv[Średnia]</t>
  </si>
  <si>
    <t>Rv[Std odch]</t>
  </si>
  <si>
    <t>Rv[Min]</t>
  </si>
  <si>
    <t>Rv[Max]</t>
  </si>
  <si>
    <t>Rz[Średnia]</t>
  </si>
  <si>
    <t>Rz[Std odch]</t>
  </si>
  <si>
    <t>Rz[Min]</t>
  </si>
  <si>
    <t>Rz[Max]</t>
  </si>
  <si>
    <t>Rc (Brak uśredniania (pojedyncza wartość))[Średnia]</t>
  </si>
  <si>
    <t>Rc (Brak uśredniania (pojedyncza wartość))[Std odch]</t>
  </si>
  <si>
    <t>Rc (Brak uśredniania (pojedyncza wartość))[Min]</t>
  </si>
  <si>
    <t>Rc (Brak uśredniania (pojedyncza wartość))[Max]</t>
  </si>
  <si>
    <t>Rt[Średnia]</t>
  </si>
  <si>
    <t>Rt[Std odch]</t>
  </si>
  <si>
    <t>Rt[Min]</t>
  </si>
  <si>
    <t>Rt[Max]</t>
  </si>
  <si>
    <t>Ra[Średnia]</t>
  </si>
  <si>
    <t>Ra[Std odch]</t>
  </si>
  <si>
    <t>Ra[Min]</t>
  </si>
  <si>
    <t>Ra[Max]</t>
  </si>
  <si>
    <t>Rq[Średnia]</t>
  </si>
  <si>
    <t>Rq[Std odch]</t>
  </si>
  <si>
    <t>Rq[Min]</t>
  </si>
  <si>
    <t>Rq[Max]</t>
  </si>
  <si>
    <t>Rsk[Średnia]</t>
  </si>
  <si>
    <t>Rsk[Std odch]</t>
  </si>
  <si>
    <t>Rsk[Min]</t>
  </si>
  <si>
    <t>Rsk[Max]</t>
  </si>
  <si>
    <t>Rku[Średnia]</t>
  </si>
  <si>
    <t>Rku[Std odch]</t>
  </si>
  <si>
    <t>Rku[Min]</t>
  </si>
  <si>
    <t>Rku[Max]</t>
  </si>
  <si>
    <t>Rp1max[Średnia]</t>
  </si>
  <si>
    <t>Rp1max[Std odch]</t>
  </si>
  <si>
    <t>Rp1max[Min]</t>
  </si>
  <si>
    <t>Rp1max[Max]</t>
  </si>
  <si>
    <t>Rv1max[Średnia]</t>
  </si>
  <si>
    <t>Rv1max[Std odch]</t>
  </si>
  <si>
    <t>Rv1max[Min]</t>
  </si>
  <si>
    <t>Rv1max[Max]</t>
  </si>
  <si>
    <t>Rz1max[Średnia]</t>
  </si>
  <si>
    <t>Rz1max[Std odch]</t>
  </si>
  <si>
    <t>Rz1max[Min]</t>
  </si>
  <si>
    <t>Rz1max[Max]</t>
  </si>
  <si>
    <t>Rz(n) (Wskaźnik λc = 1)[Średnia]</t>
  </si>
  <si>
    <t>Rz(n) (Wskaźnik λc = 1)[Std odch]</t>
  </si>
  <si>
    <t>Rz(n) (Wskaźnik λc = 1)[Min]</t>
  </si>
  <si>
    <t>Rz(n) (Wskaźnik λc = 1)[Max]</t>
  </si>
  <si>
    <t>RSm (Brak uśredniania (pojedyncza wartość))[Średnia]</t>
  </si>
  <si>
    <t>RSm (Brak uśredniania (pojedyncza wartość))[Std odch]</t>
  </si>
  <si>
    <t>RSm (Brak uśredniania (pojedyncza wartość))[Min]</t>
  </si>
  <si>
    <t>RSm (Brak uśredniania (pojedyncza wartość))[Max]</t>
  </si>
  <si>
    <t>Rdq[Średnia]</t>
  </si>
  <si>
    <t>Rdq[Std odch]</t>
  </si>
  <si>
    <t>Rdq[Min]</t>
  </si>
  <si>
    <t>Rdq[Max]</t>
  </si>
  <si>
    <t>Rmr (c = 1 µm poniżej najwyższego wypiętrzenia)[Średnia]</t>
  </si>
  <si>
    <t>Rmr (c = 1 µm poniżej najwyższego wypiętrzenia)[Std odch]</t>
  </si>
  <si>
    <t>Rmr (c = 1 µm poniżej najwyższego wypiętrzenia)[Min]</t>
  </si>
  <si>
    <t>Rmr (c = 1 µm poniżej najwyższego wypiętrzenia)[Max]</t>
  </si>
  <si>
    <t>Rdc (p = 20%, q = 80%)[Średnia]</t>
  </si>
  <si>
    <t>Rdc (p = 20%, q = 80%)[Std odch]</t>
  </si>
  <si>
    <t>Rdc (p = 20%, q = 80%)[Min]</t>
  </si>
  <si>
    <t>Rdc (p = 20%, q = 80%)[Max]</t>
  </si>
  <si>
    <t>Rmr (Rz/4) (c = Rz/4 µm powyżej płaszczyzny średniej)[Średnia]</t>
  </si>
  <si>
    <t>Rmr (Rz/4) (c = Rz/4 µm powyżej płaszczyzny średniej)[Std odch]</t>
  </si>
  <si>
    <t>Rmr (Rz/4) (c = Rz/4 µm powyżej płaszczyzny średniej)[Min]</t>
  </si>
  <si>
    <t>Rmr (Rz/4) (c = Rz/4 µm powyżej płaszczyzny średniej)[Max]</t>
  </si>
  <si>
    <t>RPc (Brak uśredniania (pojedyncza wartość))[Średnia]</t>
  </si>
  <si>
    <t>RPc (Brak uśredniania (pojedyncza wartość))[Std odch]</t>
  </si>
  <si>
    <t>RPc (Brak uśredniania (pojedyncza wartość))[Min]</t>
  </si>
  <si>
    <t>RPc (Brak uśredniania (pojedyncza wartość))[Max]</t>
  </si>
  <si>
    <t>Wp[Średnia]</t>
  </si>
  <si>
    <t>Wp[Std odch]</t>
  </si>
  <si>
    <t>Wp[Min]</t>
  </si>
  <si>
    <t>Wp[Max]</t>
  </si>
  <si>
    <t>Wv[Średnia]</t>
  </si>
  <si>
    <t>Wv[Std odch]</t>
  </si>
  <si>
    <t>Wv[Min]</t>
  </si>
  <si>
    <t>Wv[Max]</t>
  </si>
  <si>
    <t>Wz[Średnia]</t>
  </si>
  <si>
    <t>Wz[Std odch]</t>
  </si>
  <si>
    <t>Wz[Min]</t>
  </si>
  <si>
    <t>Wz[Max]</t>
  </si>
  <si>
    <t>Wc[Średnia]</t>
  </si>
  <si>
    <t>Wc[Std odch]</t>
  </si>
  <si>
    <t>Wc[Min]</t>
  </si>
  <si>
    <t>Wc[Max]</t>
  </si>
  <si>
    <t>Wt[Średnia]</t>
  </si>
  <si>
    <t>Wt[Std odch]</t>
  </si>
  <si>
    <t>Wt[Min]</t>
  </si>
  <si>
    <t>Wt[Max]</t>
  </si>
  <si>
    <t>Wa[Średnia]</t>
  </si>
  <si>
    <t>Wa[Std odch]</t>
  </si>
  <si>
    <t>Wa[Min]</t>
  </si>
  <si>
    <t>Wa[Max]</t>
  </si>
  <si>
    <t>Wq[Średnia]</t>
  </si>
  <si>
    <t>Wq[Std odch]</t>
  </si>
  <si>
    <t>Wq[Min]</t>
  </si>
  <si>
    <t>Wq[Max]</t>
  </si>
  <si>
    <t>Wsk[Średnia]</t>
  </si>
  <si>
    <t>Wsk[Std odch]</t>
  </si>
  <si>
    <t>Wsk[Min]</t>
  </si>
  <si>
    <t>Wsk[Max]</t>
  </si>
  <si>
    <t>Wku[Średnia]</t>
  </si>
  <si>
    <t>Wku[Std odch]</t>
  </si>
  <si>
    <t>Wku[Min]</t>
  </si>
  <si>
    <t>Wku[Max]</t>
  </si>
  <si>
    <t>WSm[Średnia]</t>
  </si>
  <si>
    <t>WSm[Std odch]</t>
  </si>
  <si>
    <t>WSm[Min]</t>
  </si>
  <si>
    <t>WSm[Max]</t>
  </si>
  <si>
    <t>Wdq[Średnia]</t>
  </si>
  <si>
    <t>Wdq[Std odch]</t>
  </si>
  <si>
    <t>Wdq[Min]</t>
  </si>
  <si>
    <t>Wdq[Max]</t>
  </si>
  <si>
    <t>Wmr (c = 1 µm poniżej najwyższego wypiętrzenia)[Średnia]</t>
  </si>
  <si>
    <t>Wmr (c = 1 µm poniżej najwyższego wypiętrzenia)[Std odch]</t>
  </si>
  <si>
    <t>Wmr (c = 1 µm poniżej najwyższego wypiętrzenia)[Min]</t>
  </si>
  <si>
    <t>Wmr (c = 1 µm poniżej najwyższego wypiętrzenia)[Max]</t>
  </si>
  <si>
    <t>Wdc (p = 20%, q = 80%)[Średnia]</t>
  </si>
  <si>
    <t>Wdc (p = 20%, q = 80%)[Std odch]</t>
  </si>
  <si>
    <t>Wdc (p = 20%, q = 80%)[Min]</t>
  </si>
  <si>
    <t>Wdc (p = 20%, q = 80%)[Max]</t>
  </si>
  <si>
    <t>Wmr (Wz/4)[Średnia]</t>
  </si>
  <si>
    <t>Wmr (Wz/4)[Std odch]</t>
  </si>
  <si>
    <t>Wmr (Wz/4)[Min]</t>
  </si>
  <si>
    <t>Wmr (Wz/4)[Max]</t>
  </si>
  <si>
    <t>WPc[Średnia]</t>
  </si>
  <si>
    <t>WPc[Std odch]</t>
  </si>
  <si>
    <t>WPc[Min]</t>
  </si>
  <si>
    <t>WPc[Max]</t>
  </si>
  <si>
    <t>Sq</t>
  </si>
  <si>
    <t>Ssk</t>
  </si>
  <si>
    <t>Sku</t>
  </si>
  <si>
    <t>Sp</t>
  </si>
  <si>
    <t>Sv</t>
  </si>
  <si>
    <t>Sz</t>
  </si>
  <si>
    <t>Sa</t>
  </si>
  <si>
    <t>Vm (p = 10%)</t>
  </si>
  <si>
    <t>Vv (p = 10%)</t>
  </si>
  <si>
    <t>Vmp (p = 10%)</t>
  </si>
  <si>
    <t>Vmc (p = 10%, q = 80%)</t>
  </si>
  <si>
    <t>Vvc (p = 10%, q = 80%)</t>
  </si>
  <si>
    <t>Vvv (p = 80%)</t>
  </si>
  <si>
    <t>Sk</t>
  </si>
  <si>
    <t>Spk</t>
  </si>
  <si>
    <t>Svk</t>
  </si>
  <si>
    <t>Smrk1</t>
  </si>
  <si>
    <t>Smrk2</t>
  </si>
  <si>
    <t>Vmp</t>
  </si>
  <si>
    <t>Vmc</t>
  </si>
  <si>
    <t>Vvc</t>
  </si>
  <si>
    <t>Vvv</t>
  </si>
  <si>
    <t>Izotropię</t>
  </si>
  <si>
    <t>Pierwszy kierunek</t>
  </si>
  <si>
    <t>Drugi kierunek</t>
  </si>
  <si>
    <t>Trzeci kierunek</t>
  </si>
  <si>
    <t>°</t>
  </si>
  <si>
    <t>mm²</t>
  </si>
  <si>
    <t>mm2</t>
  </si>
  <si>
    <t>%</t>
  </si>
  <si>
    <t>µm</t>
  </si>
  <si>
    <t>&lt;no unit&gt;</t>
  </si>
  <si>
    <t>mm</t>
  </si>
  <si>
    <t>1/cm</t>
  </si>
  <si>
    <t>mm³/mm²</t>
  </si>
  <si>
    <t>*****</t>
  </si>
  <si>
    <t>Conf blue</t>
  </si>
  <si>
    <t>Conf green</t>
  </si>
  <si>
    <t>Conf red</t>
  </si>
  <si>
    <t>Fusion blue</t>
  </si>
  <si>
    <t>Fusion green</t>
  </si>
  <si>
    <t>Fusion red</t>
  </si>
  <si>
    <t>FV blue</t>
  </si>
  <si>
    <t>FV green</t>
  </si>
  <si>
    <t>FV red</t>
  </si>
  <si>
    <t>Int blue</t>
  </si>
  <si>
    <t>Int gree</t>
  </si>
  <si>
    <t>Int red</t>
  </si>
  <si>
    <t>Int blue 2</t>
  </si>
  <si>
    <t>Int white</t>
  </si>
  <si>
    <t>Amp_baza</t>
  </si>
  <si>
    <t>Aev_baza</t>
  </si>
  <si>
    <t>Amp - powierzchnia zmierzonych punktów rzeczywistych</t>
  </si>
  <si>
    <t>Aev  -obszar oceny teoretyczny</t>
  </si>
  <si>
    <t>Amp_005</t>
  </si>
  <si>
    <t>Aev_005</t>
  </si>
  <si>
    <t>Amp_05</t>
  </si>
  <si>
    <t>Aev_05</t>
  </si>
  <si>
    <t>Amp_wypełnione NM</t>
  </si>
  <si>
    <t>Baza</t>
  </si>
  <si>
    <t>Threshold 005</t>
  </si>
  <si>
    <t>Threshold 05</t>
  </si>
  <si>
    <t>%Baza</t>
  </si>
  <si>
    <t>%Threshold 005</t>
  </si>
  <si>
    <t>%Threshold 05</t>
  </si>
  <si>
    <t>O ile przesunięte</t>
  </si>
  <si>
    <t>Rp/Rv</t>
  </si>
  <si>
    <t>C45_5x5\C45_5x5\C45_B\C45_5x5 --- C45_B_x10_conf_blue_5x5.mnt</t>
  </si>
  <si>
    <t>C45_5x5\C45_5x5\C45_B\C45_5x5 --- C45_B_x10_conf_green_5x5.mnt</t>
  </si>
  <si>
    <t>C45_5x5\C45_5x5\C45_B\C45_5x5 --- C45_B_x10_conf_red_5x5.mnt</t>
  </si>
  <si>
    <t>C45_5x5\C45_5x5\C45_B\C45_5x5 --- C45_B_x10_fusion_blue_5x5.mnt</t>
  </si>
  <si>
    <t>C45_5x5\C45_5x5\C45_B\C45_5x5 --- C45_B_x10_fusion_green_5x5.mnt</t>
  </si>
  <si>
    <t>C45_5x5\C45_5x5\C45_B\C45_5x5 --- C45_B_x10_fusion_red_5x5.mnt</t>
  </si>
  <si>
    <t>C45_5x5\C45_5x5\C45_B\C45_5x5 --- C45_B_x10_FV_blue_5x5.mnt</t>
  </si>
  <si>
    <t>C45_5x5\C45_5x5\C45_B\C45_5x5 --- C45_B_x10_FV_green_5x5.mnt</t>
  </si>
  <si>
    <t>C45_5x5\C45_5x5\C45_B\C45_5x5 --- C45_B_x10_FV_red_5x5.mnt</t>
  </si>
  <si>
    <t>C45_5x5\C45_5x5\C45_B\C45_5x5 --- C45_B_x10_int_blue_5x5.mnt</t>
  </si>
  <si>
    <t>C45_5x5\C45_5x5\C45_B\C45_5x5 --- C45_B_x10_int_blue_5x5_pomiar2.mnt</t>
  </si>
  <si>
    <t>C45_5x5\C45_B\C45_5x5 --- C45_B_x10_int_green_5x5.mnt</t>
  </si>
  <si>
    <t>C45_5x5\C45_5x5\C45_B\C45_5x5 --- C45_B_x10_int_red_5x5.mnt</t>
  </si>
  <si>
    <t>C45_5x5\C45_5x5\C45_B\C45_5x5 --- C45_B_x10_int_white_5x5.mnt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</si>
</sst>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%"/>
    <numFmt numFmtId="165" formatCode="0.000"/>
    <numFmt numFmtId="166" formatCode="0.0000"/>
  </numFmts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11" fontId="0" fillId="0" borderId="0" xfId="0" applyNumberFormat="1"/>
    <xf numFmtId="164" fontId="0" fillId="0" borderId="0" xfId="1" applyNumberFormat="1" applyFont="1"/>
    <xf numFmtId="165" fontId="0" fillId="0" borderId="0" xfId="0" applyNumberFormat="1"/>
    <xf numFmtId="0" fontId="0" fillId="33" borderId="0" xfId="0" applyFill="1"/>
    <xf numFmtId="166" fontId="0" fillId="0" borderId="0" xfId="0" applyNumberFormat="1"/>
    <xf numFmtId="14" fontId="0" fillId="33" borderId="0" xfId="0" applyNumberFormat="1" applyFill="1"/>
    <xf numFmtId="166" fontId="0" fillId="33" borderId="0" xfId="0" applyNumberFormat="1" applyFill="1"/>
  </cellXfs>
  <cellStyles count="43">
    <cellStyle name="20% — akcent 1" xfId="20" builtinId="30" customBuiltin="1"/>
    <cellStyle name="20% — akcent 2" xfId="24" builtinId="34" customBuiltin="1"/>
    <cellStyle name="20% — akcent 3" xfId="28" builtinId="38" customBuiltin="1"/>
    <cellStyle name="20% — akcent 4" xfId="32" builtinId="42" customBuiltin="1"/>
    <cellStyle name="20% — akcent 5" xfId="36" builtinId="46" customBuiltin="1"/>
    <cellStyle name="20% — akcent 6" xfId="40" builtinId="50" customBuiltin="1"/>
    <cellStyle name="40% — akcent 1" xfId="21" builtinId="31" customBuiltin="1"/>
    <cellStyle name="40% — akcent 2" xfId="25" builtinId="35" customBuiltin="1"/>
    <cellStyle name="40% — akcent 3" xfId="29" builtinId="39" customBuiltin="1"/>
    <cellStyle name="40% — akcent 4" xfId="33" builtinId="43" customBuiltin="1"/>
    <cellStyle name="40% — akcent 5" xfId="37" builtinId="47" customBuiltin="1"/>
    <cellStyle name="40% — akcent 6" xfId="41" builtinId="51" customBuiltin="1"/>
    <cellStyle name="60% — akcent 1" xfId="22" builtinId="32" customBuiltin="1"/>
    <cellStyle name="60% — akcent 2" xfId="26" builtinId="36" customBuiltin="1"/>
    <cellStyle name="60% — akcent 3" xfId="30" builtinId="40" customBuiltin="1"/>
    <cellStyle name="60% — akcent 4" xfId="34" builtinId="44" customBuiltin="1"/>
    <cellStyle name="60% — akcent 5" xfId="38" builtinId="48" customBuiltin="1"/>
    <cellStyle name="60% — akcent 6" xfId="42" builtinId="52" customBuiltin="1"/>
    <cellStyle name="Akcent 1" xfId="19" builtinId="29" customBuiltin="1"/>
    <cellStyle name="Akcent 2" xfId="23" builtinId="33" customBuiltin="1"/>
    <cellStyle name="Akcent 3" xfId="27" builtinId="37" customBuiltin="1"/>
    <cellStyle name="Akcent 4" xfId="31" builtinId="41" customBuiltin="1"/>
    <cellStyle name="Akcent 5" xfId="35" builtinId="45" customBuiltin="1"/>
    <cellStyle name="Akcent 6" xfId="39" builtinId="49" customBuiltin="1"/>
    <cellStyle name="Dane wejściowe" xfId="10" builtinId="20" customBuiltin="1"/>
    <cellStyle name="Dane wyjściowe" xfId="11" builtinId="21" customBuiltin="1"/>
    <cellStyle name="Dobry" xfId="7" builtinId="26" customBuiltin="1"/>
    <cellStyle name="Komórka połączona" xfId="13" builtinId="24" customBuiltin="1"/>
    <cellStyle name="Komórka zaznaczona" xfId="14" builtinId="23" customBuiltin="1"/>
    <cellStyle name="Nagłówek 1" xfId="3" builtinId="16" customBuiltin="1"/>
    <cellStyle name="Nagłówek 2" xfId="4" builtinId="17" customBuiltin="1"/>
    <cellStyle name="Nagłówek 3" xfId="5" builtinId="18" customBuiltin="1"/>
    <cellStyle name="Nagłówek 4" xfId="6" builtinId="19" customBuiltin="1"/>
    <cellStyle name="Neutralny" xfId="9" builtinId="28" customBuiltin="1"/>
    <cellStyle name="Normalny" xfId="0" builtinId="0"/>
    <cellStyle name="Obliczenia" xfId="12" builtinId="22" customBuiltin="1"/>
    <cellStyle name="Procentowy" xfId="1" builtinId="5"/>
    <cellStyle name="Suma" xfId="18" builtinId="25" customBuiltin="1"/>
    <cellStyle name="Tekst objaśnienia" xfId="17" builtinId="53" customBuiltin="1"/>
    <cellStyle name="Tekst ostrzeżenia" xfId="15" builtinId="11" customBuiltin="1"/>
    <cellStyle name="Tytuł" xfId="2" builtinId="15" customBuiltin="1"/>
    <cellStyle name="Uwaga" xfId="16" builtinId="10" customBuiltin="1"/>
    <cellStyle name="Zły" xfId="8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274320</xdr:colOff>
      <xdr:row>19</xdr:row>
      <xdr:rowOff>15240</xdr:rowOff>
    </xdr:from>
    <xdr:to>
      <xdr:col>6</xdr:col>
      <xdr:colOff>259080</xdr:colOff>
      <xdr:row>24</xdr:row>
      <xdr:rowOff>7620</xdr:rowOff>
    </xdr:to>
    <xdr:sp macro="" textlink="">
      <xdr:nvSpPr>
        <xdr:cNvPr id="2" name="pole tekstowe 1">
          <a:extLst>
            <a:ext uri="{FF2B5EF4-FFF2-40B4-BE49-F238E27FC236}">
              <a16:creationId xmlns:a16="http://schemas.microsoft.com/office/drawing/2014/main" id="{50CC5A30-734B-4970-B1F9-8B3F3CCF0ACD}"/>
            </a:ext>
          </a:extLst>
        </xdr:cNvPr>
        <xdr:cNvSpPr txBox="1"/>
      </xdr:nvSpPr>
      <xdr:spPr>
        <a:xfrm>
          <a:off x="883920" y="3672840"/>
          <a:ext cx="3870960" cy="9067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l-PL" sz="1600"/>
            <a:t>Dla potrzeb Graphera i wspólnych wykresów osunięto Int</a:t>
          </a:r>
          <a:r>
            <a:rPr lang="pl-PL" sz="1600" baseline="0"/>
            <a:t> blue z danych</a:t>
          </a:r>
          <a:endParaRPr lang="pl-PL" sz="16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45720</xdr:colOff>
      <xdr:row>18</xdr:row>
      <xdr:rowOff>91440</xdr:rowOff>
    </xdr:from>
    <xdr:to>
      <xdr:col>13</xdr:col>
      <xdr:colOff>213360</xdr:colOff>
      <xdr:row>23</xdr:row>
      <xdr:rowOff>83820</xdr:rowOff>
    </xdr:to>
    <xdr:sp macro="" textlink="">
      <xdr:nvSpPr>
        <xdr:cNvPr id="2" name="pole tekstowe 1">
          <a:extLst>
            <a:ext uri="{FF2B5EF4-FFF2-40B4-BE49-F238E27FC236}">
              <a16:creationId xmlns:a16="http://schemas.microsoft.com/office/drawing/2014/main" id="{86B8C50B-FF17-424D-83D0-CBAC23B2D3F1}"/>
            </a:ext>
          </a:extLst>
        </xdr:cNvPr>
        <xdr:cNvSpPr txBox="1"/>
      </xdr:nvSpPr>
      <xdr:spPr>
        <a:xfrm>
          <a:off x="6141720" y="3383280"/>
          <a:ext cx="3870960" cy="9067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l-PL" sz="1600"/>
            <a:t>Dla potrzeb Graphera i współnuch wykresów osunięto Int</a:t>
          </a:r>
          <a:r>
            <a:rPr lang="pl-PL" sz="1600" baseline="0"/>
            <a:t> blue z danych</a:t>
          </a:r>
          <a:endParaRPr lang="pl-PL" sz="1600"/>
        </a:p>
      </xdr:txBody>
    </xdr:sp>
    <xdr:clientData/>
  </xdr:twoCellAnchor>
</xdr:wsDr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U17"/>
  <sheetViews>
    <sheetView tabSelected="1" workbookViewId="0">
      <selection sqref="A1:A1048576"/>
    </sheetView>
  </sheetViews>
  <sheetFormatPr baseColWidth="10" defaultColWidth="8.83203125" defaultRowHeight="15" x14ac:dyDescent="0.2"/>
  <sheetData>
    <row r="1" spans="1:463" x14ac:dyDescent="0.2">
      <c r="B1" t="s">
        <v>0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>
        <v>5</v>
      </c>
      <c r="K1">
        <v>5</v>
      </c>
      <c r="L1">
        <v>6</v>
      </c>
      <c r="M1">
        <v>6</v>
      </c>
      <c r="N1">
        <v>13</v>
      </c>
      <c r="O1">
        <v>13</v>
      </c>
      <c r="P1">
        <v>14</v>
      </c>
      <c r="Q1">
        <v>14</v>
      </c>
      <c r="R1">
        <v>40</v>
      </c>
      <c r="S1">
        <v>40</v>
      </c>
      <c r="T1">
        <v>40</v>
      </c>
      <c r="U1">
        <v>40</v>
      </c>
      <c r="V1">
        <v>40</v>
      </c>
      <c r="W1">
        <v>40</v>
      </c>
      <c r="X1">
        <v>40</v>
      </c>
      <c r="Y1">
        <v>40</v>
      </c>
      <c r="Z1">
        <v>40</v>
      </c>
      <c r="AA1">
        <v>40</v>
      </c>
      <c r="AB1">
        <v>40</v>
      </c>
      <c r="AC1">
        <v>40</v>
      </c>
      <c r="AD1">
        <v>40</v>
      </c>
      <c r="AE1">
        <v>40</v>
      </c>
      <c r="AF1">
        <v>40</v>
      </c>
      <c r="AG1">
        <v>40</v>
      </c>
      <c r="AH1">
        <v>40</v>
      </c>
      <c r="AI1">
        <v>40</v>
      </c>
      <c r="AJ1">
        <v>40</v>
      </c>
      <c r="AK1">
        <v>40</v>
      </c>
      <c r="AL1">
        <v>40</v>
      </c>
      <c r="AM1">
        <v>40</v>
      </c>
      <c r="AN1">
        <v>40</v>
      </c>
      <c r="AO1">
        <v>40</v>
      </c>
      <c r="AP1">
        <v>40</v>
      </c>
      <c r="AQ1">
        <v>40</v>
      </c>
      <c r="AR1">
        <v>40</v>
      </c>
      <c r="AS1">
        <v>40</v>
      </c>
      <c r="AT1">
        <v>40</v>
      </c>
      <c r="AU1">
        <v>40</v>
      </c>
      <c r="AV1">
        <v>40</v>
      </c>
      <c r="AW1">
        <v>40</v>
      </c>
      <c r="AX1">
        <v>40</v>
      </c>
      <c r="AY1">
        <v>40</v>
      </c>
      <c r="AZ1">
        <v>40</v>
      </c>
      <c r="BA1">
        <v>40</v>
      </c>
      <c r="BB1">
        <v>40</v>
      </c>
      <c r="BC1">
        <v>40</v>
      </c>
      <c r="BD1">
        <v>40</v>
      </c>
      <c r="BE1">
        <v>40</v>
      </c>
      <c r="BF1">
        <v>40</v>
      </c>
      <c r="BG1">
        <v>40</v>
      </c>
      <c r="BH1">
        <v>40</v>
      </c>
      <c r="BI1">
        <v>40</v>
      </c>
      <c r="BJ1">
        <v>40</v>
      </c>
      <c r="BK1">
        <v>40</v>
      </c>
      <c r="BL1">
        <v>40</v>
      </c>
      <c r="BM1">
        <v>40</v>
      </c>
      <c r="BN1">
        <v>40</v>
      </c>
      <c r="BO1">
        <v>40</v>
      </c>
      <c r="BP1">
        <v>40</v>
      </c>
      <c r="BQ1">
        <v>40</v>
      </c>
      <c r="BR1">
        <v>40</v>
      </c>
      <c r="BS1">
        <v>40</v>
      </c>
      <c r="BT1">
        <v>40</v>
      </c>
      <c r="BU1">
        <v>40</v>
      </c>
      <c r="BV1">
        <v>41</v>
      </c>
      <c r="BW1">
        <v>41</v>
      </c>
      <c r="BX1">
        <v>41</v>
      </c>
      <c r="BY1">
        <v>41</v>
      </c>
      <c r="BZ1">
        <v>41</v>
      </c>
      <c r="CA1">
        <v>41</v>
      </c>
      <c r="CB1">
        <v>41</v>
      </c>
      <c r="CC1">
        <v>41</v>
      </c>
      <c r="CD1">
        <v>41</v>
      </c>
      <c r="CE1">
        <v>41</v>
      </c>
      <c r="CF1">
        <v>41</v>
      </c>
      <c r="CG1">
        <v>41</v>
      </c>
      <c r="CH1">
        <v>41</v>
      </c>
      <c r="CI1">
        <v>41</v>
      </c>
      <c r="CJ1">
        <v>41</v>
      </c>
      <c r="CK1">
        <v>41</v>
      </c>
      <c r="CL1">
        <v>41</v>
      </c>
      <c r="CM1">
        <v>41</v>
      </c>
      <c r="CN1">
        <v>41</v>
      </c>
      <c r="CO1">
        <v>41</v>
      </c>
      <c r="CP1">
        <v>41</v>
      </c>
      <c r="CQ1">
        <v>41</v>
      </c>
      <c r="CR1">
        <v>41</v>
      </c>
      <c r="CS1">
        <v>41</v>
      </c>
      <c r="CT1">
        <v>41</v>
      </c>
      <c r="CU1">
        <v>41</v>
      </c>
      <c r="CV1">
        <v>41</v>
      </c>
      <c r="CW1">
        <v>41</v>
      </c>
      <c r="CX1">
        <v>41</v>
      </c>
      <c r="CY1">
        <v>41</v>
      </c>
      <c r="CZ1">
        <v>41</v>
      </c>
      <c r="DA1">
        <v>41</v>
      </c>
      <c r="DB1">
        <v>41</v>
      </c>
      <c r="DC1">
        <v>41</v>
      </c>
      <c r="DD1">
        <v>41</v>
      </c>
      <c r="DE1">
        <v>41</v>
      </c>
      <c r="DF1">
        <v>41</v>
      </c>
      <c r="DG1">
        <v>41</v>
      </c>
      <c r="DH1">
        <v>41</v>
      </c>
      <c r="DI1">
        <v>41</v>
      </c>
      <c r="DJ1">
        <v>41</v>
      </c>
      <c r="DK1">
        <v>41</v>
      </c>
      <c r="DL1">
        <v>41</v>
      </c>
      <c r="DM1">
        <v>41</v>
      </c>
      <c r="DN1">
        <v>41</v>
      </c>
      <c r="DO1">
        <v>41</v>
      </c>
      <c r="DP1">
        <v>41</v>
      </c>
      <c r="DQ1">
        <v>41</v>
      </c>
      <c r="DR1">
        <v>41</v>
      </c>
      <c r="DS1">
        <v>41</v>
      </c>
      <c r="DT1">
        <v>41</v>
      </c>
      <c r="DU1">
        <v>41</v>
      </c>
      <c r="DV1">
        <v>41</v>
      </c>
      <c r="DW1">
        <v>41</v>
      </c>
      <c r="DX1">
        <v>41</v>
      </c>
      <c r="DY1">
        <v>41</v>
      </c>
      <c r="DZ1">
        <v>50</v>
      </c>
      <c r="EA1">
        <v>50</v>
      </c>
      <c r="EB1">
        <v>50</v>
      </c>
      <c r="EC1">
        <v>50</v>
      </c>
      <c r="ED1">
        <v>50</v>
      </c>
      <c r="EE1">
        <v>50</v>
      </c>
      <c r="EF1">
        <v>50</v>
      </c>
      <c r="EG1">
        <v>50</v>
      </c>
      <c r="EH1">
        <v>50</v>
      </c>
      <c r="EI1">
        <v>50</v>
      </c>
      <c r="EJ1">
        <v>50</v>
      </c>
      <c r="EK1">
        <v>50</v>
      </c>
      <c r="EL1">
        <v>50</v>
      </c>
      <c r="EM1">
        <v>50</v>
      </c>
      <c r="EN1">
        <v>50</v>
      </c>
      <c r="EO1">
        <v>50</v>
      </c>
      <c r="EP1">
        <v>50</v>
      </c>
      <c r="EQ1">
        <v>50</v>
      </c>
      <c r="ER1">
        <v>50</v>
      </c>
      <c r="ES1">
        <v>50</v>
      </c>
      <c r="ET1">
        <v>50</v>
      </c>
      <c r="EU1">
        <v>50</v>
      </c>
      <c r="EV1">
        <v>50</v>
      </c>
      <c r="EW1">
        <v>50</v>
      </c>
      <c r="EX1">
        <v>50</v>
      </c>
      <c r="EY1">
        <v>50</v>
      </c>
      <c r="EZ1">
        <v>50</v>
      </c>
      <c r="FA1">
        <v>50</v>
      </c>
      <c r="FB1">
        <v>50</v>
      </c>
      <c r="FC1">
        <v>50</v>
      </c>
      <c r="FD1">
        <v>50</v>
      </c>
      <c r="FE1">
        <v>50</v>
      </c>
      <c r="FF1">
        <v>50</v>
      </c>
      <c r="FG1">
        <v>50</v>
      </c>
      <c r="FH1">
        <v>50</v>
      </c>
      <c r="FI1">
        <v>50</v>
      </c>
      <c r="FJ1">
        <v>50</v>
      </c>
      <c r="FK1">
        <v>50</v>
      </c>
      <c r="FL1">
        <v>50</v>
      </c>
      <c r="FM1">
        <v>50</v>
      </c>
      <c r="FN1">
        <v>50</v>
      </c>
      <c r="FO1">
        <v>50</v>
      </c>
      <c r="FP1">
        <v>50</v>
      </c>
      <c r="FQ1">
        <v>50</v>
      </c>
      <c r="FR1">
        <v>50</v>
      </c>
      <c r="FS1">
        <v>50</v>
      </c>
      <c r="FT1">
        <v>50</v>
      </c>
      <c r="FU1">
        <v>50</v>
      </c>
      <c r="FV1">
        <v>50</v>
      </c>
      <c r="FW1">
        <v>50</v>
      </c>
      <c r="FX1">
        <v>50</v>
      </c>
      <c r="FY1">
        <v>50</v>
      </c>
      <c r="FZ1">
        <v>50</v>
      </c>
      <c r="GA1">
        <v>50</v>
      </c>
      <c r="GB1">
        <v>50</v>
      </c>
      <c r="GC1">
        <v>50</v>
      </c>
      <c r="GD1">
        <v>50</v>
      </c>
      <c r="GE1">
        <v>50</v>
      </c>
      <c r="GF1">
        <v>50</v>
      </c>
      <c r="GG1">
        <v>50</v>
      </c>
      <c r="GH1">
        <v>50</v>
      </c>
      <c r="GI1">
        <v>50</v>
      </c>
      <c r="GJ1">
        <v>50</v>
      </c>
      <c r="GK1">
        <v>50</v>
      </c>
      <c r="GL1">
        <v>50</v>
      </c>
      <c r="GM1">
        <v>50</v>
      </c>
      <c r="GN1">
        <v>50</v>
      </c>
      <c r="GO1">
        <v>50</v>
      </c>
      <c r="GP1">
        <v>50</v>
      </c>
      <c r="GQ1">
        <v>50</v>
      </c>
      <c r="GR1">
        <v>50</v>
      </c>
      <c r="GS1">
        <v>50</v>
      </c>
      <c r="GT1">
        <v>50</v>
      </c>
      <c r="GU1">
        <v>50</v>
      </c>
      <c r="GV1">
        <v>50</v>
      </c>
      <c r="GW1">
        <v>50</v>
      </c>
      <c r="GX1">
        <v>51</v>
      </c>
      <c r="GY1">
        <v>51</v>
      </c>
      <c r="GZ1">
        <v>51</v>
      </c>
      <c r="HA1">
        <v>51</v>
      </c>
      <c r="HB1">
        <v>51</v>
      </c>
      <c r="HC1">
        <v>51</v>
      </c>
      <c r="HD1">
        <v>51</v>
      </c>
      <c r="HE1">
        <v>51</v>
      </c>
      <c r="HF1">
        <v>51</v>
      </c>
      <c r="HG1">
        <v>51</v>
      </c>
      <c r="HH1">
        <v>51</v>
      </c>
      <c r="HI1">
        <v>51</v>
      </c>
      <c r="HJ1">
        <v>51</v>
      </c>
      <c r="HK1">
        <v>51</v>
      </c>
      <c r="HL1">
        <v>51</v>
      </c>
      <c r="HM1">
        <v>51</v>
      </c>
      <c r="HN1">
        <v>51</v>
      </c>
      <c r="HO1">
        <v>51</v>
      </c>
      <c r="HP1">
        <v>51</v>
      </c>
      <c r="HQ1">
        <v>51</v>
      </c>
      <c r="HR1">
        <v>51</v>
      </c>
      <c r="HS1">
        <v>51</v>
      </c>
      <c r="HT1">
        <v>51</v>
      </c>
      <c r="HU1">
        <v>51</v>
      </c>
      <c r="HV1">
        <v>51</v>
      </c>
      <c r="HW1">
        <v>51</v>
      </c>
      <c r="HX1">
        <v>51</v>
      </c>
      <c r="HY1">
        <v>51</v>
      </c>
      <c r="HZ1">
        <v>51</v>
      </c>
      <c r="IA1">
        <v>51</v>
      </c>
      <c r="IB1">
        <v>51</v>
      </c>
      <c r="IC1">
        <v>51</v>
      </c>
      <c r="ID1">
        <v>51</v>
      </c>
      <c r="IE1">
        <v>51</v>
      </c>
      <c r="IF1">
        <v>51</v>
      </c>
      <c r="IG1">
        <v>51</v>
      </c>
      <c r="IH1">
        <v>51</v>
      </c>
      <c r="II1">
        <v>51</v>
      </c>
      <c r="IJ1">
        <v>51</v>
      </c>
      <c r="IK1">
        <v>51</v>
      </c>
      <c r="IL1">
        <v>51</v>
      </c>
      <c r="IM1">
        <v>51</v>
      </c>
      <c r="IN1">
        <v>51</v>
      </c>
      <c r="IO1">
        <v>51</v>
      </c>
      <c r="IP1">
        <v>51</v>
      </c>
      <c r="IQ1">
        <v>51</v>
      </c>
      <c r="IR1">
        <v>51</v>
      </c>
      <c r="IS1">
        <v>51</v>
      </c>
      <c r="IT1">
        <v>51</v>
      </c>
      <c r="IU1">
        <v>51</v>
      </c>
      <c r="IV1">
        <v>51</v>
      </c>
      <c r="IW1">
        <v>51</v>
      </c>
      <c r="IX1">
        <v>51</v>
      </c>
      <c r="IY1">
        <v>51</v>
      </c>
      <c r="IZ1">
        <v>51</v>
      </c>
      <c r="JA1">
        <v>51</v>
      </c>
      <c r="JB1">
        <v>51</v>
      </c>
      <c r="JC1">
        <v>51</v>
      </c>
      <c r="JD1">
        <v>51</v>
      </c>
      <c r="JE1">
        <v>51</v>
      </c>
      <c r="JF1">
        <v>51</v>
      </c>
      <c r="JG1">
        <v>51</v>
      </c>
      <c r="JH1">
        <v>51</v>
      </c>
      <c r="JI1">
        <v>51</v>
      </c>
      <c r="JJ1">
        <v>51</v>
      </c>
      <c r="JK1">
        <v>51</v>
      </c>
      <c r="JL1">
        <v>51</v>
      </c>
      <c r="JM1">
        <v>51</v>
      </c>
      <c r="JN1">
        <v>51</v>
      </c>
      <c r="JO1">
        <v>51</v>
      </c>
      <c r="JP1">
        <v>51</v>
      </c>
      <c r="JQ1">
        <v>51</v>
      </c>
      <c r="JR1">
        <v>51</v>
      </c>
      <c r="JS1">
        <v>51</v>
      </c>
      <c r="JT1">
        <v>51</v>
      </c>
      <c r="JU1">
        <v>51</v>
      </c>
      <c r="JV1">
        <v>60</v>
      </c>
      <c r="JW1">
        <v>60</v>
      </c>
      <c r="JX1">
        <v>60</v>
      </c>
      <c r="JY1">
        <v>60</v>
      </c>
      <c r="JZ1">
        <v>60</v>
      </c>
      <c r="KA1">
        <v>60</v>
      </c>
      <c r="KB1">
        <v>60</v>
      </c>
      <c r="KC1">
        <v>60</v>
      </c>
      <c r="KD1">
        <v>60</v>
      </c>
      <c r="KE1">
        <v>60</v>
      </c>
      <c r="KF1">
        <v>60</v>
      </c>
      <c r="KG1">
        <v>60</v>
      </c>
      <c r="KH1">
        <v>60</v>
      </c>
      <c r="KI1">
        <v>60</v>
      </c>
      <c r="KJ1">
        <v>60</v>
      </c>
      <c r="KK1">
        <v>60</v>
      </c>
      <c r="KL1">
        <v>60</v>
      </c>
      <c r="KM1">
        <v>60</v>
      </c>
      <c r="KN1">
        <v>60</v>
      </c>
      <c r="KO1">
        <v>60</v>
      </c>
      <c r="KP1">
        <v>60</v>
      </c>
      <c r="KQ1">
        <v>60</v>
      </c>
      <c r="KR1">
        <v>60</v>
      </c>
      <c r="KS1">
        <v>60</v>
      </c>
      <c r="KT1">
        <v>60</v>
      </c>
      <c r="KU1">
        <v>60</v>
      </c>
      <c r="KV1">
        <v>60</v>
      </c>
      <c r="KW1">
        <v>60</v>
      </c>
      <c r="KX1">
        <v>60</v>
      </c>
      <c r="KY1">
        <v>60</v>
      </c>
      <c r="KZ1">
        <v>60</v>
      </c>
      <c r="LA1">
        <v>60</v>
      </c>
      <c r="LB1">
        <v>60</v>
      </c>
      <c r="LC1">
        <v>60</v>
      </c>
      <c r="LD1">
        <v>60</v>
      </c>
      <c r="LE1">
        <v>60</v>
      </c>
      <c r="LF1">
        <v>60</v>
      </c>
      <c r="LG1">
        <v>60</v>
      </c>
      <c r="LH1">
        <v>60</v>
      </c>
      <c r="LI1">
        <v>60</v>
      </c>
      <c r="LJ1">
        <v>60</v>
      </c>
      <c r="LK1">
        <v>60</v>
      </c>
      <c r="LL1">
        <v>60</v>
      </c>
      <c r="LM1">
        <v>60</v>
      </c>
      <c r="LN1">
        <v>60</v>
      </c>
      <c r="LO1">
        <v>60</v>
      </c>
      <c r="LP1">
        <v>60</v>
      </c>
      <c r="LQ1">
        <v>60</v>
      </c>
      <c r="LR1">
        <v>60</v>
      </c>
      <c r="LS1">
        <v>60</v>
      </c>
      <c r="LT1">
        <v>60</v>
      </c>
      <c r="LU1">
        <v>60</v>
      </c>
      <c r="LV1">
        <v>60</v>
      </c>
      <c r="LW1">
        <v>60</v>
      </c>
      <c r="LX1">
        <v>60</v>
      </c>
      <c r="LY1">
        <v>60</v>
      </c>
      <c r="LZ1">
        <v>60</v>
      </c>
      <c r="MA1">
        <v>60</v>
      </c>
      <c r="MB1">
        <v>60</v>
      </c>
      <c r="MC1">
        <v>60</v>
      </c>
      <c r="MD1">
        <v>61</v>
      </c>
      <c r="ME1">
        <v>61</v>
      </c>
      <c r="MF1">
        <v>61</v>
      </c>
      <c r="MG1">
        <v>61</v>
      </c>
      <c r="MH1">
        <v>61</v>
      </c>
      <c r="MI1">
        <v>61</v>
      </c>
      <c r="MJ1">
        <v>61</v>
      </c>
      <c r="MK1">
        <v>61</v>
      </c>
      <c r="ML1">
        <v>61</v>
      </c>
      <c r="MM1">
        <v>61</v>
      </c>
      <c r="MN1">
        <v>61</v>
      </c>
      <c r="MO1">
        <v>61</v>
      </c>
      <c r="MP1">
        <v>61</v>
      </c>
      <c r="MQ1">
        <v>61</v>
      </c>
      <c r="MR1">
        <v>61</v>
      </c>
      <c r="MS1">
        <v>61</v>
      </c>
      <c r="MT1">
        <v>61</v>
      </c>
      <c r="MU1">
        <v>61</v>
      </c>
      <c r="MV1">
        <v>61</v>
      </c>
      <c r="MW1">
        <v>61</v>
      </c>
      <c r="MX1">
        <v>61</v>
      </c>
      <c r="MY1">
        <v>61</v>
      </c>
      <c r="MZ1">
        <v>61</v>
      </c>
      <c r="NA1">
        <v>61</v>
      </c>
      <c r="NB1">
        <v>61</v>
      </c>
      <c r="NC1">
        <v>61</v>
      </c>
      <c r="ND1">
        <v>61</v>
      </c>
      <c r="NE1">
        <v>61</v>
      </c>
      <c r="NF1">
        <v>61</v>
      </c>
      <c r="NG1">
        <v>61</v>
      </c>
      <c r="NH1">
        <v>61</v>
      </c>
      <c r="NI1">
        <v>61</v>
      </c>
      <c r="NJ1">
        <v>61</v>
      </c>
      <c r="NK1">
        <v>61</v>
      </c>
      <c r="NL1">
        <v>61</v>
      </c>
      <c r="NM1">
        <v>61</v>
      </c>
      <c r="NN1">
        <v>61</v>
      </c>
      <c r="NO1">
        <v>61</v>
      </c>
      <c r="NP1">
        <v>61</v>
      </c>
      <c r="NQ1">
        <v>61</v>
      </c>
      <c r="NR1">
        <v>61</v>
      </c>
      <c r="NS1">
        <v>61</v>
      </c>
      <c r="NT1">
        <v>61</v>
      </c>
      <c r="NU1">
        <v>61</v>
      </c>
      <c r="NV1">
        <v>61</v>
      </c>
      <c r="NW1">
        <v>61</v>
      </c>
      <c r="NX1">
        <v>61</v>
      </c>
      <c r="NY1">
        <v>61</v>
      </c>
      <c r="NZ1">
        <v>61</v>
      </c>
      <c r="OA1">
        <v>61</v>
      </c>
      <c r="OB1">
        <v>61</v>
      </c>
      <c r="OC1">
        <v>61</v>
      </c>
      <c r="OD1">
        <v>61</v>
      </c>
      <c r="OE1">
        <v>61</v>
      </c>
      <c r="OF1">
        <v>61</v>
      </c>
      <c r="OG1">
        <v>61</v>
      </c>
      <c r="OH1">
        <v>61</v>
      </c>
      <c r="OI1">
        <v>61</v>
      </c>
      <c r="OJ1">
        <v>61</v>
      </c>
      <c r="OK1">
        <v>61</v>
      </c>
      <c r="OL1">
        <v>70</v>
      </c>
      <c r="OM1">
        <v>70</v>
      </c>
      <c r="ON1">
        <v>70</v>
      </c>
      <c r="OO1">
        <v>70</v>
      </c>
      <c r="OP1">
        <v>70</v>
      </c>
      <c r="OQ1">
        <v>70</v>
      </c>
      <c r="OR1">
        <v>70</v>
      </c>
      <c r="OS1">
        <v>70</v>
      </c>
      <c r="OT1">
        <v>70</v>
      </c>
      <c r="OU1">
        <v>70</v>
      </c>
      <c r="OV1">
        <v>70</v>
      </c>
      <c r="OW1">
        <v>70</v>
      </c>
      <c r="OX1">
        <v>70</v>
      </c>
      <c r="OY1">
        <v>70</v>
      </c>
      <c r="OZ1">
        <v>70</v>
      </c>
      <c r="PA1">
        <v>70</v>
      </c>
      <c r="PB1">
        <v>70</v>
      </c>
      <c r="PC1">
        <v>70</v>
      </c>
      <c r="PD1">
        <v>71</v>
      </c>
      <c r="PE1">
        <v>71</v>
      </c>
      <c r="PF1">
        <v>71</v>
      </c>
      <c r="PG1">
        <v>71</v>
      </c>
      <c r="PH1">
        <v>71</v>
      </c>
      <c r="PI1">
        <v>71</v>
      </c>
      <c r="PJ1">
        <v>71</v>
      </c>
      <c r="PK1">
        <v>71</v>
      </c>
      <c r="PL1">
        <v>71</v>
      </c>
      <c r="PM1">
        <v>71</v>
      </c>
      <c r="PN1">
        <v>71</v>
      </c>
      <c r="PO1">
        <v>71</v>
      </c>
      <c r="PP1">
        <v>71</v>
      </c>
      <c r="PQ1">
        <v>71</v>
      </c>
      <c r="PR1">
        <v>71</v>
      </c>
      <c r="PS1">
        <v>71</v>
      </c>
      <c r="PT1">
        <v>71</v>
      </c>
      <c r="PU1">
        <v>71</v>
      </c>
      <c r="PV1">
        <v>80</v>
      </c>
      <c r="PW1">
        <v>80</v>
      </c>
      <c r="PX1">
        <v>80</v>
      </c>
      <c r="PY1">
        <v>80</v>
      </c>
      <c r="PZ1">
        <v>80</v>
      </c>
      <c r="QA1">
        <v>81</v>
      </c>
      <c r="QB1">
        <v>81</v>
      </c>
      <c r="QC1">
        <v>81</v>
      </c>
      <c r="QD1">
        <v>81</v>
      </c>
      <c r="QE1">
        <v>81</v>
      </c>
      <c r="QF1">
        <v>90</v>
      </c>
      <c r="QG1">
        <v>90</v>
      </c>
      <c r="QH1">
        <v>90</v>
      </c>
      <c r="QI1">
        <v>90</v>
      </c>
      <c r="QJ1">
        <v>91</v>
      </c>
      <c r="QK1">
        <v>91</v>
      </c>
      <c r="QL1">
        <v>91</v>
      </c>
      <c r="QM1">
        <v>91</v>
      </c>
      <c r="QN1">
        <v>92</v>
      </c>
      <c r="QO1">
        <v>92</v>
      </c>
      <c r="QP1">
        <v>92</v>
      </c>
      <c r="QQ1">
        <v>92</v>
      </c>
      <c r="QR1">
        <v>93</v>
      </c>
      <c r="QS1">
        <v>93</v>
      </c>
      <c r="QT1">
        <v>93</v>
      </c>
      <c r="QU1">
        <v>93</v>
      </c>
    </row>
    <row r="2" spans="1:463" x14ac:dyDescent="0.2"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K2" t="s">
        <v>16</v>
      </c>
      <c r="L2" t="s">
        <v>15</v>
      </c>
      <c r="M2" t="s">
        <v>16</v>
      </c>
      <c r="N2" t="s">
        <v>15</v>
      </c>
      <c r="O2" t="s">
        <v>16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  <c r="AP2" t="s">
        <v>41</v>
      </c>
      <c r="AQ2" t="s">
        <v>42</v>
      </c>
      <c r="AR2" t="s">
        <v>43</v>
      </c>
      <c r="AS2" t="s">
        <v>44</v>
      </c>
      <c r="AT2" t="s">
        <v>45</v>
      </c>
      <c r="AU2" t="s">
        <v>46</v>
      </c>
      <c r="AV2" t="s">
        <v>47</v>
      </c>
      <c r="AW2" t="s">
        <v>48</v>
      </c>
      <c r="AX2" t="s">
        <v>49</v>
      </c>
      <c r="AY2" t="s">
        <v>50</v>
      </c>
      <c r="AZ2" t="s">
        <v>51</v>
      </c>
      <c r="BA2" t="s">
        <v>52</v>
      </c>
      <c r="BB2" t="s">
        <v>53</v>
      </c>
      <c r="BC2" t="s">
        <v>54</v>
      </c>
      <c r="BD2" t="s">
        <v>55</v>
      </c>
      <c r="BE2" t="s">
        <v>56</v>
      </c>
      <c r="BF2" t="s">
        <v>57</v>
      </c>
      <c r="BG2" t="s">
        <v>58</v>
      </c>
      <c r="BH2" t="s">
        <v>59</v>
      </c>
      <c r="BI2" t="s">
        <v>60</v>
      </c>
      <c r="BJ2" t="s">
        <v>61</v>
      </c>
      <c r="BK2" t="s">
        <v>62</v>
      </c>
      <c r="BL2" t="s">
        <v>63</v>
      </c>
      <c r="BM2" t="s">
        <v>64</v>
      </c>
      <c r="BN2" t="s">
        <v>65</v>
      </c>
      <c r="BO2" t="s">
        <v>66</v>
      </c>
      <c r="BP2" t="s">
        <v>67</v>
      </c>
      <c r="BQ2" t="s">
        <v>68</v>
      </c>
      <c r="BR2" t="s">
        <v>69</v>
      </c>
      <c r="BS2" t="s">
        <v>70</v>
      </c>
      <c r="BT2" t="s">
        <v>71</v>
      </c>
      <c r="BU2" t="s">
        <v>72</v>
      </c>
      <c r="BV2" t="s">
        <v>17</v>
      </c>
      <c r="BW2" t="s">
        <v>18</v>
      </c>
      <c r="BX2" t="s">
        <v>19</v>
      </c>
      <c r="BY2" t="s">
        <v>20</v>
      </c>
      <c r="BZ2" t="s">
        <v>21</v>
      </c>
      <c r="CA2" t="s">
        <v>22</v>
      </c>
      <c r="CB2" t="s">
        <v>23</v>
      </c>
      <c r="CC2" t="s">
        <v>24</v>
      </c>
      <c r="CD2" t="s">
        <v>25</v>
      </c>
      <c r="CE2" t="s">
        <v>26</v>
      </c>
      <c r="CF2" t="s">
        <v>27</v>
      </c>
      <c r="CG2" t="s">
        <v>28</v>
      </c>
      <c r="CH2" t="s">
        <v>29</v>
      </c>
      <c r="CI2" t="s">
        <v>30</v>
      </c>
      <c r="CJ2" t="s">
        <v>31</v>
      </c>
      <c r="CK2" t="s">
        <v>32</v>
      </c>
      <c r="CL2" t="s">
        <v>33</v>
      </c>
      <c r="CM2" t="s">
        <v>34</v>
      </c>
      <c r="CN2" t="s">
        <v>35</v>
      </c>
      <c r="CO2" t="s">
        <v>36</v>
      </c>
      <c r="CP2" t="s">
        <v>37</v>
      </c>
      <c r="CQ2" t="s">
        <v>38</v>
      </c>
      <c r="CR2" t="s">
        <v>39</v>
      </c>
      <c r="CS2" t="s">
        <v>40</v>
      </c>
      <c r="CT2" t="s">
        <v>41</v>
      </c>
      <c r="CU2" t="s">
        <v>42</v>
      </c>
      <c r="CV2" t="s">
        <v>43</v>
      </c>
      <c r="CW2" t="s">
        <v>44</v>
      </c>
      <c r="CX2" t="s">
        <v>45</v>
      </c>
      <c r="CY2" t="s">
        <v>46</v>
      </c>
      <c r="CZ2" t="s">
        <v>47</v>
      </c>
      <c r="DA2" t="s">
        <v>48</v>
      </c>
      <c r="DB2" t="s">
        <v>49</v>
      </c>
      <c r="DC2" t="s">
        <v>50</v>
      </c>
      <c r="DD2" t="s">
        <v>51</v>
      </c>
      <c r="DE2" t="s">
        <v>52</v>
      </c>
      <c r="DF2" t="s">
        <v>53</v>
      </c>
      <c r="DG2" t="s">
        <v>54</v>
      </c>
      <c r="DH2" t="s">
        <v>55</v>
      </c>
      <c r="DI2" t="s">
        <v>56</v>
      </c>
      <c r="DJ2" t="s">
        <v>57</v>
      </c>
      <c r="DK2" t="s">
        <v>58</v>
      </c>
      <c r="DL2" t="s">
        <v>59</v>
      </c>
      <c r="DM2" t="s">
        <v>60</v>
      </c>
      <c r="DN2" t="s">
        <v>61</v>
      </c>
      <c r="DO2" t="s">
        <v>62</v>
      </c>
      <c r="DP2" t="s">
        <v>63</v>
      </c>
      <c r="DQ2" t="s">
        <v>64</v>
      </c>
      <c r="DR2" t="s">
        <v>65</v>
      </c>
      <c r="DS2" t="s">
        <v>66</v>
      </c>
      <c r="DT2" t="s">
        <v>67</v>
      </c>
      <c r="DU2" t="s">
        <v>68</v>
      </c>
      <c r="DV2" t="s">
        <v>69</v>
      </c>
      <c r="DW2" t="s">
        <v>70</v>
      </c>
      <c r="DX2" t="s">
        <v>71</v>
      </c>
      <c r="DY2" t="s">
        <v>72</v>
      </c>
      <c r="DZ2" t="s">
        <v>73</v>
      </c>
      <c r="EA2" t="s">
        <v>74</v>
      </c>
      <c r="EB2" t="s">
        <v>75</v>
      </c>
      <c r="EC2" t="s">
        <v>76</v>
      </c>
      <c r="ED2" t="s">
        <v>77</v>
      </c>
      <c r="EE2" t="s">
        <v>78</v>
      </c>
      <c r="EF2" t="s">
        <v>79</v>
      </c>
      <c r="EG2" t="s">
        <v>80</v>
      </c>
      <c r="EH2" t="s">
        <v>81</v>
      </c>
      <c r="EI2" t="s">
        <v>82</v>
      </c>
      <c r="EJ2" t="s">
        <v>83</v>
      </c>
      <c r="EK2" t="s">
        <v>84</v>
      </c>
      <c r="EL2" t="s">
        <v>85</v>
      </c>
      <c r="EM2" t="s">
        <v>86</v>
      </c>
      <c r="EN2" t="s">
        <v>87</v>
      </c>
      <c r="EO2" t="s">
        <v>88</v>
      </c>
      <c r="EP2" t="s">
        <v>89</v>
      </c>
      <c r="EQ2" t="s">
        <v>90</v>
      </c>
      <c r="ER2" t="s">
        <v>91</v>
      </c>
      <c r="ES2" t="s">
        <v>92</v>
      </c>
      <c r="ET2" t="s">
        <v>93</v>
      </c>
      <c r="EU2" t="s">
        <v>94</v>
      </c>
      <c r="EV2" t="s">
        <v>95</v>
      </c>
      <c r="EW2" t="s">
        <v>96</v>
      </c>
      <c r="EX2" t="s">
        <v>97</v>
      </c>
      <c r="EY2" t="s">
        <v>98</v>
      </c>
      <c r="EZ2" t="s">
        <v>99</v>
      </c>
      <c r="FA2" t="s">
        <v>100</v>
      </c>
      <c r="FB2" t="s">
        <v>101</v>
      </c>
      <c r="FC2" t="s">
        <v>102</v>
      </c>
      <c r="FD2" t="s">
        <v>103</v>
      </c>
      <c r="FE2" t="s">
        <v>104</v>
      </c>
      <c r="FF2" t="s">
        <v>105</v>
      </c>
      <c r="FG2" t="s">
        <v>106</v>
      </c>
      <c r="FH2" t="s">
        <v>107</v>
      </c>
      <c r="FI2" t="s">
        <v>108</v>
      </c>
      <c r="FJ2" t="s">
        <v>109</v>
      </c>
      <c r="FK2" t="s">
        <v>110</v>
      </c>
      <c r="FL2" t="s">
        <v>111</v>
      </c>
      <c r="FM2" t="s">
        <v>112</v>
      </c>
      <c r="FN2" t="s">
        <v>113</v>
      </c>
      <c r="FO2" t="s">
        <v>114</v>
      </c>
      <c r="FP2" t="s">
        <v>115</v>
      </c>
      <c r="FQ2" t="s">
        <v>116</v>
      </c>
      <c r="FR2" t="s">
        <v>117</v>
      </c>
      <c r="FS2" t="s">
        <v>118</v>
      </c>
      <c r="FT2" t="s">
        <v>119</v>
      </c>
      <c r="FU2" t="s">
        <v>120</v>
      </c>
      <c r="FV2" t="s">
        <v>121</v>
      </c>
      <c r="FW2" t="s">
        <v>122</v>
      </c>
      <c r="FX2" t="s">
        <v>123</v>
      </c>
      <c r="FY2" t="s">
        <v>124</v>
      </c>
      <c r="FZ2" t="s">
        <v>125</v>
      </c>
      <c r="GA2" t="s">
        <v>126</v>
      </c>
      <c r="GB2" t="s">
        <v>127</v>
      </c>
      <c r="GC2" t="s">
        <v>128</v>
      </c>
      <c r="GD2" t="s">
        <v>129</v>
      </c>
      <c r="GE2" t="s">
        <v>130</v>
      </c>
      <c r="GF2" t="s">
        <v>131</v>
      </c>
      <c r="GG2" t="s">
        <v>132</v>
      </c>
      <c r="GH2" t="s">
        <v>133</v>
      </c>
      <c r="GI2" t="s">
        <v>134</v>
      </c>
      <c r="GJ2" t="s">
        <v>135</v>
      </c>
      <c r="GK2" t="s">
        <v>136</v>
      </c>
      <c r="GL2" t="s">
        <v>137</v>
      </c>
      <c r="GM2" t="s">
        <v>138</v>
      </c>
      <c r="GN2" t="s">
        <v>139</v>
      </c>
      <c r="GO2" t="s">
        <v>140</v>
      </c>
      <c r="GP2" t="s">
        <v>141</v>
      </c>
      <c r="GQ2" t="s">
        <v>142</v>
      </c>
      <c r="GR2" t="s">
        <v>143</v>
      </c>
      <c r="GS2" t="s">
        <v>144</v>
      </c>
      <c r="GT2" t="s">
        <v>145</v>
      </c>
      <c r="GU2" t="s">
        <v>146</v>
      </c>
      <c r="GV2" t="s">
        <v>147</v>
      </c>
      <c r="GW2" t="s">
        <v>148</v>
      </c>
      <c r="GX2" t="s">
        <v>73</v>
      </c>
      <c r="GY2" t="s">
        <v>74</v>
      </c>
      <c r="GZ2" t="s">
        <v>75</v>
      </c>
      <c r="HA2" t="s">
        <v>76</v>
      </c>
      <c r="HB2" t="s">
        <v>77</v>
      </c>
      <c r="HC2" t="s">
        <v>78</v>
      </c>
      <c r="HD2" t="s">
        <v>79</v>
      </c>
      <c r="HE2" t="s">
        <v>80</v>
      </c>
      <c r="HF2" t="s">
        <v>81</v>
      </c>
      <c r="HG2" t="s">
        <v>82</v>
      </c>
      <c r="HH2" t="s">
        <v>83</v>
      </c>
      <c r="HI2" t="s">
        <v>84</v>
      </c>
      <c r="HJ2" t="s">
        <v>85</v>
      </c>
      <c r="HK2" t="s">
        <v>86</v>
      </c>
      <c r="HL2" t="s">
        <v>87</v>
      </c>
      <c r="HM2" t="s">
        <v>88</v>
      </c>
      <c r="HN2" t="s">
        <v>89</v>
      </c>
      <c r="HO2" t="s">
        <v>90</v>
      </c>
      <c r="HP2" t="s">
        <v>91</v>
      </c>
      <c r="HQ2" t="s">
        <v>92</v>
      </c>
      <c r="HR2" t="s">
        <v>93</v>
      </c>
      <c r="HS2" t="s">
        <v>94</v>
      </c>
      <c r="HT2" t="s">
        <v>95</v>
      </c>
      <c r="HU2" t="s">
        <v>96</v>
      </c>
      <c r="HV2" t="s">
        <v>97</v>
      </c>
      <c r="HW2" t="s">
        <v>98</v>
      </c>
      <c r="HX2" t="s">
        <v>99</v>
      </c>
      <c r="HY2" t="s">
        <v>100</v>
      </c>
      <c r="HZ2" t="s">
        <v>101</v>
      </c>
      <c r="IA2" t="s">
        <v>102</v>
      </c>
      <c r="IB2" t="s">
        <v>103</v>
      </c>
      <c r="IC2" t="s">
        <v>104</v>
      </c>
      <c r="ID2" t="s">
        <v>105</v>
      </c>
      <c r="IE2" t="s">
        <v>106</v>
      </c>
      <c r="IF2" t="s">
        <v>107</v>
      </c>
      <c r="IG2" t="s">
        <v>108</v>
      </c>
      <c r="IH2" t="s">
        <v>109</v>
      </c>
      <c r="II2" t="s">
        <v>110</v>
      </c>
      <c r="IJ2" t="s">
        <v>111</v>
      </c>
      <c r="IK2" t="s">
        <v>112</v>
      </c>
      <c r="IL2" t="s">
        <v>113</v>
      </c>
      <c r="IM2" t="s">
        <v>114</v>
      </c>
      <c r="IN2" t="s">
        <v>115</v>
      </c>
      <c r="IO2" t="s">
        <v>116</v>
      </c>
      <c r="IP2" t="s">
        <v>117</v>
      </c>
      <c r="IQ2" t="s">
        <v>118</v>
      </c>
      <c r="IR2" t="s">
        <v>119</v>
      </c>
      <c r="IS2" t="s">
        <v>120</v>
      </c>
      <c r="IT2" t="s">
        <v>121</v>
      </c>
      <c r="IU2" t="s">
        <v>122</v>
      </c>
      <c r="IV2" t="s">
        <v>123</v>
      </c>
      <c r="IW2" t="s">
        <v>124</v>
      </c>
      <c r="IX2" t="s">
        <v>125</v>
      </c>
      <c r="IY2" t="s">
        <v>126</v>
      </c>
      <c r="IZ2" t="s">
        <v>127</v>
      </c>
      <c r="JA2" t="s">
        <v>128</v>
      </c>
      <c r="JB2" t="s">
        <v>129</v>
      </c>
      <c r="JC2" t="s">
        <v>130</v>
      </c>
      <c r="JD2" t="s">
        <v>131</v>
      </c>
      <c r="JE2" t="s">
        <v>132</v>
      </c>
      <c r="JF2" t="s">
        <v>133</v>
      </c>
      <c r="JG2" t="s">
        <v>134</v>
      </c>
      <c r="JH2" t="s">
        <v>135</v>
      </c>
      <c r="JI2" t="s">
        <v>136</v>
      </c>
      <c r="JJ2" t="s">
        <v>137</v>
      </c>
      <c r="JK2" t="s">
        <v>138</v>
      </c>
      <c r="JL2" t="s">
        <v>139</v>
      </c>
      <c r="JM2" t="s">
        <v>140</v>
      </c>
      <c r="JN2" t="s">
        <v>141</v>
      </c>
      <c r="JO2" t="s">
        <v>142</v>
      </c>
      <c r="JP2" t="s">
        <v>143</v>
      </c>
      <c r="JQ2" t="s">
        <v>144</v>
      </c>
      <c r="JR2" t="s">
        <v>145</v>
      </c>
      <c r="JS2" t="s">
        <v>146</v>
      </c>
      <c r="JT2" t="s">
        <v>147</v>
      </c>
      <c r="JU2" t="s">
        <v>148</v>
      </c>
      <c r="JV2" t="s">
        <v>149</v>
      </c>
      <c r="JW2" t="s">
        <v>150</v>
      </c>
      <c r="JX2" t="s">
        <v>151</v>
      </c>
      <c r="JY2" t="s">
        <v>152</v>
      </c>
      <c r="JZ2" t="s">
        <v>153</v>
      </c>
      <c r="KA2" t="s">
        <v>154</v>
      </c>
      <c r="KB2" t="s">
        <v>155</v>
      </c>
      <c r="KC2" t="s">
        <v>156</v>
      </c>
      <c r="KD2" t="s">
        <v>157</v>
      </c>
      <c r="KE2" t="s">
        <v>158</v>
      </c>
      <c r="KF2" t="s">
        <v>159</v>
      </c>
      <c r="KG2" t="s">
        <v>160</v>
      </c>
      <c r="KH2" t="s">
        <v>161</v>
      </c>
      <c r="KI2" t="s">
        <v>162</v>
      </c>
      <c r="KJ2" t="s">
        <v>163</v>
      </c>
      <c r="KK2" t="s">
        <v>164</v>
      </c>
      <c r="KL2" t="s">
        <v>165</v>
      </c>
      <c r="KM2" t="s">
        <v>166</v>
      </c>
      <c r="KN2" t="s">
        <v>167</v>
      </c>
      <c r="KO2" t="s">
        <v>168</v>
      </c>
      <c r="KP2" t="s">
        <v>169</v>
      </c>
      <c r="KQ2" t="s">
        <v>170</v>
      </c>
      <c r="KR2" t="s">
        <v>171</v>
      </c>
      <c r="KS2" t="s">
        <v>172</v>
      </c>
      <c r="KT2" t="s">
        <v>173</v>
      </c>
      <c r="KU2" t="s">
        <v>174</v>
      </c>
      <c r="KV2" t="s">
        <v>175</v>
      </c>
      <c r="KW2" t="s">
        <v>176</v>
      </c>
      <c r="KX2" t="s">
        <v>177</v>
      </c>
      <c r="KY2" t="s">
        <v>178</v>
      </c>
      <c r="KZ2" t="s">
        <v>179</v>
      </c>
      <c r="LA2" t="s">
        <v>180</v>
      </c>
      <c r="LB2" t="s">
        <v>181</v>
      </c>
      <c r="LC2" t="s">
        <v>182</v>
      </c>
      <c r="LD2" t="s">
        <v>183</v>
      </c>
      <c r="LE2" t="s">
        <v>184</v>
      </c>
      <c r="LF2" t="s">
        <v>185</v>
      </c>
      <c r="LG2" t="s">
        <v>186</v>
      </c>
      <c r="LH2" t="s">
        <v>187</v>
      </c>
      <c r="LI2" t="s">
        <v>188</v>
      </c>
      <c r="LJ2" t="s">
        <v>189</v>
      </c>
      <c r="LK2" t="s">
        <v>190</v>
      </c>
      <c r="LL2" t="s">
        <v>191</v>
      </c>
      <c r="LM2" t="s">
        <v>192</v>
      </c>
      <c r="LN2" t="s">
        <v>193</v>
      </c>
      <c r="LO2" t="s">
        <v>194</v>
      </c>
      <c r="LP2" t="s">
        <v>195</v>
      </c>
      <c r="LQ2" t="s">
        <v>196</v>
      </c>
      <c r="LR2" t="s">
        <v>197</v>
      </c>
      <c r="LS2" t="s">
        <v>198</v>
      </c>
      <c r="LT2" t="s">
        <v>199</v>
      </c>
      <c r="LU2" t="s">
        <v>200</v>
      </c>
      <c r="LV2" t="s">
        <v>201</v>
      </c>
      <c r="LW2" t="s">
        <v>202</v>
      </c>
      <c r="LX2" t="s">
        <v>203</v>
      </c>
      <c r="LY2" t="s">
        <v>204</v>
      </c>
      <c r="LZ2" t="s">
        <v>205</v>
      </c>
      <c r="MA2" t="s">
        <v>206</v>
      </c>
      <c r="MB2" t="s">
        <v>207</v>
      </c>
      <c r="MC2" t="s">
        <v>208</v>
      </c>
      <c r="MD2" t="s">
        <v>149</v>
      </c>
      <c r="ME2" t="s">
        <v>150</v>
      </c>
      <c r="MF2" t="s">
        <v>151</v>
      </c>
      <c r="MG2" t="s">
        <v>152</v>
      </c>
      <c r="MH2" t="s">
        <v>153</v>
      </c>
      <c r="MI2" t="s">
        <v>154</v>
      </c>
      <c r="MJ2" t="s">
        <v>155</v>
      </c>
      <c r="MK2" t="s">
        <v>156</v>
      </c>
      <c r="ML2" t="s">
        <v>157</v>
      </c>
      <c r="MM2" t="s">
        <v>158</v>
      </c>
      <c r="MN2" t="s">
        <v>159</v>
      </c>
      <c r="MO2" t="s">
        <v>160</v>
      </c>
      <c r="MP2" t="s">
        <v>161</v>
      </c>
      <c r="MQ2" t="s">
        <v>162</v>
      </c>
      <c r="MR2" t="s">
        <v>163</v>
      </c>
      <c r="MS2" t="s">
        <v>164</v>
      </c>
      <c r="MT2" t="s">
        <v>165</v>
      </c>
      <c r="MU2" t="s">
        <v>166</v>
      </c>
      <c r="MV2" t="s">
        <v>167</v>
      </c>
      <c r="MW2" t="s">
        <v>168</v>
      </c>
      <c r="MX2" t="s">
        <v>169</v>
      </c>
      <c r="MY2" t="s">
        <v>170</v>
      </c>
      <c r="MZ2" t="s">
        <v>171</v>
      </c>
      <c r="NA2" t="s">
        <v>172</v>
      </c>
      <c r="NB2" t="s">
        <v>173</v>
      </c>
      <c r="NC2" t="s">
        <v>174</v>
      </c>
      <c r="ND2" t="s">
        <v>175</v>
      </c>
      <c r="NE2" t="s">
        <v>176</v>
      </c>
      <c r="NF2" t="s">
        <v>177</v>
      </c>
      <c r="NG2" t="s">
        <v>178</v>
      </c>
      <c r="NH2" t="s">
        <v>179</v>
      </c>
      <c r="NI2" t="s">
        <v>180</v>
      </c>
      <c r="NJ2" t="s">
        <v>181</v>
      </c>
      <c r="NK2" t="s">
        <v>182</v>
      </c>
      <c r="NL2" t="s">
        <v>183</v>
      </c>
      <c r="NM2" t="s">
        <v>184</v>
      </c>
      <c r="NN2" t="s">
        <v>185</v>
      </c>
      <c r="NO2" t="s">
        <v>186</v>
      </c>
      <c r="NP2" t="s">
        <v>187</v>
      </c>
      <c r="NQ2" t="s">
        <v>188</v>
      </c>
      <c r="NR2" t="s">
        <v>189</v>
      </c>
      <c r="NS2" t="s">
        <v>190</v>
      </c>
      <c r="NT2" t="s">
        <v>191</v>
      </c>
      <c r="NU2" t="s">
        <v>192</v>
      </c>
      <c r="NV2" t="s">
        <v>193</v>
      </c>
      <c r="NW2" t="s">
        <v>194</v>
      </c>
      <c r="NX2" t="s">
        <v>195</v>
      </c>
      <c r="NY2" t="s">
        <v>196</v>
      </c>
      <c r="NZ2" t="s">
        <v>197</v>
      </c>
      <c r="OA2" t="s">
        <v>198</v>
      </c>
      <c r="OB2" t="s">
        <v>199</v>
      </c>
      <c r="OC2" t="s">
        <v>200</v>
      </c>
      <c r="OD2" t="s">
        <v>201</v>
      </c>
      <c r="OE2" t="s">
        <v>202</v>
      </c>
      <c r="OF2" t="s">
        <v>203</v>
      </c>
      <c r="OG2" t="s">
        <v>204</v>
      </c>
      <c r="OH2" t="s">
        <v>205</v>
      </c>
      <c r="OI2" t="s">
        <v>206</v>
      </c>
      <c r="OJ2" t="s">
        <v>207</v>
      </c>
      <c r="OK2" t="s">
        <v>208</v>
      </c>
      <c r="OL2" t="s">
        <v>209</v>
      </c>
      <c r="OM2" t="s">
        <v>210</v>
      </c>
      <c r="ON2" t="s">
        <v>211</v>
      </c>
      <c r="OO2" t="s">
        <v>212</v>
      </c>
      <c r="OP2" t="s">
        <v>213</v>
      </c>
      <c r="OQ2" t="s">
        <v>214</v>
      </c>
      <c r="OR2" t="s">
        <v>215</v>
      </c>
      <c r="OS2" t="s">
        <v>216</v>
      </c>
      <c r="OT2" t="s">
        <v>217</v>
      </c>
      <c r="OU2" t="s">
        <v>218</v>
      </c>
      <c r="OV2" t="s">
        <v>219</v>
      </c>
      <c r="OW2" t="s">
        <v>220</v>
      </c>
      <c r="OX2" t="s">
        <v>221</v>
      </c>
      <c r="OY2" t="s">
        <v>222</v>
      </c>
      <c r="OZ2" t="s">
        <v>223</v>
      </c>
      <c r="PA2" t="s">
        <v>224</v>
      </c>
      <c r="PB2" t="s">
        <v>225</v>
      </c>
      <c r="PC2" t="s">
        <v>226</v>
      </c>
      <c r="PD2" t="s">
        <v>209</v>
      </c>
      <c r="PE2" t="s">
        <v>210</v>
      </c>
      <c r="PF2" t="s">
        <v>211</v>
      </c>
      <c r="PG2" t="s">
        <v>212</v>
      </c>
      <c r="PH2" t="s">
        <v>213</v>
      </c>
      <c r="PI2" t="s">
        <v>214</v>
      </c>
      <c r="PJ2" t="s">
        <v>215</v>
      </c>
      <c r="PK2" t="s">
        <v>216</v>
      </c>
      <c r="PL2" t="s">
        <v>217</v>
      </c>
      <c r="PM2" t="s">
        <v>218</v>
      </c>
      <c r="PN2" t="s">
        <v>219</v>
      </c>
      <c r="PO2" t="s">
        <v>220</v>
      </c>
      <c r="PP2" t="s">
        <v>221</v>
      </c>
      <c r="PQ2" t="s">
        <v>222</v>
      </c>
      <c r="PR2" t="s">
        <v>223</v>
      </c>
      <c r="PS2" t="s">
        <v>224</v>
      </c>
      <c r="PT2" t="s">
        <v>225</v>
      </c>
      <c r="PU2" t="s">
        <v>226</v>
      </c>
      <c r="PV2" t="s">
        <v>222</v>
      </c>
      <c r="PW2" t="s">
        <v>223</v>
      </c>
      <c r="PX2" t="s">
        <v>224</v>
      </c>
      <c r="PY2" t="s">
        <v>225</v>
      </c>
      <c r="PZ2" t="s">
        <v>226</v>
      </c>
      <c r="QA2" t="s">
        <v>222</v>
      </c>
      <c r="QB2" t="s">
        <v>223</v>
      </c>
      <c r="QC2" t="s">
        <v>224</v>
      </c>
      <c r="QD2" t="s">
        <v>225</v>
      </c>
      <c r="QE2" t="s">
        <v>226</v>
      </c>
      <c r="QF2" t="s">
        <v>227</v>
      </c>
      <c r="QG2" t="s">
        <v>228</v>
      </c>
      <c r="QH2" t="s">
        <v>229</v>
      </c>
      <c r="QI2" t="s">
        <v>230</v>
      </c>
      <c r="QJ2" t="s">
        <v>227</v>
      </c>
      <c r="QK2" t="s">
        <v>228</v>
      </c>
      <c r="QL2" t="s">
        <v>229</v>
      </c>
      <c r="QM2" t="s">
        <v>230</v>
      </c>
      <c r="QN2" t="s">
        <v>231</v>
      </c>
      <c r="QO2" t="s">
        <v>232</v>
      </c>
      <c r="QP2" t="s">
        <v>233</v>
      </c>
      <c r="QQ2" t="s">
        <v>234</v>
      </c>
      <c r="QR2" t="s">
        <v>231</v>
      </c>
      <c r="QS2" t="s">
        <v>232</v>
      </c>
      <c r="QT2" t="s">
        <v>233</v>
      </c>
      <c r="QU2" t="s">
        <v>234</v>
      </c>
    </row>
    <row r="3" spans="1:463" x14ac:dyDescent="0.2">
      <c r="B3" t="s">
        <v>235</v>
      </c>
      <c r="C3" t="s">
        <v>235</v>
      </c>
      <c r="D3" t="s">
        <v>236</v>
      </c>
      <c r="E3" t="s">
        <v>237</v>
      </c>
      <c r="F3" t="s">
        <v>237</v>
      </c>
      <c r="G3" t="s">
        <v>238</v>
      </c>
      <c r="H3" t="s">
        <v>238</v>
      </c>
      <c r="I3" t="s">
        <v>238</v>
      </c>
      <c r="J3" t="s">
        <v>236</v>
      </c>
      <c r="K3" t="s">
        <v>236</v>
      </c>
      <c r="L3" t="s">
        <v>236</v>
      </c>
      <c r="M3" t="s">
        <v>236</v>
      </c>
      <c r="N3" t="s">
        <v>236</v>
      </c>
      <c r="O3" t="s">
        <v>236</v>
      </c>
      <c r="P3" t="s">
        <v>236</v>
      </c>
      <c r="Q3" t="s">
        <v>236</v>
      </c>
      <c r="R3" t="s">
        <v>239</v>
      </c>
      <c r="S3" t="s">
        <v>239</v>
      </c>
      <c r="T3" t="s">
        <v>239</v>
      </c>
      <c r="U3" t="s">
        <v>239</v>
      </c>
      <c r="V3" t="s">
        <v>239</v>
      </c>
      <c r="W3" t="s">
        <v>239</v>
      </c>
      <c r="X3" t="s">
        <v>239</v>
      </c>
      <c r="Y3" t="s">
        <v>239</v>
      </c>
      <c r="Z3" t="s">
        <v>239</v>
      </c>
      <c r="AA3" t="s">
        <v>239</v>
      </c>
      <c r="AB3" t="s">
        <v>239</v>
      </c>
      <c r="AC3" t="s">
        <v>239</v>
      </c>
      <c r="AD3" t="s">
        <v>239</v>
      </c>
      <c r="AE3" t="s">
        <v>239</v>
      </c>
      <c r="AF3" t="s">
        <v>239</v>
      </c>
      <c r="AG3" t="s">
        <v>239</v>
      </c>
      <c r="AH3" t="s">
        <v>239</v>
      </c>
      <c r="AI3" t="s">
        <v>239</v>
      </c>
      <c r="AJ3" t="s">
        <v>239</v>
      </c>
      <c r="AK3" t="s">
        <v>239</v>
      </c>
      <c r="AL3" t="s">
        <v>239</v>
      </c>
      <c r="AM3" t="s">
        <v>239</v>
      </c>
      <c r="AN3" t="s">
        <v>239</v>
      </c>
      <c r="AO3" t="s">
        <v>239</v>
      </c>
      <c r="AP3" t="s">
        <v>239</v>
      </c>
      <c r="AQ3" t="s">
        <v>239</v>
      </c>
      <c r="AR3" t="s">
        <v>239</v>
      </c>
      <c r="AS3" t="s">
        <v>239</v>
      </c>
      <c r="AT3" t="s">
        <v>240</v>
      </c>
      <c r="AU3" t="s">
        <v>240</v>
      </c>
      <c r="AV3" t="s">
        <v>240</v>
      </c>
      <c r="AW3" t="s">
        <v>240</v>
      </c>
      <c r="AX3" t="s">
        <v>240</v>
      </c>
      <c r="AY3" t="s">
        <v>240</v>
      </c>
      <c r="AZ3" t="s">
        <v>240</v>
      </c>
      <c r="BA3" t="s">
        <v>240</v>
      </c>
      <c r="BB3" t="s">
        <v>241</v>
      </c>
      <c r="BC3" t="s">
        <v>241</v>
      </c>
      <c r="BD3" t="s">
        <v>241</v>
      </c>
      <c r="BE3" t="s">
        <v>241</v>
      </c>
      <c r="BF3" t="s">
        <v>235</v>
      </c>
      <c r="BG3" t="s">
        <v>235</v>
      </c>
      <c r="BH3" t="s">
        <v>235</v>
      </c>
      <c r="BI3" t="s">
        <v>235</v>
      </c>
      <c r="BJ3" t="s">
        <v>238</v>
      </c>
      <c r="BK3" t="s">
        <v>238</v>
      </c>
      <c r="BL3" t="s">
        <v>238</v>
      </c>
      <c r="BM3" t="s">
        <v>238</v>
      </c>
      <c r="BN3" t="s">
        <v>239</v>
      </c>
      <c r="BO3" t="s">
        <v>239</v>
      </c>
      <c r="BP3" t="s">
        <v>239</v>
      </c>
      <c r="BQ3" t="s">
        <v>239</v>
      </c>
      <c r="BR3" t="s">
        <v>242</v>
      </c>
      <c r="BS3" t="s">
        <v>242</v>
      </c>
      <c r="BT3" t="s">
        <v>242</v>
      </c>
      <c r="BU3" t="s">
        <v>242</v>
      </c>
      <c r="BV3" t="s">
        <v>239</v>
      </c>
      <c r="BW3" t="s">
        <v>239</v>
      </c>
      <c r="BX3" t="s">
        <v>239</v>
      </c>
      <c r="BY3" t="s">
        <v>239</v>
      </c>
      <c r="BZ3" t="s">
        <v>239</v>
      </c>
      <c r="CA3" t="s">
        <v>239</v>
      </c>
      <c r="CB3" t="s">
        <v>239</v>
      </c>
      <c r="CC3" t="s">
        <v>239</v>
      </c>
      <c r="CD3" t="s">
        <v>239</v>
      </c>
      <c r="CE3" t="s">
        <v>239</v>
      </c>
      <c r="CF3" t="s">
        <v>239</v>
      </c>
      <c r="CG3" t="s">
        <v>239</v>
      </c>
      <c r="CH3" t="s">
        <v>239</v>
      </c>
      <c r="CI3" t="s">
        <v>239</v>
      </c>
      <c r="CJ3" t="s">
        <v>239</v>
      </c>
      <c r="CK3" t="s">
        <v>239</v>
      </c>
      <c r="CL3" t="s">
        <v>239</v>
      </c>
      <c r="CM3" t="s">
        <v>239</v>
      </c>
      <c r="CN3" t="s">
        <v>239</v>
      </c>
      <c r="CO3" t="s">
        <v>239</v>
      </c>
      <c r="CP3" t="s">
        <v>239</v>
      </c>
      <c r="CQ3" t="s">
        <v>239</v>
      </c>
      <c r="CR3" t="s">
        <v>239</v>
      </c>
      <c r="CS3" t="s">
        <v>239</v>
      </c>
      <c r="CT3" t="s">
        <v>239</v>
      </c>
      <c r="CU3" t="s">
        <v>239</v>
      </c>
      <c r="CV3" t="s">
        <v>239</v>
      </c>
      <c r="CW3" t="s">
        <v>239</v>
      </c>
      <c r="CX3" t="s">
        <v>240</v>
      </c>
      <c r="CY3" t="s">
        <v>240</v>
      </c>
      <c r="CZ3" t="s">
        <v>240</v>
      </c>
      <c r="DA3" t="s">
        <v>240</v>
      </c>
      <c r="DB3" t="s">
        <v>240</v>
      </c>
      <c r="DC3" t="s">
        <v>240</v>
      </c>
      <c r="DD3" t="s">
        <v>240</v>
      </c>
      <c r="DE3" t="s">
        <v>240</v>
      </c>
      <c r="DF3" t="s">
        <v>241</v>
      </c>
      <c r="DG3" t="s">
        <v>241</v>
      </c>
      <c r="DH3" t="s">
        <v>241</v>
      </c>
      <c r="DI3" t="s">
        <v>241</v>
      </c>
      <c r="DJ3" t="s">
        <v>235</v>
      </c>
      <c r="DK3" t="s">
        <v>235</v>
      </c>
      <c r="DL3" t="s">
        <v>235</v>
      </c>
      <c r="DM3" t="s">
        <v>235</v>
      </c>
      <c r="DN3" t="s">
        <v>238</v>
      </c>
      <c r="DO3" t="s">
        <v>238</v>
      </c>
      <c r="DP3" t="s">
        <v>238</v>
      </c>
      <c r="DQ3" t="s">
        <v>238</v>
      </c>
      <c r="DR3" t="s">
        <v>239</v>
      </c>
      <c r="DS3" t="s">
        <v>239</v>
      </c>
      <c r="DT3" t="s">
        <v>239</v>
      </c>
      <c r="DU3" t="s">
        <v>239</v>
      </c>
      <c r="DV3" t="s">
        <v>242</v>
      </c>
      <c r="DW3" t="s">
        <v>242</v>
      </c>
      <c r="DX3" t="s">
        <v>242</v>
      </c>
      <c r="DY3" t="s">
        <v>242</v>
      </c>
      <c r="DZ3" t="s">
        <v>239</v>
      </c>
      <c r="EA3" t="s">
        <v>239</v>
      </c>
      <c r="EB3" t="s">
        <v>239</v>
      </c>
      <c r="EC3" t="s">
        <v>239</v>
      </c>
      <c r="ED3" t="s">
        <v>239</v>
      </c>
      <c r="EE3" t="s">
        <v>239</v>
      </c>
      <c r="EF3" t="s">
        <v>239</v>
      </c>
      <c r="EG3" t="s">
        <v>239</v>
      </c>
      <c r="EH3" t="s">
        <v>239</v>
      </c>
      <c r="EI3" t="s">
        <v>239</v>
      </c>
      <c r="EJ3" t="s">
        <v>239</v>
      </c>
      <c r="EK3" t="s">
        <v>239</v>
      </c>
      <c r="EL3" t="s">
        <v>239</v>
      </c>
      <c r="EM3" t="s">
        <v>239</v>
      </c>
      <c r="EN3" t="s">
        <v>239</v>
      </c>
      <c r="EO3" t="s">
        <v>239</v>
      </c>
      <c r="EP3" t="s">
        <v>239</v>
      </c>
      <c r="EQ3" t="s">
        <v>239</v>
      </c>
      <c r="ER3" t="s">
        <v>239</v>
      </c>
      <c r="ES3" t="s">
        <v>239</v>
      </c>
      <c r="ET3" t="s">
        <v>239</v>
      </c>
      <c r="EU3" t="s">
        <v>239</v>
      </c>
      <c r="EV3" t="s">
        <v>239</v>
      </c>
      <c r="EW3" t="s">
        <v>239</v>
      </c>
      <c r="EX3" t="s">
        <v>239</v>
      </c>
      <c r="EY3" t="s">
        <v>239</v>
      </c>
      <c r="EZ3" t="s">
        <v>239</v>
      </c>
      <c r="FA3" t="s">
        <v>239</v>
      </c>
      <c r="FB3" t="s">
        <v>240</v>
      </c>
      <c r="FC3" t="s">
        <v>240</v>
      </c>
      <c r="FD3" t="s">
        <v>240</v>
      </c>
      <c r="FE3" t="s">
        <v>240</v>
      </c>
      <c r="FF3" t="s">
        <v>240</v>
      </c>
      <c r="FG3" t="s">
        <v>240</v>
      </c>
      <c r="FH3" t="s">
        <v>240</v>
      </c>
      <c r="FI3" t="s">
        <v>240</v>
      </c>
      <c r="FJ3" t="s">
        <v>239</v>
      </c>
      <c r="FK3" t="s">
        <v>239</v>
      </c>
      <c r="FL3" t="s">
        <v>239</v>
      </c>
      <c r="FM3" t="s">
        <v>239</v>
      </c>
      <c r="FN3" t="s">
        <v>239</v>
      </c>
      <c r="FO3" t="s">
        <v>239</v>
      </c>
      <c r="FP3" t="s">
        <v>239</v>
      </c>
      <c r="FQ3" t="s">
        <v>239</v>
      </c>
      <c r="FR3" t="s">
        <v>239</v>
      </c>
      <c r="FS3" t="s">
        <v>239</v>
      </c>
      <c r="FT3" t="s">
        <v>239</v>
      </c>
      <c r="FU3" t="s">
        <v>239</v>
      </c>
      <c r="FV3" t="s">
        <v>239</v>
      </c>
      <c r="FW3" t="s">
        <v>239</v>
      </c>
      <c r="FX3" t="s">
        <v>239</v>
      </c>
      <c r="FY3" t="s">
        <v>239</v>
      </c>
      <c r="FZ3" t="s">
        <v>241</v>
      </c>
      <c r="GA3" t="s">
        <v>241</v>
      </c>
      <c r="GB3" t="s">
        <v>241</v>
      </c>
      <c r="GC3" t="s">
        <v>241</v>
      </c>
      <c r="GD3" t="s">
        <v>235</v>
      </c>
      <c r="GE3" t="s">
        <v>235</v>
      </c>
      <c r="GF3" t="s">
        <v>235</v>
      </c>
      <c r="GG3" t="s">
        <v>235</v>
      </c>
      <c r="GH3" t="s">
        <v>238</v>
      </c>
      <c r="GI3" t="s">
        <v>238</v>
      </c>
      <c r="GJ3" t="s">
        <v>238</v>
      </c>
      <c r="GK3" t="s">
        <v>238</v>
      </c>
      <c r="GL3" t="s">
        <v>239</v>
      </c>
      <c r="GM3" t="s">
        <v>239</v>
      </c>
      <c r="GN3" t="s">
        <v>239</v>
      </c>
      <c r="GO3" t="s">
        <v>239</v>
      </c>
      <c r="GP3" t="s">
        <v>238</v>
      </c>
      <c r="GQ3" t="s">
        <v>238</v>
      </c>
      <c r="GR3" t="s">
        <v>238</v>
      </c>
      <c r="GS3" t="s">
        <v>238</v>
      </c>
      <c r="GT3" t="s">
        <v>242</v>
      </c>
      <c r="GU3" t="s">
        <v>242</v>
      </c>
      <c r="GV3" t="s">
        <v>242</v>
      </c>
      <c r="GW3" t="s">
        <v>242</v>
      </c>
      <c r="GX3" t="s">
        <v>239</v>
      </c>
      <c r="GY3" t="s">
        <v>239</v>
      </c>
      <c r="GZ3" t="s">
        <v>239</v>
      </c>
      <c r="HA3" t="s">
        <v>239</v>
      </c>
      <c r="HB3" t="s">
        <v>239</v>
      </c>
      <c r="HC3" t="s">
        <v>239</v>
      </c>
      <c r="HD3" t="s">
        <v>239</v>
      </c>
      <c r="HE3" t="s">
        <v>239</v>
      </c>
      <c r="HF3" t="s">
        <v>239</v>
      </c>
      <c r="HG3" t="s">
        <v>239</v>
      </c>
      <c r="HH3" t="s">
        <v>239</v>
      </c>
      <c r="HI3" t="s">
        <v>239</v>
      </c>
      <c r="HJ3" t="s">
        <v>239</v>
      </c>
      <c r="HK3" t="s">
        <v>239</v>
      </c>
      <c r="HL3" t="s">
        <v>239</v>
      </c>
      <c r="HM3" t="s">
        <v>239</v>
      </c>
      <c r="HN3" t="s">
        <v>239</v>
      </c>
      <c r="HO3" t="s">
        <v>239</v>
      </c>
      <c r="HP3" t="s">
        <v>239</v>
      </c>
      <c r="HQ3" t="s">
        <v>239</v>
      </c>
      <c r="HR3" t="s">
        <v>239</v>
      </c>
      <c r="HS3" t="s">
        <v>239</v>
      </c>
      <c r="HT3" t="s">
        <v>239</v>
      </c>
      <c r="HU3" t="s">
        <v>239</v>
      </c>
      <c r="HV3" t="s">
        <v>239</v>
      </c>
      <c r="HW3" t="s">
        <v>239</v>
      </c>
      <c r="HX3" t="s">
        <v>239</v>
      </c>
      <c r="HY3" t="s">
        <v>239</v>
      </c>
      <c r="HZ3" t="s">
        <v>240</v>
      </c>
      <c r="IA3" t="s">
        <v>240</v>
      </c>
      <c r="IB3" t="s">
        <v>240</v>
      </c>
      <c r="IC3" t="s">
        <v>240</v>
      </c>
      <c r="ID3" t="s">
        <v>240</v>
      </c>
      <c r="IE3" t="s">
        <v>240</v>
      </c>
      <c r="IF3" t="s">
        <v>240</v>
      </c>
      <c r="IG3" t="s">
        <v>240</v>
      </c>
      <c r="IH3" t="s">
        <v>239</v>
      </c>
      <c r="II3" t="s">
        <v>239</v>
      </c>
      <c r="IJ3" t="s">
        <v>239</v>
      </c>
      <c r="IK3" t="s">
        <v>239</v>
      </c>
      <c r="IL3" t="s">
        <v>239</v>
      </c>
      <c r="IM3" t="s">
        <v>239</v>
      </c>
      <c r="IN3" t="s">
        <v>239</v>
      </c>
      <c r="IO3" t="s">
        <v>239</v>
      </c>
      <c r="IP3" t="s">
        <v>239</v>
      </c>
      <c r="IQ3" t="s">
        <v>239</v>
      </c>
      <c r="IR3" t="s">
        <v>239</v>
      </c>
      <c r="IS3" t="s">
        <v>239</v>
      </c>
      <c r="IT3" t="s">
        <v>239</v>
      </c>
      <c r="IU3" t="s">
        <v>239</v>
      </c>
      <c r="IV3" t="s">
        <v>239</v>
      </c>
      <c r="IW3" t="s">
        <v>239</v>
      </c>
      <c r="IX3" t="s">
        <v>241</v>
      </c>
      <c r="IY3" t="s">
        <v>241</v>
      </c>
      <c r="IZ3" t="s">
        <v>241</v>
      </c>
      <c r="JA3" t="s">
        <v>241</v>
      </c>
      <c r="JB3" t="s">
        <v>235</v>
      </c>
      <c r="JC3" t="s">
        <v>235</v>
      </c>
      <c r="JD3" t="s">
        <v>235</v>
      </c>
      <c r="JE3" t="s">
        <v>235</v>
      </c>
      <c r="JF3" t="s">
        <v>238</v>
      </c>
      <c r="JG3" t="s">
        <v>238</v>
      </c>
      <c r="JH3" t="s">
        <v>238</v>
      </c>
      <c r="JI3" t="s">
        <v>238</v>
      </c>
      <c r="JJ3" t="s">
        <v>239</v>
      </c>
      <c r="JK3" t="s">
        <v>239</v>
      </c>
      <c r="JL3" t="s">
        <v>239</v>
      </c>
      <c r="JM3" t="s">
        <v>239</v>
      </c>
      <c r="JN3" t="s">
        <v>238</v>
      </c>
      <c r="JO3" t="s">
        <v>238</v>
      </c>
      <c r="JP3" t="s">
        <v>238</v>
      </c>
      <c r="JQ3" t="s">
        <v>238</v>
      </c>
      <c r="JR3" t="s">
        <v>242</v>
      </c>
      <c r="JS3" t="s">
        <v>242</v>
      </c>
      <c r="JT3" t="s">
        <v>242</v>
      </c>
      <c r="JU3" t="s">
        <v>242</v>
      </c>
      <c r="JV3" t="s">
        <v>239</v>
      </c>
      <c r="JW3" t="s">
        <v>239</v>
      </c>
      <c r="JX3" t="s">
        <v>239</v>
      </c>
      <c r="JY3" t="s">
        <v>239</v>
      </c>
      <c r="JZ3" t="s">
        <v>239</v>
      </c>
      <c r="KA3" t="s">
        <v>239</v>
      </c>
      <c r="KB3" t="s">
        <v>239</v>
      </c>
      <c r="KC3" t="s">
        <v>239</v>
      </c>
      <c r="KD3" t="s">
        <v>239</v>
      </c>
      <c r="KE3" t="s">
        <v>239</v>
      </c>
      <c r="KF3" t="s">
        <v>239</v>
      </c>
      <c r="KG3" t="s">
        <v>239</v>
      </c>
      <c r="KH3" t="s">
        <v>239</v>
      </c>
      <c r="KI3" t="s">
        <v>239</v>
      </c>
      <c r="KJ3" t="s">
        <v>239</v>
      </c>
      <c r="KK3" t="s">
        <v>239</v>
      </c>
      <c r="KL3" t="s">
        <v>239</v>
      </c>
      <c r="KM3" t="s">
        <v>239</v>
      </c>
      <c r="KN3" t="s">
        <v>239</v>
      </c>
      <c r="KO3" t="s">
        <v>239</v>
      </c>
      <c r="KP3" t="s">
        <v>239</v>
      </c>
      <c r="KQ3" t="s">
        <v>239</v>
      </c>
      <c r="KR3" t="s">
        <v>239</v>
      </c>
      <c r="KS3" t="s">
        <v>239</v>
      </c>
      <c r="KT3" t="s">
        <v>239</v>
      </c>
      <c r="KU3" t="s">
        <v>239</v>
      </c>
      <c r="KV3" t="s">
        <v>239</v>
      </c>
      <c r="KW3" t="s">
        <v>239</v>
      </c>
      <c r="KX3" t="s">
        <v>240</v>
      </c>
      <c r="KY3" t="s">
        <v>240</v>
      </c>
      <c r="KZ3" t="s">
        <v>240</v>
      </c>
      <c r="LA3" t="s">
        <v>240</v>
      </c>
      <c r="LB3" t="s">
        <v>240</v>
      </c>
      <c r="LC3" t="s">
        <v>240</v>
      </c>
      <c r="LD3" t="s">
        <v>240</v>
      </c>
      <c r="LE3" t="s">
        <v>240</v>
      </c>
      <c r="LF3" t="s">
        <v>241</v>
      </c>
      <c r="LG3" t="s">
        <v>241</v>
      </c>
      <c r="LH3" t="s">
        <v>241</v>
      </c>
      <c r="LI3" t="s">
        <v>241</v>
      </c>
      <c r="LJ3" t="s">
        <v>235</v>
      </c>
      <c r="LK3" t="s">
        <v>235</v>
      </c>
      <c r="LL3" t="s">
        <v>235</v>
      </c>
      <c r="LM3" t="s">
        <v>235</v>
      </c>
      <c r="LN3" t="s">
        <v>238</v>
      </c>
      <c r="LO3" t="s">
        <v>238</v>
      </c>
      <c r="LP3" t="s">
        <v>238</v>
      </c>
      <c r="LQ3" t="s">
        <v>238</v>
      </c>
      <c r="LR3" t="s">
        <v>239</v>
      </c>
      <c r="LS3" t="s">
        <v>239</v>
      </c>
      <c r="LT3" t="s">
        <v>239</v>
      </c>
      <c r="LU3" t="s">
        <v>239</v>
      </c>
      <c r="LV3" t="s">
        <v>238</v>
      </c>
      <c r="LW3" t="s">
        <v>238</v>
      </c>
      <c r="LX3" t="s">
        <v>238</v>
      </c>
      <c r="LY3" t="s">
        <v>238</v>
      </c>
      <c r="LZ3" t="s">
        <v>242</v>
      </c>
      <c r="MA3" t="s">
        <v>242</v>
      </c>
      <c r="MB3" t="s">
        <v>242</v>
      </c>
      <c r="MC3" t="s">
        <v>242</v>
      </c>
      <c r="MD3" t="s">
        <v>239</v>
      </c>
      <c r="ME3" t="s">
        <v>239</v>
      </c>
      <c r="MF3" t="s">
        <v>239</v>
      </c>
      <c r="MG3" t="s">
        <v>239</v>
      </c>
      <c r="MH3" t="s">
        <v>239</v>
      </c>
      <c r="MI3" t="s">
        <v>239</v>
      </c>
      <c r="MJ3" t="s">
        <v>239</v>
      </c>
      <c r="MK3" t="s">
        <v>239</v>
      </c>
      <c r="ML3" t="s">
        <v>239</v>
      </c>
      <c r="MM3" t="s">
        <v>239</v>
      </c>
      <c r="MN3" t="s">
        <v>239</v>
      </c>
      <c r="MO3" t="s">
        <v>239</v>
      </c>
      <c r="MP3" t="s">
        <v>239</v>
      </c>
      <c r="MQ3" t="s">
        <v>239</v>
      </c>
      <c r="MR3" t="s">
        <v>239</v>
      </c>
      <c r="MS3" t="s">
        <v>239</v>
      </c>
      <c r="MT3" t="s">
        <v>239</v>
      </c>
      <c r="MU3" t="s">
        <v>239</v>
      </c>
      <c r="MV3" t="s">
        <v>239</v>
      </c>
      <c r="MW3" t="s">
        <v>239</v>
      </c>
      <c r="MX3" t="s">
        <v>239</v>
      </c>
      <c r="MY3" t="s">
        <v>239</v>
      </c>
      <c r="MZ3" t="s">
        <v>239</v>
      </c>
      <c r="NA3" t="s">
        <v>239</v>
      </c>
      <c r="NB3" t="s">
        <v>239</v>
      </c>
      <c r="NC3" t="s">
        <v>239</v>
      </c>
      <c r="ND3" t="s">
        <v>239</v>
      </c>
      <c r="NE3" t="s">
        <v>239</v>
      </c>
      <c r="NF3" t="s">
        <v>240</v>
      </c>
      <c r="NG3" t="s">
        <v>240</v>
      </c>
      <c r="NH3" t="s">
        <v>240</v>
      </c>
      <c r="NI3" t="s">
        <v>240</v>
      </c>
      <c r="NJ3" t="s">
        <v>240</v>
      </c>
      <c r="NK3" t="s">
        <v>240</v>
      </c>
      <c r="NL3" t="s">
        <v>240</v>
      </c>
      <c r="NM3" t="s">
        <v>240</v>
      </c>
      <c r="NN3" t="s">
        <v>241</v>
      </c>
      <c r="NO3" t="s">
        <v>241</v>
      </c>
      <c r="NP3" t="s">
        <v>241</v>
      </c>
      <c r="NQ3" t="s">
        <v>241</v>
      </c>
      <c r="NR3" t="s">
        <v>235</v>
      </c>
      <c r="NS3" t="s">
        <v>235</v>
      </c>
      <c r="NT3" t="s">
        <v>235</v>
      </c>
      <c r="NU3" t="s">
        <v>235</v>
      </c>
      <c r="NV3" t="s">
        <v>238</v>
      </c>
      <c r="NW3" t="s">
        <v>238</v>
      </c>
      <c r="NX3" t="s">
        <v>238</v>
      </c>
      <c r="NY3" t="s">
        <v>238</v>
      </c>
      <c r="NZ3" t="s">
        <v>239</v>
      </c>
      <c r="OA3" t="s">
        <v>239</v>
      </c>
      <c r="OB3" t="s">
        <v>239</v>
      </c>
      <c r="OC3" t="s">
        <v>239</v>
      </c>
      <c r="OD3" t="s">
        <v>238</v>
      </c>
      <c r="OE3" t="s">
        <v>238</v>
      </c>
      <c r="OF3" t="s">
        <v>238</v>
      </c>
      <c r="OG3" t="s">
        <v>238</v>
      </c>
      <c r="OH3" t="s">
        <v>242</v>
      </c>
      <c r="OI3" t="s">
        <v>242</v>
      </c>
      <c r="OJ3" t="s">
        <v>242</v>
      </c>
      <c r="OK3" t="s">
        <v>242</v>
      </c>
      <c r="OL3" t="s">
        <v>239</v>
      </c>
      <c r="OM3" t="s">
        <v>240</v>
      </c>
      <c r="ON3" t="s">
        <v>240</v>
      </c>
      <c r="OO3" t="s">
        <v>239</v>
      </c>
      <c r="OP3" t="s">
        <v>239</v>
      </c>
      <c r="OQ3" t="s">
        <v>239</v>
      </c>
      <c r="OR3" t="s">
        <v>239</v>
      </c>
      <c r="OS3" t="s">
        <v>243</v>
      </c>
      <c r="OT3" t="s">
        <v>243</v>
      </c>
      <c r="OU3" t="s">
        <v>243</v>
      </c>
      <c r="OV3" t="s">
        <v>243</v>
      </c>
      <c r="OW3" t="s">
        <v>243</v>
      </c>
      <c r="OX3" t="s">
        <v>243</v>
      </c>
      <c r="OY3" t="s">
        <v>239</v>
      </c>
      <c r="OZ3" t="s">
        <v>239</v>
      </c>
      <c r="PA3" t="s">
        <v>239</v>
      </c>
      <c r="PB3" t="s">
        <v>238</v>
      </c>
      <c r="PC3" t="s">
        <v>238</v>
      </c>
      <c r="PD3" t="s">
        <v>239</v>
      </c>
      <c r="PE3" t="s">
        <v>240</v>
      </c>
      <c r="PF3" t="s">
        <v>240</v>
      </c>
      <c r="PG3" t="s">
        <v>239</v>
      </c>
      <c r="PH3" t="s">
        <v>239</v>
      </c>
      <c r="PI3" t="s">
        <v>239</v>
      </c>
      <c r="PJ3" t="s">
        <v>239</v>
      </c>
      <c r="PK3" t="s">
        <v>243</v>
      </c>
      <c r="PL3" t="s">
        <v>243</v>
      </c>
      <c r="PM3" t="s">
        <v>243</v>
      </c>
      <c r="PN3" t="s">
        <v>243</v>
      </c>
      <c r="PO3" t="s">
        <v>243</v>
      </c>
      <c r="PP3" t="s">
        <v>243</v>
      </c>
      <c r="PQ3" t="s">
        <v>239</v>
      </c>
      <c r="PR3" t="s">
        <v>239</v>
      </c>
      <c r="PS3" t="s">
        <v>239</v>
      </c>
      <c r="PT3" t="s">
        <v>238</v>
      </c>
      <c r="PU3" t="s">
        <v>238</v>
      </c>
      <c r="PV3" t="s">
        <v>239</v>
      </c>
      <c r="PW3" t="s">
        <v>239</v>
      </c>
      <c r="PX3" t="s">
        <v>239</v>
      </c>
      <c r="PY3" t="s">
        <v>238</v>
      </c>
      <c r="PZ3" t="s">
        <v>238</v>
      </c>
      <c r="QA3" t="s">
        <v>239</v>
      </c>
      <c r="QB3" t="s">
        <v>239</v>
      </c>
      <c r="QC3" t="s">
        <v>239</v>
      </c>
      <c r="QD3" t="s">
        <v>238</v>
      </c>
      <c r="QE3" t="s">
        <v>238</v>
      </c>
      <c r="QF3" t="s">
        <v>243</v>
      </c>
      <c r="QG3" t="s">
        <v>243</v>
      </c>
      <c r="QH3" t="s">
        <v>243</v>
      </c>
      <c r="QI3" t="s">
        <v>243</v>
      </c>
      <c r="QJ3" t="s">
        <v>243</v>
      </c>
      <c r="QK3" t="s">
        <v>243</v>
      </c>
      <c r="QL3" t="s">
        <v>243</v>
      </c>
      <c r="QM3" t="s">
        <v>243</v>
      </c>
      <c r="QN3" t="s">
        <v>238</v>
      </c>
      <c r="QO3" t="s">
        <v>235</v>
      </c>
      <c r="QP3" t="s">
        <v>235</v>
      </c>
      <c r="QQ3" t="s">
        <v>235</v>
      </c>
      <c r="QR3" t="s">
        <v>238</v>
      </c>
      <c r="QS3" t="s">
        <v>235</v>
      </c>
      <c r="QT3" t="s">
        <v>235</v>
      </c>
      <c r="QU3" t="s">
        <v>235</v>
      </c>
    </row>
    <row r="4" spans="1:463" x14ac:dyDescent="0.2">
      <c r="A4" t="s">
        <v>276</v>
      </c>
      <c r="B4" s="2">
        <v>-1.129656379E-11</v>
      </c>
      <c r="C4" s="2">
        <v>-6.5297481040000001E-13</v>
      </c>
      <c r="D4">
        <v>1.3233542199999999</v>
      </c>
      <c r="E4">
        <v>1.3830876299999999</v>
      </c>
      <c r="F4">
        <v>1.8551464900000001</v>
      </c>
      <c r="G4">
        <v>4.094389563</v>
      </c>
      <c r="H4">
        <v>4.2792016469999998</v>
      </c>
      <c r="I4">
        <v>5.739727362</v>
      </c>
      <c r="J4">
        <v>30.997806229999998</v>
      </c>
      <c r="K4">
        <v>32.321160450000001</v>
      </c>
      <c r="L4">
        <v>32.321160450000001</v>
      </c>
      <c r="M4">
        <v>32.321160450000001</v>
      </c>
      <c r="N4">
        <v>30.938072819999999</v>
      </c>
      <c r="O4">
        <v>32.321160450000001</v>
      </c>
      <c r="P4">
        <v>30.466013960000002</v>
      </c>
      <c r="Q4">
        <v>32.321160450000001</v>
      </c>
      <c r="R4">
        <v>0.77338275869999995</v>
      </c>
      <c r="S4">
        <v>0.14986476900000001</v>
      </c>
      <c r="T4">
        <v>0.22924058389999999</v>
      </c>
      <c r="U4">
        <v>1.1374938619999999</v>
      </c>
      <c r="V4">
        <v>0.81000228019999998</v>
      </c>
      <c r="W4">
        <v>0.1076786646</v>
      </c>
      <c r="X4">
        <v>0.51537220559999997</v>
      </c>
      <c r="Y4">
        <v>1.082781319</v>
      </c>
      <c r="Z4">
        <v>1.5833850389999999</v>
      </c>
      <c r="AA4">
        <v>0.20070125790000001</v>
      </c>
      <c r="AB4">
        <v>0.74674079999999998</v>
      </c>
      <c r="AC4">
        <v>1.8437313</v>
      </c>
      <c r="AD4">
        <v>0.47018989179999998</v>
      </c>
      <c r="AE4">
        <v>5.4454165640000003E-2</v>
      </c>
      <c r="AF4">
        <v>0.20422863329999999</v>
      </c>
      <c r="AG4">
        <v>0.59587800000000002</v>
      </c>
      <c r="AH4">
        <v>1.5833850389999999</v>
      </c>
      <c r="AI4">
        <v>0.20070125790000001</v>
      </c>
      <c r="AJ4">
        <v>0.74674079999999998</v>
      </c>
      <c r="AK4">
        <v>1.8437313</v>
      </c>
      <c r="AL4">
        <v>0.15971601739999999</v>
      </c>
      <c r="AM4">
        <v>2.0110864539999999E-2</v>
      </c>
      <c r="AN4">
        <v>9.2767241680000001E-2</v>
      </c>
      <c r="AO4">
        <v>0.19827354890000001</v>
      </c>
      <c r="AP4">
        <v>0.20316413280000001</v>
      </c>
      <c r="AQ4">
        <v>2.4933367939999999E-2</v>
      </c>
      <c r="AR4">
        <v>0.11862025700000001</v>
      </c>
      <c r="AS4">
        <v>0.24992536109999999</v>
      </c>
      <c r="AT4">
        <v>-0.17850122700000001</v>
      </c>
      <c r="AU4">
        <v>0.1484718001</v>
      </c>
      <c r="AV4">
        <v>-0.60411710730000001</v>
      </c>
      <c r="AW4">
        <v>0.28460393760000002</v>
      </c>
      <c r="AX4">
        <v>3.442842255</v>
      </c>
      <c r="AY4">
        <v>0.27593900830000001</v>
      </c>
      <c r="AZ4">
        <v>2.9267614270000002</v>
      </c>
      <c r="BA4">
        <v>4.2287805010000001</v>
      </c>
      <c r="BB4">
        <v>4.791311291E-2</v>
      </c>
      <c r="BC4">
        <v>8.1258739639999994E-2</v>
      </c>
      <c r="BD4">
        <v>2.9135492860000001E-2</v>
      </c>
      <c r="BE4">
        <v>1.0708799959999999</v>
      </c>
      <c r="BF4">
        <v>2.6635428609999998</v>
      </c>
      <c r="BG4">
        <v>0.44823374890000001</v>
      </c>
      <c r="BH4">
        <v>0.16257618630000001</v>
      </c>
      <c r="BI4">
        <v>3.431492569</v>
      </c>
      <c r="BJ4">
        <v>81.79246268</v>
      </c>
      <c r="BK4">
        <v>14.854490970000001</v>
      </c>
      <c r="BL4">
        <v>23.608307100000001</v>
      </c>
      <c r="BM4">
        <v>100</v>
      </c>
      <c r="BN4">
        <v>0.33062377570000001</v>
      </c>
      <c r="BO4">
        <v>4.366955954E-2</v>
      </c>
      <c r="BP4">
        <v>0.178188927</v>
      </c>
      <c r="BQ4">
        <v>0.4083479632</v>
      </c>
      <c r="BR4">
        <v>254.1637561</v>
      </c>
      <c r="BS4">
        <v>42.464377120000002</v>
      </c>
      <c r="BT4">
        <v>9.3381144799999998</v>
      </c>
      <c r="BU4">
        <v>343.22398629999998</v>
      </c>
      <c r="BV4">
        <v>0.60203853819999997</v>
      </c>
      <c r="BW4">
        <v>0.120610018</v>
      </c>
      <c r="BX4">
        <v>0.20083656580000001</v>
      </c>
      <c r="BY4">
        <v>0.79460698789999995</v>
      </c>
      <c r="BZ4">
        <v>0.62382135800000005</v>
      </c>
      <c r="CA4">
        <v>0.105668946</v>
      </c>
      <c r="CB4">
        <v>0.28265738559999998</v>
      </c>
      <c r="CC4">
        <v>0.87540196219999999</v>
      </c>
      <c r="CD4">
        <v>1.225859896</v>
      </c>
      <c r="CE4">
        <v>0.12773493389999999</v>
      </c>
      <c r="CF4">
        <v>0.50020929999999997</v>
      </c>
      <c r="CG4">
        <v>1.3143940999999999</v>
      </c>
      <c r="CH4">
        <v>0.44203383349999997</v>
      </c>
      <c r="CI4">
        <v>5.1252736260000001E-2</v>
      </c>
      <c r="CJ4">
        <v>0.20562169999999999</v>
      </c>
      <c r="CK4">
        <v>0.53913161239999996</v>
      </c>
      <c r="CL4">
        <v>1.225859896</v>
      </c>
      <c r="CM4">
        <v>0.12773493389999999</v>
      </c>
      <c r="CN4">
        <v>0.50020929999999997</v>
      </c>
      <c r="CO4">
        <v>1.3143940999999999</v>
      </c>
      <c r="CP4">
        <v>0.15716268550000001</v>
      </c>
      <c r="CQ4">
        <v>2.1690542140000001E-2</v>
      </c>
      <c r="CR4">
        <v>7.5258493699999998E-2</v>
      </c>
      <c r="CS4">
        <v>0.1952312856</v>
      </c>
      <c r="CT4">
        <v>0.19761641460000001</v>
      </c>
      <c r="CU4">
        <v>2.6532160690000001E-2</v>
      </c>
      <c r="CV4">
        <v>9.6855227959999998E-2</v>
      </c>
      <c r="CW4">
        <v>0.2424329066</v>
      </c>
      <c r="CX4">
        <v>-0.15817841060000001</v>
      </c>
      <c r="CY4">
        <v>0.18778047989999999</v>
      </c>
      <c r="CZ4">
        <v>-0.75894088159999995</v>
      </c>
      <c r="DA4">
        <v>0.42208311240000002</v>
      </c>
      <c r="DB4">
        <v>3.052055132</v>
      </c>
      <c r="DC4">
        <v>0.2581520182</v>
      </c>
      <c r="DD4">
        <v>2.6324207899999998</v>
      </c>
      <c r="DE4">
        <v>4.1982709829999996</v>
      </c>
      <c r="DF4">
        <v>5.0751269590000002E-2</v>
      </c>
      <c r="DG4">
        <v>0.1362403439</v>
      </c>
      <c r="DH4">
        <v>2.8174479539999998E-2</v>
      </c>
      <c r="DI4">
        <v>1.817459994</v>
      </c>
      <c r="DJ4">
        <v>2.590331495</v>
      </c>
      <c r="DK4">
        <v>0.44055094680000001</v>
      </c>
      <c r="DL4">
        <v>4.096391261E-2</v>
      </c>
      <c r="DM4">
        <v>3.2753897030000001</v>
      </c>
      <c r="DN4">
        <v>95.185803590000006</v>
      </c>
      <c r="DO4">
        <v>3.8134942559999998</v>
      </c>
      <c r="DP4">
        <v>83.712884410000001</v>
      </c>
      <c r="DQ4">
        <v>100</v>
      </c>
      <c r="DR4">
        <v>0.32897462249999998</v>
      </c>
      <c r="DS4">
        <v>4.7791000899999998E-2</v>
      </c>
      <c r="DT4">
        <v>0.13737585129999999</v>
      </c>
      <c r="DU4">
        <v>0.40825123130000002</v>
      </c>
      <c r="DV4">
        <v>267.91074559999998</v>
      </c>
      <c r="DW4">
        <v>44.287095110000003</v>
      </c>
      <c r="DX4">
        <v>5.5021843859999997</v>
      </c>
      <c r="DY4">
        <v>354.93113499999998</v>
      </c>
      <c r="DZ4">
        <v>0.51979895870000004</v>
      </c>
      <c r="EA4">
        <v>9.6024963340000005E-2</v>
      </c>
      <c r="EB4">
        <v>3.9349282110000001E-2</v>
      </c>
      <c r="EC4">
        <v>0.69294043849999998</v>
      </c>
      <c r="ED4">
        <v>0.58068751259999996</v>
      </c>
      <c r="EE4">
        <v>0.1011629183</v>
      </c>
      <c r="EF4">
        <v>8.0795732169999995E-2</v>
      </c>
      <c r="EG4">
        <v>0.78890472310000004</v>
      </c>
      <c r="EH4">
        <v>1.100486471</v>
      </c>
      <c r="EI4">
        <v>0.1833742491</v>
      </c>
      <c r="EJ4">
        <v>0.12014501430000001</v>
      </c>
      <c r="EK4">
        <v>1.4142548429999999</v>
      </c>
      <c r="EL4">
        <v>0.4303688691</v>
      </c>
      <c r="EM4">
        <v>5.5009697119999999E-2</v>
      </c>
      <c r="EN4">
        <v>0.11076084999999999</v>
      </c>
      <c r="EO4">
        <v>0.55513066690000001</v>
      </c>
      <c r="EP4">
        <v>1.4929780770000001</v>
      </c>
      <c r="EQ4">
        <v>0.24318596210000001</v>
      </c>
      <c r="ER4">
        <v>0.35051719999999997</v>
      </c>
      <c r="ES4">
        <v>1.9222731</v>
      </c>
      <c r="ET4">
        <v>0.1314746758</v>
      </c>
      <c r="EU4">
        <v>2.0171049569999999E-2</v>
      </c>
      <c r="EV4">
        <v>2.096470055E-2</v>
      </c>
      <c r="EW4">
        <v>0.16293174160000001</v>
      </c>
      <c r="EX4">
        <v>0.1692839354</v>
      </c>
      <c r="EY4">
        <v>2.609273799E-2</v>
      </c>
      <c r="EZ4">
        <v>2.696151175E-2</v>
      </c>
      <c r="FA4">
        <v>0.2123588129</v>
      </c>
      <c r="FB4">
        <v>-0.2174626318</v>
      </c>
      <c r="FC4">
        <v>0.17198998579999999</v>
      </c>
      <c r="FD4">
        <v>-0.59514106659999999</v>
      </c>
      <c r="FE4">
        <v>0.2091874853</v>
      </c>
      <c r="FF4">
        <v>3.7851335370000001</v>
      </c>
      <c r="FG4">
        <v>0.34224719949999999</v>
      </c>
      <c r="FH4">
        <v>3.084803161</v>
      </c>
      <c r="FI4">
        <v>4.9212154540000004</v>
      </c>
      <c r="FJ4">
        <v>0.72720008169999995</v>
      </c>
      <c r="FK4">
        <v>0.15645778900000001</v>
      </c>
      <c r="FL4">
        <v>7.3931224970000001E-2</v>
      </c>
      <c r="FM4">
        <v>1.1026492720000001</v>
      </c>
      <c r="FN4">
        <v>0.76577799489999998</v>
      </c>
      <c r="FO4">
        <v>0.1362992183</v>
      </c>
      <c r="FP4">
        <v>0.27658597499999998</v>
      </c>
      <c r="FQ4">
        <v>1.152985334</v>
      </c>
      <c r="FR4">
        <v>1.3831970200000001</v>
      </c>
      <c r="FS4">
        <v>0.22599445109999999</v>
      </c>
      <c r="FT4">
        <v>0.31230079999999999</v>
      </c>
      <c r="FU4">
        <v>1.9133675999999999</v>
      </c>
      <c r="FV4">
        <v>1.144577935</v>
      </c>
      <c r="FW4">
        <v>0.26595363020000001</v>
      </c>
      <c r="FX4">
        <v>4.2546599999999997E-2</v>
      </c>
      <c r="FY4">
        <v>1.9133675999999999</v>
      </c>
      <c r="FZ4">
        <v>3.6448544729999997E-2</v>
      </c>
      <c r="GA4">
        <v>3.4024099469999999E-2</v>
      </c>
      <c r="GB4">
        <v>2.4778392770000001E-2</v>
      </c>
      <c r="GC4">
        <v>0.41744999859999998</v>
      </c>
      <c r="GD4">
        <v>2.6081315730000001</v>
      </c>
      <c r="GE4">
        <v>0.46120291429999999</v>
      </c>
      <c r="GF4">
        <v>9.4120111359999994E-2</v>
      </c>
      <c r="GG4">
        <v>3.3822135630000001</v>
      </c>
      <c r="GH4">
        <v>88.207352189999995</v>
      </c>
      <c r="GI4">
        <v>14.051917939999999</v>
      </c>
      <c r="GJ4">
        <v>23.83062121</v>
      </c>
      <c r="GK4">
        <v>100</v>
      </c>
      <c r="GL4">
        <v>0.26617975059999999</v>
      </c>
      <c r="GM4">
        <v>4.2772438310000001E-2</v>
      </c>
      <c r="GN4">
        <v>3.612079746E-2</v>
      </c>
      <c r="GO4">
        <v>0.33262930590000001</v>
      </c>
      <c r="GP4">
        <v>4.411037222</v>
      </c>
      <c r="GQ4">
        <v>1.138167092</v>
      </c>
      <c r="GR4">
        <v>2.068456045</v>
      </c>
      <c r="GS4">
        <v>12.442539050000001</v>
      </c>
      <c r="GT4">
        <v>308.65236870000001</v>
      </c>
      <c r="GU4">
        <v>47.437427460000002</v>
      </c>
      <c r="GV4">
        <v>23.954964749999998</v>
      </c>
      <c r="GW4">
        <v>403.577427</v>
      </c>
      <c r="GX4">
        <v>0.4630807414</v>
      </c>
      <c r="GY4">
        <v>8.8660432380000001E-2</v>
      </c>
      <c r="GZ4">
        <v>2.581386343E-2</v>
      </c>
      <c r="HA4">
        <v>0.58788587699999995</v>
      </c>
      <c r="HB4">
        <v>0.5187361492</v>
      </c>
      <c r="HC4">
        <v>9.2522277429999994E-2</v>
      </c>
      <c r="HD4">
        <v>4.9708022290000001E-2</v>
      </c>
      <c r="HE4">
        <v>0.72156458970000004</v>
      </c>
      <c r="HF4">
        <v>0.98181689059999999</v>
      </c>
      <c r="HG4">
        <v>0.15943194159999999</v>
      </c>
      <c r="HH4">
        <v>7.552188571E-2</v>
      </c>
      <c r="HI4">
        <v>1.2076587430000001</v>
      </c>
      <c r="HJ4">
        <v>0.409482175</v>
      </c>
      <c r="HK4">
        <v>5.724329408E-2</v>
      </c>
      <c r="HL4">
        <v>5.549231667E-2</v>
      </c>
      <c r="HM4">
        <v>0.52224599940000005</v>
      </c>
      <c r="HN4">
        <v>1.2362436189999999</v>
      </c>
      <c r="HO4">
        <v>0.17356585290000001</v>
      </c>
      <c r="HP4">
        <v>0.1605473</v>
      </c>
      <c r="HQ4">
        <v>1.5694646000000001</v>
      </c>
      <c r="HR4">
        <v>0.12939248149999999</v>
      </c>
      <c r="HS4">
        <v>2.0988401850000001E-2</v>
      </c>
      <c r="HT4">
        <v>1.4180959870000001E-2</v>
      </c>
      <c r="HU4">
        <v>0.1579926914</v>
      </c>
      <c r="HV4">
        <v>0.16457487509999999</v>
      </c>
      <c r="HW4">
        <v>2.6631140760000001E-2</v>
      </c>
      <c r="HX4">
        <v>1.8536327089999999E-2</v>
      </c>
      <c r="HY4">
        <v>0.2003653128</v>
      </c>
      <c r="HZ4">
        <v>-0.21042035670000001</v>
      </c>
      <c r="IA4">
        <v>0.1813490244</v>
      </c>
      <c r="IB4">
        <v>-0.69374499469999995</v>
      </c>
      <c r="IC4">
        <v>0.2613460393</v>
      </c>
      <c r="ID4">
        <v>3.3563250779999998</v>
      </c>
      <c r="IE4">
        <v>0.261439115</v>
      </c>
      <c r="IF4">
        <v>2.9635954579999999</v>
      </c>
      <c r="IG4">
        <v>4.5633454950000001</v>
      </c>
      <c r="IH4">
        <v>0.5971963294</v>
      </c>
      <c r="II4">
        <v>0.12357643829999999</v>
      </c>
      <c r="IJ4">
        <v>3.799537771E-2</v>
      </c>
      <c r="IK4">
        <v>0.84361006949999995</v>
      </c>
      <c r="IL4">
        <v>0.63904728980000003</v>
      </c>
      <c r="IM4">
        <v>0.11335982059999999</v>
      </c>
      <c r="IN4">
        <v>0.1225519223</v>
      </c>
      <c r="IO4">
        <v>0.92901416889999999</v>
      </c>
      <c r="IP4">
        <v>1.1552208509999999</v>
      </c>
      <c r="IQ4">
        <v>0.15299573650000001</v>
      </c>
      <c r="IR4">
        <v>0.1505766</v>
      </c>
      <c r="IS4">
        <v>1.3762475000000001</v>
      </c>
      <c r="IT4">
        <v>1.019140749</v>
      </c>
      <c r="IU4">
        <v>0.2043466793</v>
      </c>
      <c r="IV4">
        <v>3.3526599999999997E-2</v>
      </c>
      <c r="IW4">
        <v>1.3236706</v>
      </c>
      <c r="IX4">
        <v>3.5082466499999999E-2</v>
      </c>
      <c r="IY4">
        <v>3.0592133859999999E-2</v>
      </c>
      <c r="IZ4">
        <v>2.4450925030000001E-2</v>
      </c>
      <c r="JA4">
        <v>0.35799499880000002</v>
      </c>
      <c r="JB4">
        <v>2.542653059</v>
      </c>
      <c r="JC4">
        <v>0.45356844480000003</v>
      </c>
      <c r="JD4">
        <v>2.7851986889999999E-2</v>
      </c>
      <c r="JE4">
        <v>3.2205028449999999</v>
      </c>
      <c r="JF4">
        <v>96.977594370000006</v>
      </c>
      <c r="JG4">
        <v>3.4040090109999999</v>
      </c>
      <c r="JH4">
        <v>81.287131470000006</v>
      </c>
      <c r="JI4">
        <v>100</v>
      </c>
      <c r="JJ4">
        <v>0.26524757669999999</v>
      </c>
      <c r="JK4">
        <v>4.5196318280000002E-2</v>
      </c>
      <c r="JL4">
        <v>2.4183774960000001E-2</v>
      </c>
      <c r="JM4">
        <v>0.33051283469999998</v>
      </c>
      <c r="JN4">
        <v>5.9483410860000001</v>
      </c>
      <c r="JO4">
        <v>1.0768556090000001</v>
      </c>
      <c r="JP4">
        <v>3.225806452</v>
      </c>
      <c r="JQ4">
        <v>11.52425511</v>
      </c>
      <c r="JR4">
        <v>319.30065619999999</v>
      </c>
      <c r="JS4">
        <v>49.015785479999998</v>
      </c>
      <c r="JT4">
        <v>27.933351120000001</v>
      </c>
      <c r="JU4">
        <v>408.98248180000002</v>
      </c>
      <c r="JV4">
        <v>0.1861357391</v>
      </c>
      <c r="JW4">
        <v>4.7083865449999998E-2</v>
      </c>
      <c r="JX4">
        <v>8.7750482800000001E-2</v>
      </c>
      <c r="JY4">
        <v>0.28637145219999999</v>
      </c>
      <c r="JZ4">
        <v>0.2020228832</v>
      </c>
      <c r="KA4">
        <v>5.5602981150000001E-2</v>
      </c>
      <c r="KB4">
        <v>6.0926817199999997E-2</v>
      </c>
      <c r="KC4">
        <v>0.31991188910000001</v>
      </c>
      <c r="KD4">
        <v>0.38815862229999998</v>
      </c>
      <c r="KE4">
        <v>8.3960366149999993E-2</v>
      </c>
      <c r="KF4">
        <v>0.14867730000000001</v>
      </c>
      <c r="KG4">
        <v>0.58182409999999996</v>
      </c>
      <c r="KH4">
        <v>0.24600481760000001</v>
      </c>
      <c r="KI4">
        <v>6.1271285240000001E-2</v>
      </c>
      <c r="KJ4">
        <v>9.7144449999999993E-2</v>
      </c>
      <c r="KK4">
        <v>0.44911430000000002</v>
      </c>
      <c r="KL4">
        <v>0.38815862229999998</v>
      </c>
      <c r="KM4">
        <v>8.3960366149999993E-2</v>
      </c>
      <c r="KN4">
        <v>0.14867730000000001</v>
      </c>
      <c r="KO4">
        <v>0.58182409999999996</v>
      </c>
      <c r="KP4">
        <v>7.6808374479999997E-2</v>
      </c>
      <c r="KQ4">
        <v>1.6718429E-2</v>
      </c>
      <c r="KR4">
        <v>3.8951393459999997E-2</v>
      </c>
      <c r="KS4">
        <v>0.12075967529999999</v>
      </c>
      <c r="KT4">
        <v>9.5676481990000006E-2</v>
      </c>
      <c r="KU4">
        <v>1.967650772E-2</v>
      </c>
      <c r="KV4">
        <v>4.3802976360000002E-2</v>
      </c>
      <c r="KW4">
        <v>0.14847645179999999</v>
      </c>
      <c r="KX4">
        <v>-0.16499579140000001</v>
      </c>
      <c r="KY4">
        <v>0.53656885949999999</v>
      </c>
      <c r="KZ4">
        <v>-1.7873308160000001</v>
      </c>
      <c r="LA4">
        <v>1.0052127900000001</v>
      </c>
      <c r="LB4">
        <v>2.7835471969999999</v>
      </c>
      <c r="LC4">
        <v>0.81985915890000005</v>
      </c>
      <c r="LD4">
        <v>1.766470808</v>
      </c>
      <c r="LE4">
        <v>6.1287764449999997</v>
      </c>
      <c r="LF4">
        <v>1.819548218</v>
      </c>
      <c r="LG4">
        <v>0.56329189840000005</v>
      </c>
      <c r="LH4">
        <v>0.94805999669999996</v>
      </c>
      <c r="LI4">
        <v>3.6694199869999999</v>
      </c>
      <c r="LJ4">
        <v>1.7258728389999999E-2</v>
      </c>
      <c r="LK4">
        <v>3.850337578E-3</v>
      </c>
      <c r="LL4">
        <v>9.0917489509999994E-3</v>
      </c>
      <c r="LM4">
        <v>2.75940748E-2</v>
      </c>
      <c r="LN4">
        <v>100</v>
      </c>
      <c r="LO4">
        <v>0</v>
      </c>
      <c r="LP4">
        <v>100</v>
      </c>
      <c r="LQ4">
        <v>100</v>
      </c>
      <c r="LR4">
        <v>0.16239440520000001</v>
      </c>
      <c r="LS4">
        <v>4.3844677749999998E-2</v>
      </c>
      <c r="LT4">
        <v>7.8909868349999995E-2</v>
      </c>
      <c r="LU4">
        <v>0.28706332509999999</v>
      </c>
      <c r="LV4">
        <v>15.830783690000001</v>
      </c>
      <c r="LW4">
        <v>5.183141343</v>
      </c>
      <c r="LX4">
        <v>4.1574524549999996</v>
      </c>
      <c r="LY4">
        <v>27.863777089999999</v>
      </c>
      <c r="LZ4">
        <v>5.9139867070000003</v>
      </c>
      <c r="MA4">
        <v>1.4408041819999999</v>
      </c>
      <c r="MB4">
        <v>2.7252263390000002</v>
      </c>
      <c r="MC4">
        <v>10.54785566</v>
      </c>
      <c r="MD4">
        <v>0.1829005759</v>
      </c>
      <c r="ME4">
        <v>4.755903953E-2</v>
      </c>
      <c r="MF4">
        <v>8.1851047900000001E-2</v>
      </c>
      <c r="MG4">
        <v>0.28342238130000003</v>
      </c>
      <c r="MH4">
        <v>0.19628458579999999</v>
      </c>
      <c r="MI4">
        <v>5.4191026029999999E-2</v>
      </c>
      <c r="MJ4">
        <v>5.841344372E-2</v>
      </c>
      <c r="MK4">
        <v>0.30301332689999999</v>
      </c>
      <c r="ML4">
        <v>0.3791851617</v>
      </c>
      <c r="MM4">
        <v>8.3590444489999999E-2</v>
      </c>
      <c r="MN4">
        <v>0.1406299</v>
      </c>
      <c r="MO4">
        <v>0.56269570000000002</v>
      </c>
      <c r="MP4">
        <v>0.2424238886</v>
      </c>
      <c r="MQ4">
        <v>6.5103529450000003E-2</v>
      </c>
      <c r="MR4">
        <v>8.6496950000000003E-2</v>
      </c>
      <c r="MS4">
        <v>0.49665399999999998</v>
      </c>
      <c r="MT4">
        <v>0.3791851617</v>
      </c>
      <c r="MU4">
        <v>8.3590444489999999E-2</v>
      </c>
      <c r="MV4">
        <v>0.1406299</v>
      </c>
      <c r="MW4">
        <v>0.56269570000000002</v>
      </c>
      <c r="MX4">
        <v>7.5287116949999996E-2</v>
      </c>
      <c r="MY4">
        <v>1.6801180709999999E-2</v>
      </c>
      <c r="MZ4">
        <v>3.7007756459999999E-2</v>
      </c>
      <c r="NA4">
        <v>0.1199335287</v>
      </c>
      <c r="NB4">
        <v>9.3686942359999997E-2</v>
      </c>
      <c r="NC4">
        <v>1.9723987129999999E-2</v>
      </c>
      <c r="ND4">
        <v>4.1617970810000002E-2</v>
      </c>
      <c r="NE4">
        <v>0.1474757592</v>
      </c>
      <c r="NF4">
        <v>-0.15074445340000001</v>
      </c>
      <c r="NG4">
        <v>0.53498425849999998</v>
      </c>
      <c r="NH4">
        <v>-1.7873308160000001</v>
      </c>
      <c r="NI4">
        <v>1.0042148879999999</v>
      </c>
      <c r="NJ4">
        <v>2.7673120400000002</v>
      </c>
      <c r="NK4">
        <v>0.81371784030000005</v>
      </c>
      <c r="NL4">
        <v>1.784794609</v>
      </c>
      <c r="NM4">
        <v>6.1287764449999997</v>
      </c>
      <c r="NN4">
        <v>1.831137411</v>
      </c>
      <c r="NO4">
        <v>0.59381990380000005</v>
      </c>
      <c r="NP4">
        <v>0.95771999669999996</v>
      </c>
      <c r="NQ4">
        <v>4.3856399850000001</v>
      </c>
      <c r="NR4">
        <v>1.6921513070000001E-2</v>
      </c>
      <c r="NS4">
        <v>3.9248787160000003E-3</v>
      </c>
      <c r="NT4">
        <v>7.7744580660000003E-3</v>
      </c>
      <c r="NU4">
        <v>2.725532311E-2</v>
      </c>
      <c r="NV4">
        <v>100</v>
      </c>
      <c r="NW4">
        <v>0</v>
      </c>
      <c r="NX4">
        <v>100</v>
      </c>
      <c r="NY4">
        <v>100</v>
      </c>
      <c r="NZ4">
        <v>0.1593470447</v>
      </c>
      <c r="OA4">
        <v>4.3851278639999998E-2</v>
      </c>
      <c r="OB4">
        <v>7.1729375600000006E-2</v>
      </c>
      <c r="OC4">
        <v>0.2861494114</v>
      </c>
      <c r="OD4">
        <v>15.99853369</v>
      </c>
      <c r="OE4">
        <v>5.1999882939999997</v>
      </c>
      <c r="OF4">
        <v>4.1574524549999996</v>
      </c>
      <c r="OG4">
        <v>27.8858912</v>
      </c>
      <c r="OH4">
        <v>5.9011240440000003</v>
      </c>
      <c r="OI4">
        <v>1.456131917</v>
      </c>
      <c r="OJ4">
        <v>2.2801689230000002</v>
      </c>
      <c r="OK4">
        <v>10.44146518</v>
      </c>
      <c r="OL4">
        <v>0.17793513759999999</v>
      </c>
      <c r="OM4">
        <v>-0.23820774920000001</v>
      </c>
      <c r="ON4">
        <v>4.0549581530000003</v>
      </c>
      <c r="OO4">
        <v>1.2527870000000001</v>
      </c>
      <c r="OP4">
        <v>1.1107315</v>
      </c>
      <c r="OQ4">
        <v>2.3635185000000001</v>
      </c>
      <c r="OR4">
        <v>0.1369107104</v>
      </c>
      <c r="OS4" s="2">
        <v>8.8426988609999992E-6</v>
      </c>
      <c r="OT4">
        <v>2.215884385E-4</v>
      </c>
      <c r="OU4" s="2">
        <v>8.8426988609999992E-6</v>
      </c>
      <c r="OV4">
        <v>1.505017219E-4</v>
      </c>
      <c r="OW4">
        <v>1.9804097809999999E-4</v>
      </c>
      <c r="OX4" s="2">
        <v>2.3547460400000001E-5</v>
      </c>
      <c r="OY4">
        <v>0.41459509249999998</v>
      </c>
      <c r="OZ4">
        <v>0.1769509926</v>
      </c>
      <c r="PA4">
        <v>0.22402383179999999</v>
      </c>
      <c r="PB4">
        <v>9.9428702510000004</v>
      </c>
      <c r="PC4">
        <v>88.116489209999997</v>
      </c>
      <c r="PD4">
        <v>0.17281589550000001</v>
      </c>
      <c r="PE4">
        <v>-0.22288334500000001</v>
      </c>
      <c r="PF4">
        <v>3.4690035049999999</v>
      </c>
      <c r="PG4">
        <v>0.94520919999999997</v>
      </c>
      <c r="PH4">
        <v>0.95198340000000004</v>
      </c>
      <c r="PI4">
        <v>1.8971925999999999</v>
      </c>
      <c r="PJ4">
        <v>0.13480970840000001</v>
      </c>
      <c r="PK4" s="2">
        <v>8.0888167870000004E-6</v>
      </c>
      <c r="PL4">
        <v>2.195048921E-4</v>
      </c>
      <c r="PM4" s="2">
        <v>8.0888167870000004E-6</v>
      </c>
      <c r="PN4">
        <v>1.4978631260000001E-4</v>
      </c>
      <c r="PO4">
        <v>1.969203874E-4</v>
      </c>
      <c r="PP4" s="2">
        <v>2.2584504699999999E-5</v>
      </c>
      <c r="PQ4">
        <v>0.4147202666</v>
      </c>
      <c r="PR4">
        <v>0.16173930559999999</v>
      </c>
      <c r="PS4">
        <v>0.20892676369999999</v>
      </c>
      <c r="PT4">
        <v>9.8178918759999991</v>
      </c>
      <c r="PU4">
        <v>88.269728549999996</v>
      </c>
      <c r="PV4">
        <v>0.63954944629999999</v>
      </c>
      <c r="PW4">
        <v>0.24233431129999999</v>
      </c>
      <c r="PX4">
        <v>0.244062942</v>
      </c>
      <c r="PY4">
        <v>9.7811300980000002</v>
      </c>
      <c r="PZ4">
        <v>89.38826967</v>
      </c>
      <c r="QA4">
        <v>0.63922485699999998</v>
      </c>
      <c r="QB4">
        <v>0.2226392938</v>
      </c>
      <c r="QC4">
        <v>0.21610519389999999</v>
      </c>
      <c r="QD4">
        <v>9.7934695759999997</v>
      </c>
      <c r="QE4">
        <v>89.579907939999998</v>
      </c>
      <c r="QF4" s="2">
        <v>1.215759974E-5</v>
      </c>
      <c r="QG4">
        <v>2.2627379149999999E-4</v>
      </c>
      <c r="QH4">
        <v>3.020598085E-4</v>
      </c>
      <c r="QI4" s="2">
        <v>2.915019329E-5</v>
      </c>
      <c r="QJ4" s="2">
        <v>1.119473858E-5</v>
      </c>
      <c r="QK4">
        <v>2.2631946600000001E-4</v>
      </c>
      <c r="QL4">
        <v>3.0198163400000001E-4</v>
      </c>
      <c r="QM4" s="2">
        <v>2.7393548860000001E-5</v>
      </c>
      <c r="QN4" t="s">
        <v>244</v>
      </c>
      <c r="QO4">
        <v>89.979488590000003</v>
      </c>
      <c r="QP4">
        <v>120.9892364</v>
      </c>
      <c r="QQ4">
        <v>104.7731852</v>
      </c>
      <c r="QR4" t="s">
        <v>244</v>
      </c>
      <c r="QS4">
        <v>89.980216069999997</v>
      </c>
      <c r="QT4">
        <v>120.9862682</v>
      </c>
      <c r="QU4">
        <v>104.7748509</v>
      </c>
    </row>
    <row r="5" spans="1:463" x14ac:dyDescent="0.2">
      <c r="A5" t="s">
        <v>277</v>
      </c>
      <c r="B5" s="2">
        <v>-1.0380779519999999E-11</v>
      </c>
      <c r="C5" s="2">
        <v>3.6011018840000001E-12</v>
      </c>
      <c r="D5">
        <v>4.1782535709999997E-3</v>
      </c>
      <c r="E5">
        <v>6.3864053559999995E-2</v>
      </c>
      <c r="F5">
        <v>0.53142472070000002</v>
      </c>
      <c r="G5">
        <v>1.2834987169999999E-2</v>
      </c>
      <c r="H5">
        <v>0.19618108240000001</v>
      </c>
      <c r="I5">
        <v>1.6324594370000001</v>
      </c>
      <c r="J5">
        <v>32.549446590000002</v>
      </c>
      <c r="K5">
        <v>32.553624839999998</v>
      </c>
      <c r="L5">
        <v>32.553624839999998</v>
      </c>
      <c r="M5">
        <v>32.553624839999998</v>
      </c>
      <c r="N5">
        <v>32.489760789999998</v>
      </c>
      <c r="O5">
        <v>32.553624839999998</v>
      </c>
      <c r="P5">
        <v>32.022200120000001</v>
      </c>
      <c r="Q5">
        <v>32.553624839999998</v>
      </c>
      <c r="R5">
        <v>0.80086790539999997</v>
      </c>
      <c r="S5">
        <v>0.13982153059999999</v>
      </c>
      <c r="T5">
        <v>0.50393458400000002</v>
      </c>
      <c r="U5">
        <v>1.1218802160000001</v>
      </c>
      <c r="V5">
        <v>1.0031106789999999</v>
      </c>
      <c r="W5">
        <v>0.1414357503</v>
      </c>
      <c r="X5">
        <v>0.6286883271</v>
      </c>
      <c r="Y5">
        <v>1.3794813539999999</v>
      </c>
      <c r="Z5">
        <v>1.803978584</v>
      </c>
      <c r="AA5">
        <v>0.1920743369</v>
      </c>
      <c r="AB5">
        <v>1.145103</v>
      </c>
      <c r="AC5">
        <v>2.0950380000000002</v>
      </c>
      <c r="AD5">
        <v>0.54008131839999995</v>
      </c>
      <c r="AE5">
        <v>5.1791679260000001E-2</v>
      </c>
      <c r="AF5">
        <v>0.40210143710000001</v>
      </c>
      <c r="AG5">
        <v>0.64416603100000003</v>
      </c>
      <c r="AH5">
        <v>1.803978584</v>
      </c>
      <c r="AI5">
        <v>0.1920743369</v>
      </c>
      <c r="AJ5">
        <v>1.145103</v>
      </c>
      <c r="AK5">
        <v>2.0950380000000002</v>
      </c>
      <c r="AL5">
        <v>0.17933656310000001</v>
      </c>
      <c r="AM5">
        <v>2.0129469309999998E-2</v>
      </c>
      <c r="AN5">
        <v>0.13206816269999999</v>
      </c>
      <c r="AO5">
        <v>0.23355440729999999</v>
      </c>
      <c r="AP5">
        <v>0.2295820311</v>
      </c>
      <c r="AQ5">
        <v>2.442244415E-2</v>
      </c>
      <c r="AR5">
        <v>0.16904156379999999</v>
      </c>
      <c r="AS5">
        <v>0.29200028589999999</v>
      </c>
      <c r="AT5">
        <v>-0.25229707179999999</v>
      </c>
      <c r="AU5">
        <v>0.14796424520000001</v>
      </c>
      <c r="AV5">
        <v>-0.72198481969999995</v>
      </c>
      <c r="AW5">
        <v>0.1556239438</v>
      </c>
      <c r="AX5">
        <v>3.6598020870000001</v>
      </c>
      <c r="AY5">
        <v>0.43107154710000001</v>
      </c>
      <c r="AZ5">
        <v>2.7645874940000001</v>
      </c>
      <c r="BA5">
        <v>5.0003655020000002</v>
      </c>
      <c r="BB5">
        <v>4.3130286230000002E-2</v>
      </c>
      <c r="BC5">
        <v>5.5226620129999997E-3</v>
      </c>
      <c r="BD5">
        <v>3.4460115489999998E-2</v>
      </c>
      <c r="BE5">
        <v>7.3026352690000004E-2</v>
      </c>
      <c r="BF5">
        <v>2.7894406300000001</v>
      </c>
      <c r="BG5">
        <v>0.27227776729999997</v>
      </c>
      <c r="BH5">
        <v>1.9685289340000001</v>
      </c>
      <c r="BI5">
        <v>3.4290591639999999</v>
      </c>
      <c r="BJ5">
        <v>77.859484910000006</v>
      </c>
      <c r="BK5">
        <v>16.26928483</v>
      </c>
      <c r="BL5">
        <v>30.76025967</v>
      </c>
      <c r="BM5">
        <v>99.46926139</v>
      </c>
      <c r="BN5">
        <v>0.36892926380000002</v>
      </c>
      <c r="BO5">
        <v>4.5394920300000002E-2</v>
      </c>
      <c r="BP5">
        <v>0.27168385969999997</v>
      </c>
      <c r="BQ5">
        <v>0.48760263370000001</v>
      </c>
      <c r="BR5">
        <v>235.14418520000001</v>
      </c>
      <c r="BS5">
        <v>26.338630200000001</v>
      </c>
      <c r="BT5">
        <v>136.93686769999999</v>
      </c>
      <c r="BU5">
        <v>290.1905539</v>
      </c>
      <c r="BV5">
        <v>0.67880227869999998</v>
      </c>
      <c r="BW5">
        <v>0.13828609089999999</v>
      </c>
      <c r="BX5">
        <v>0.31156676160000002</v>
      </c>
      <c r="BY5">
        <v>0.95865744100000005</v>
      </c>
      <c r="BZ5">
        <v>0.74538482130000006</v>
      </c>
      <c r="CA5">
        <v>0.1235906096</v>
      </c>
      <c r="CB5">
        <v>0.4997057198</v>
      </c>
      <c r="CC5">
        <v>1.0448132139999999</v>
      </c>
      <c r="CD5">
        <v>1.4241870999999999</v>
      </c>
      <c r="CE5">
        <v>9.2087674889999999E-2</v>
      </c>
      <c r="CF5">
        <v>0.941886</v>
      </c>
      <c r="CG5">
        <v>1.5066520000000001</v>
      </c>
      <c r="CH5">
        <v>0.51127938900000003</v>
      </c>
      <c r="CI5">
        <v>4.6263729900000002E-2</v>
      </c>
      <c r="CJ5">
        <v>0.37408980679999998</v>
      </c>
      <c r="CK5">
        <v>0.59768191999999998</v>
      </c>
      <c r="CL5">
        <v>1.4241870999999999</v>
      </c>
      <c r="CM5">
        <v>9.2087674889999999E-2</v>
      </c>
      <c r="CN5">
        <v>0.941886</v>
      </c>
      <c r="CO5">
        <v>1.5066520000000001</v>
      </c>
      <c r="CP5">
        <v>0.1772505724</v>
      </c>
      <c r="CQ5">
        <v>1.978991666E-2</v>
      </c>
      <c r="CR5">
        <v>0.13194535669999999</v>
      </c>
      <c r="CS5">
        <v>0.2307296368</v>
      </c>
      <c r="CT5">
        <v>0.22419919520000001</v>
      </c>
      <c r="CU5">
        <v>2.3478520700000002E-2</v>
      </c>
      <c r="CV5">
        <v>0.1684965162</v>
      </c>
      <c r="CW5">
        <v>0.28482401839999999</v>
      </c>
      <c r="CX5">
        <v>-0.17995646139999999</v>
      </c>
      <c r="CY5">
        <v>0.16547910439999999</v>
      </c>
      <c r="CZ5">
        <v>-0.69032471979999999</v>
      </c>
      <c r="DA5">
        <v>0.2057955672</v>
      </c>
      <c r="DB5">
        <v>3.1871386190000002</v>
      </c>
      <c r="DC5">
        <v>0.29763551360000001</v>
      </c>
      <c r="DD5">
        <v>2.5539751210000001</v>
      </c>
      <c r="DE5">
        <v>3.9771872250000002</v>
      </c>
      <c r="DF5">
        <v>4.1044190639999999E-2</v>
      </c>
      <c r="DG5">
        <v>5.2578835959999999E-3</v>
      </c>
      <c r="DH5">
        <v>3.2577049070000003E-2</v>
      </c>
      <c r="DI5">
        <v>7.1331723890000004E-2</v>
      </c>
      <c r="DJ5">
        <v>2.7229614049999999</v>
      </c>
      <c r="DK5">
        <v>0.255664277</v>
      </c>
      <c r="DL5">
        <v>1.9484941840000001</v>
      </c>
      <c r="DM5">
        <v>3.311565302</v>
      </c>
      <c r="DN5">
        <v>88.949104230000003</v>
      </c>
      <c r="DO5">
        <v>8.1860469830000007</v>
      </c>
      <c r="DP5">
        <v>58.50953363</v>
      </c>
      <c r="DQ5">
        <v>100</v>
      </c>
      <c r="DR5">
        <v>0.36884121530000002</v>
      </c>
      <c r="DS5">
        <v>4.5345421009999998E-2</v>
      </c>
      <c r="DT5">
        <v>0.27173968599999998</v>
      </c>
      <c r="DU5">
        <v>0.48768031420000002</v>
      </c>
      <c r="DV5">
        <v>247.06179839999999</v>
      </c>
      <c r="DW5">
        <v>27.414336089999999</v>
      </c>
      <c r="DX5">
        <v>140.1900789</v>
      </c>
      <c r="DY5">
        <v>306.96457429999998</v>
      </c>
      <c r="DZ5">
        <v>0.57194560480000001</v>
      </c>
      <c r="EA5">
        <v>8.0009213730000001E-2</v>
      </c>
      <c r="EB5">
        <v>0.4047848382</v>
      </c>
      <c r="EC5">
        <v>0.75265428639999998</v>
      </c>
      <c r="ED5">
        <v>0.70856967339999999</v>
      </c>
      <c r="EE5">
        <v>8.695976675E-2</v>
      </c>
      <c r="EF5">
        <v>0.47217248290000002</v>
      </c>
      <c r="EG5">
        <v>0.9822770475</v>
      </c>
      <c r="EH5">
        <v>1.280515278</v>
      </c>
      <c r="EI5">
        <v>0.14179052489999999</v>
      </c>
      <c r="EJ5">
        <v>0.96142000000000005</v>
      </c>
      <c r="EK5">
        <v>1.5447887140000001</v>
      </c>
      <c r="EL5">
        <v>0.49960186439999998</v>
      </c>
      <c r="EM5">
        <v>4.8807691E-2</v>
      </c>
      <c r="EN5">
        <v>0.36650821230000002</v>
      </c>
      <c r="EO5">
        <v>0.60323145389999999</v>
      </c>
      <c r="EP5">
        <v>1.7178142999999999</v>
      </c>
      <c r="EQ5">
        <v>0.2128274118</v>
      </c>
      <c r="ER5">
        <v>1.147896</v>
      </c>
      <c r="ES5">
        <v>2.1601110000000001</v>
      </c>
      <c r="ET5">
        <v>0.1509083393</v>
      </c>
      <c r="EU5">
        <v>1.4131821839999999E-2</v>
      </c>
      <c r="EV5">
        <v>0.105060507</v>
      </c>
      <c r="EW5">
        <v>0.17328246950000001</v>
      </c>
      <c r="EX5">
        <v>0.19570793559999999</v>
      </c>
      <c r="EY5">
        <v>1.8816390549999999E-2</v>
      </c>
      <c r="EZ5">
        <v>0.1392132998</v>
      </c>
      <c r="FA5">
        <v>0.22605689239999999</v>
      </c>
      <c r="FB5">
        <v>-0.29062689310000001</v>
      </c>
      <c r="FC5">
        <v>0.1651162964</v>
      </c>
      <c r="FD5">
        <v>-0.76849307089999996</v>
      </c>
      <c r="FE5">
        <v>0.1333635219</v>
      </c>
      <c r="FF5">
        <v>3.9636683850000001</v>
      </c>
      <c r="FG5">
        <v>0.4332753815</v>
      </c>
      <c r="FH5">
        <v>2.8841538469999999</v>
      </c>
      <c r="FI5">
        <v>5.7016832500000003</v>
      </c>
      <c r="FJ5">
        <v>0.77327148670000001</v>
      </c>
      <c r="FK5">
        <v>0.1482163198</v>
      </c>
      <c r="FL5">
        <v>0.42820445750000002</v>
      </c>
      <c r="FM5">
        <v>1.1164542799999999</v>
      </c>
      <c r="FN5">
        <v>0.94454281330000001</v>
      </c>
      <c r="FO5">
        <v>0.1377662496</v>
      </c>
      <c r="FP5">
        <v>0.61056005810000002</v>
      </c>
      <c r="FQ5">
        <v>1.406570251</v>
      </c>
      <c r="FR5">
        <v>1.624493905</v>
      </c>
      <c r="FS5">
        <v>0.21474881870000001</v>
      </c>
      <c r="FT5">
        <v>1.067482</v>
      </c>
      <c r="FU5">
        <v>2.0089260000000002</v>
      </c>
      <c r="FV5">
        <v>1.399275705</v>
      </c>
      <c r="FW5">
        <v>0.2504055946</v>
      </c>
      <c r="FX5">
        <v>0.90670399999999995</v>
      </c>
      <c r="FY5">
        <v>1.9996400000000001</v>
      </c>
      <c r="FZ5">
        <v>3.4775031739999997E-2</v>
      </c>
      <c r="GA5">
        <v>2.3624448879999999E-3</v>
      </c>
      <c r="GB5">
        <v>2.7518019710000001E-2</v>
      </c>
      <c r="GC5">
        <v>4.170090211E-2</v>
      </c>
      <c r="GD5">
        <v>2.7856760330000001</v>
      </c>
      <c r="GE5">
        <v>0.27681511949999998</v>
      </c>
      <c r="GF5">
        <v>1.973868526</v>
      </c>
      <c r="GG5">
        <v>3.4612962309999999</v>
      </c>
      <c r="GH5">
        <v>82.671704120000001</v>
      </c>
      <c r="GI5">
        <v>16.888268620000002</v>
      </c>
      <c r="GJ5">
        <v>25.635666149999999</v>
      </c>
      <c r="GK5">
        <v>99.852253140000002</v>
      </c>
      <c r="GL5">
        <v>0.30198104479999999</v>
      </c>
      <c r="GM5">
        <v>2.8084537319999998E-2</v>
      </c>
      <c r="GN5">
        <v>0.20814035759999999</v>
      </c>
      <c r="GO5">
        <v>0.35553474819999997</v>
      </c>
      <c r="GP5">
        <v>4.4445203979999999</v>
      </c>
      <c r="GQ5">
        <v>0.98007859070000003</v>
      </c>
      <c r="GR5">
        <v>2.2334115570000002</v>
      </c>
      <c r="GS5">
        <v>8.1260773210000004</v>
      </c>
      <c r="GT5">
        <v>288.90110559999999</v>
      </c>
      <c r="GU5">
        <v>19.80048875</v>
      </c>
      <c r="GV5">
        <v>239.80296569999999</v>
      </c>
      <c r="GW5">
        <v>363.3982426</v>
      </c>
      <c r="GX5">
        <v>0.53423231400000004</v>
      </c>
      <c r="GY5">
        <v>7.9477081039999994E-2</v>
      </c>
      <c r="GZ5">
        <v>0.31144781230000002</v>
      </c>
      <c r="HA5">
        <v>0.69947976710000004</v>
      </c>
      <c r="HB5">
        <v>0.61587945820000001</v>
      </c>
      <c r="HC5">
        <v>7.3256709259999997E-2</v>
      </c>
      <c r="HD5">
        <v>0.46599051450000001</v>
      </c>
      <c r="HE5">
        <v>0.83962650780000003</v>
      </c>
      <c r="HF5">
        <v>1.150111772</v>
      </c>
      <c r="HG5">
        <v>0.10243685769999999</v>
      </c>
      <c r="HH5">
        <v>0.8372541429</v>
      </c>
      <c r="HI5">
        <v>1.3470142860000001</v>
      </c>
      <c r="HJ5">
        <v>0.47699086709999999</v>
      </c>
      <c r="HK5">
        <v>4.3438836789999997E-2</v>
      </c>
      <c r="HL5">
        <v>0.35613557239999999</v>
      </c>
      <c r="HM5">
        <v>0.55394502440000004</v>
      </c>
      <c r="HN5">
        <v>1.438323432</v>
      </c>
      <c r="HO5">
        <v>0.12775527340000001</v>
      </c>
      <c r="HP5">
        <v>0.99801099999999998</v>
      </c>
      <c r="HQ5">
        <v>1.7140880000000001</v>
      </c>
      <c r="HR5">
        <v>0.14889260300000001</v>
      </c>
      <c r="HS5">
        <v>1.3577940930000001E-2</v>
      </c>
      <c r="HT5">
        <v>0.10474894060000001</v>
      </c>
      <c r="HU5">
        <v>0.1707509257</v>
      </c>
      <c r="HV5">
        <v>0.19067421530000001</v>
      </c>
      <c r="HW5">
        <v>1.7339446089999998E-2</v>
      </c>
      <c r="HX5">
        <v>0.1378002398</v>
      </c>
      <c r="HY5">
        <v>0.21831704830000001</v>
      </c>
      <c r="HZ5">
        <v>-0.2273326527</v>
      </c>
      <c r="IA5">
        <v>0.1831096317</v>
      </c>
      <c r="IB5">
        <v>-0.69510262639999998</v>
      </c>
      <c r="IC5">
        <v>0.1996677878</v>
      </c>
      <c r="ID5">
        <v>3.5202407149999999</v>
      </c>
      <c r="IE5">
        <v>0.30740709370000002</v>
      </c>
      <c r="IF5">
        <v>2.8516424709999999</v>
      </c>
      <c r="IG5">
        <v>4.5285769370000004</v>
      </c>
      <c r="IH5">
        <v>0.6895701501</v>
      </c>
      <c r="II5">
        <v>0.1197357251</v>
      </c>
      <c r="IJ5">
        <v>0.37395229479999997</v>
      </c>
      <c r="IK5">
        <v>0.95035899479999997</v>
      </c>
      <c r="IL5">
        <v>0.74875328149999998</v>
      </c>
      <c r="IM5">
        <v>0.1061661394</v>
      </c>
      <c r="IN5">
        <v>0.51659679319999996</v>
      </c>
      <c r="IO5">
        <v>1.041914365</v>
      </c>
      <c r="IP5">
        <v>1.3574289470000001</v>
      </c>
      <c r="IQ5">
        <v>0.1144977178</v>
      </c>
      <c r="IR5">
        <v>0.93757400000000002</v>
      </c>
      <c r="IS5">
        <v>1.606584</v>
      </c>
      <c r="IT5">
        <v>1.237964737</v>
      </c>
      <c r="IU5">
        <v>0.14743200040000001</v>
      </c>
      <c r="IV5">
        <v>0.85643400000000003</v>
      </c>
      <c r="IW5">
        <v>1.5073570000000001</v>
      </c>
      <c r="IX5">
        <v>3.3579226109999999E-2</v>
      </c>
      <c r="IY5">
        <v>2.1635336949999999E-3</v>
      </c>
      <c r="IZ5">
        <v>2.698368923E-2</v>
      </c>
      <c r="JA5">
        <v>4.1072888750000001E-2</v>
      </c>
      <c r="JB5">
        <v>2.7236924629999999</v>
      </c>
      <c r="JC5">
        <v>0.2629777539</v>
      </c>
      <c r="JD5">
        <v>1.953240665</v>
      </c>
      <c r="JE5">
        <v>3.3605498900000002</v>
      </c>
      <c r="JF5">
        <v>91.173287819999999</v>
      </c>
      <c r="JG5">
        <v>8.205005474</v>
      </c>
      <c r="JH5">
        <v>60.688795280000001</v>
      </c>
      <c r="JI5">
        <v>100</v>
      </c>
      <c r="JJ5">
        <v>0.30189424450000002</v>
      </c>
      <c r="JK5">
        <v>2.8135615709999999E-2</v>
      </c>
      <c r="JL5">
        <v>0.20826686189999999</v>
      </c>
      <c r="JM5">
        <v>0.35459777739999998</v>
      </c>
      <c r="JN5">
        <v>5.8046362870000001</v>
      </c>
      <c r="JO5">
        <v>1.189925694</v>
      </c>
      <c r="JP5">
        <v>2.7086924400000001</v>
      </c>
      <c r="JQ5">
        <v>9.8190192679999999</v>
      </c>
      <c r="JR5">
        <v>299.04954199999997</v>
      </c>
      <c r="JS5">
        <v>19.43854975</v>
      </c>
      <c r="JT5">
        <v>243.469605</v>
      </c>
      <c r="JU5">
        <v>370.59424739999997</v>
      </c>
      <c r="JV5">
        <v>0.20347783050000001</v>
      </c>
      <c r="JW5">
        <v>6.6598524209999996E-2</v>
      </c>
      <c r="JX5">
        <v>8.2603695269999999E-2</v>
      </c>
      <c r="JY5">
        <v>0.36733834030000001</v>
      </c>
      <c r="JZ5">
        <v>0.21249828530000001</v>
      </c>
      <c r="KA5">
        <v>5.8212593710000003E-2</v>
      </c>
      <c r="KB5">
        <v>9.3115155020000007E-2</v>
      </c>
      <c r="KC5">
        <v>0.36902055420000002</v>
      </c>
      <c r="KD5">
        <v>0.41597611579999999</v>
      </c>
      <c r="KE5">
        <v>0.10287893569999999</v>
      </c>
      <c r="KF5">
        <v>0.22447400000000001</v>
      </c>
      <c r="KG5">
        <v>0.66769500000000004</v>
      </c>
      <c r="KH5">
        <v>0.26983968019999999</v>
      </c>
      <c r="KI5">
        <v>8.5694484779999996E-2</v>
      </c>
      <c r="KJ5">
        <v>7.8757333329999998E-2</v>
      </c>
      <c r="KK5">
        <v>0.51256999999999997</v>
      </c>
      <c r="KL5">
        <v>0.41597611579999999</v>
      </c>
      <c r="KM5">
        <v>0.10287893569999999</v>
      </c>
      <c r="KN5">
        <v>0.22447400000000001</v>
      </c>
      <c r="KO5">
        <v>0.66769500000000004</v>
      </c>
      <c r="KP5">
        <v>8.4103791040000001E-2</v>
      </c>
      <c r="KQ5">
        <v>2.241970594E-2</v>
      </c>
      <c r="KR5">
        <v>4.6150478690000003E-2</v>
      </c>
      <c r="KS5">
        <v>0.1419193779</v>
      </c>
      <c r="KT5">
        <v>0.10363345960000001</v>
      </c>
      <c r="KU5">
        <v>2.5797271409999999E-2</v>
      </c>
      <c r="KV5">
        <v>5.9018233349999998E-2</v>
      </c>
      <c r="KW5">
        <v>0.16650150050000001</v>
      </c>
      <c r="KX5">
        <v>-0.1386286071</v>
      </c>
      <c r="KY5">
        <v>0.5386124739</v>
      </c>
      <c r="KZ5">
        <v>-1.587279307</v>
      </c>
      <c r="LA5">
        <v>1.0618753940000001</v>
      </c>
      <c r="LB5">
        <v>2.7185161930000001</v>
      </c>
      <c r="LC5">
        <v>0.67556125789999999</v>
      </c>
      <c r="LD5">
        <v>1.7185461630000001</v>
      </c>
      <c r="LE5">
        <v>5.5174753250000004</v>
      </c>
      <c r="LF5">
        <v>1.7940006399999999</v>
      </c>
      <c r="LG5">
        <v>0.58084032070000002</v>
      </c>
      <c r="LH5">
        <v>0.52853999819999997</v>
      </c>
      <c r="LI5">
        <v>3.5824799879999998</v>
      </c>
      <c r="LJ5">
        <v>1.8909281279999999E-2</v>
      </c>
      <c r="LK5">
        <v>5.5483164269999998E-3</v>
      </c>
      <c r="LL5">
        <v>1.0769303169999999E-2</v>
      </c>
      <c r="LM5">
        <v>3.568656848E-2</v>
      </c>
      <c r="LN5">
        <v>100</v>
      </c>
      <c r="LO5">
        <v>0</v>
      </c>
      <c r="LP5">
        <v>100</v>
      </c>
      <c r="LQ5">
        <v>100</v>
      </c>
      <c r="LR5">
        <v>0.18000337529999999</v>
      </c>
      <c r="LS5">
        <v>5.5283928910000002E-2</v>
      </c>
      <c r="LT5">
        <v>7.9196116639999994E-2</v>
      </c>
      <c r="LU5">
        <v>0.33250039860000002</v>
      </c>
      <c r="LV5">
        <v>16.764633839999998</v>
      </c>
      <c r="LW5">
        <v>5.2610091409999997</v>
      </c>
      <c r="LX5">
        <v>5.263157895</v>
      </c>
      <c r="LY5">
        <v>29.015994389999999</v>
      </c>
      <c r="LZ5">
        <v>6.0825297450000004</v>
      </c>
      <c r="MA5">
        <v>1.8382707549999999</v>
      </c>
      <c r="MB5">
        <v>2.7913624179999998</v>
      </c>
      <c r="MC5">
        <v>18.920043960000001</v>
      </c>
      <c r="MD5">
        <v>0.2004401479</v>
      </c>
      <c r="ME5">
        <v>6.5856475799999994E-2</v>
      </c>
      <c r="MF5">
        <v>8.1212107699999994E-2</v>
      </c>
      <c r="MG5">
        <v>0.3666908673</v>
      </c>
      <c r="MH5">
        <v>0.20834889949999999</v>
      </c>
      <c r="MI5">
        <v>5.6797293210000002E-2</v>
      </c>
      <c r="MJ5">
        <v>9.2232225560000006E-2</v>
      </c>
      <c r="MK5">
        <v>0.34784199090000001</v>
      </c>
      <c r="ML5">
        <v>0.40878904739999999</v>
      </c>
      <c r="MM5">
        <v>0.1009935532</v>
      </c>
      <c r="MN5">
        <v>0.22398100000000001</v>
      </c>
      <c r="MO5">
        <v>0.64328399999999997</v>
      </c>
      <c r="MP5">
        <v>0.2646037128</v>
      </c>
      <c r="MQ5">
        <v>8.2572864369999999E-2</v>
      </c>
      <c r="MR5">
        <v>7.8520666670000003E-2</v>
      </c>
      <c r="MS5">
        <v>0.48630099999999998</v>
      </c>
      <c r="MT5">
        <v>0.40878904739999999</v>
      </c>
      <c r="MU5">
        <v>0.1009935532</v>
      </c>
      <c r="MV5">
        <v>0.22398100000000001</v>
      </c>
      <c r="MW5">
        <v>0.64328399999999997</v>
      </c>
      <c r="MX5">
        <v>8.303716169E-2</v>
      </c>
      <c r="MY5">
        <v>2.2216750729999998E-2</v>
      </c>
      <c r="MZ5">
        <v>4.6121013879999999E-2</v>
      </c>
      <c r="NA5">
        <v>0.1402534241</v>
      </c>
      <c r="NB5">
        <v>0.10220547939999999</v>
      </c>
      <c r="NC5">
        <v>2.554644143E-2</v>
      </c>
      <c r="ND5">
        <v>5.8924664629999998E-2</v>
      </c>
      <c r="NE5">
        <v>0.16378064689999999</v>
      </c>
      <c r="NF5">
        <v>-0.13387034510000001</v>
      </c>
      <c r="NG5">
        <v>0.53610182790000005</v>
      </c>
      <c r="NH5">
        <v>-1.5238909270000001</v>
      </c>
      <c r="NI5">
        <v>1.072229643</v>
      </c>
      <c r="NJ5">
        <v>2.7016629139999999</v>
      </c>
      <c r="NK5">
        <v>0.66951773589999997</v>
      </c>
      <c r="NL5">
        <v>1.715818667</v>
      </c>
      <c r="NM5">
        <v>5.5302971980000004</v>
      </c>
      <c r="NN5">
        <v>1.791007424</v>
      </c>
      <c r="NO5">
        <v>0.57936631999999999</v>
      </c>
      <c r="NP5">
        <v>0.50507999830000005</v>
      </c>
      <c r="NQ5">
        <v>3.5990399879999999</v>
      </c>
      <c r="NR5">
        <v>1.8616925069999998E-2</v>
      </c>
      <c r="NS5">
        <v>5.4988877119999998E-3</v>
      </c>
      <c r="NT5">
        <v>1.067843477E-2</v>
      </c>
      <c r="NU5">
        <v>3.5139979080000001E-2</v>
      </c>
      <c r="NV5">
        <v>100</v>
      </c>
      <c r="NW5">
        <v>0</v>
      </c>
      <c r="NX5">
        <v>100</v>
      </c>
      <c r="NY5">
        <v>100</v>
      </c>
      <c r="NZ5">
        <v>0.17783786800000001</v>
      </c>
      <c r="OA5">
        <v>5.4837731760000001E-2</v>
      </c>
      <c r="OB5">
        <v>7.9312777279999996E-2</v>
      </c>
      <c r="OC5">
        <v>0.33038232899999997</v>
      </c>
      <c r="OD5">
        <v>16.90256561</v>
      </c>
      <c r="OE5">
        <v>5.2674185270000002</v>
      </c>
      <c r="OF5">
        <v>5.329500221</v>
      </c>
      <c r="OG5">
        <v>29.72136223</v>
      </c>
      <c r="OH5">
        <v>6.0942509710000001</v>
      </c>
      <c r="OI5">
        <v>1.869131308</v>
      </c>
      <c r="OJ5">
        <v>2.7785187260000002</v>
      </c>
      <c r="OK5">
        <v>19.798843819999998</v>
      </c>
      <c r="OL5">
        <v>0.20173094599999999</v>
      </c>
      <c r="OM5">
        <v>-0.32811210120000001</v>
      </c>
      <c r="ON5">
        <v>4.3109941420000002</v>
      </c>
      <c r="OO5">
        <v>1.2244159999999999</v>
      </c>
      <c r="OP5">
        <v>1.4538279999999999</v>
      </c>
      <c r="OQ5">
        <v>2.6782439999999998</v>
      </c>
      <c r="OR5">
        <v>0.1539425817</v>
      </c>
      <c r="OS5" s="2">
        <v>1.015199405E-5</v>
      </c>
      <c r="OT5">
        <v>2.4944150730000001E-4</v>
      </c>
      <c r="OU5" s="2">
        <v>1.015199405E-5</v>
      </c>
      <c r="OV5">
        <v>1.6783058669999999E-4</v>
      </c>
      <c r="OW5">
        <v>2.2209141329999999E-4</v>
      </c>
      <c r="OX5" s="2">
        <v>2.7350094010000001E-5</v>
      </c>
      <c r="OY5">
        <v>0.45858519739999998</v>
      </c>
      <c r="OZ5">
        <v>0.20361886279999999</v>
      </c>
      <c r="PA5">
        <v>0.26701121410000001</v>
      </c>
      <c r="PB5">
        <v>10.21354657</v>
      </c>
      <c r="PC5">
        <v>87.888386190000006</v>
      </c>
      <c r="PD5">
        <v>0.19639564030000001</v>
      </c>
      <c r="PE5">
        <v>-0.2288992054</v>
      </c>
      <c r="PF5">
        <v>3.619945586</v>
      </c>
      <c r="PG5">
        <v>1.0710139999999999</v>
      </c>
      <c r="PH5">
        <v>1.1420699999999999</v>
      </c>
      <c r="PI5">
        <v>2.2130839999999998</v>
      </c>
      <c r="PJ5">
        <v>0.15215465410000001</v>
      </c>
      <c r="PK5" s="2">
        <v>9.5476152570000005E-6</v>
      </c>
      <c r="PL5">
        <v>2.4785922059999998E-4</v>
      </c>
      <c r="PM5" s="2">
        <v>9.5476152570000005E-6</v>
      </c>
      <c r="PN5">
        <v>1.680197689E-4</v>
      </c>
      <c r="PO5">
        <v>2.2177523109999999E-4</v>
      </c>
      <c r="PP5" s="2">
        <v>2.6083989500000001E-5</v>
      </c>
      <c r="PQ5">
        <v>0.4594865548</v>
      </c>
      <c r="PR5">
        <v>0.19150016980000001</v>
      </c>
      <c r="PS5">
        <v>0.2460963709</v>
      </c>
      <c r="PT5">
        <v>10.13702857</v>
      </c>
      <c r="PU5">
        <v>87.911524709999995</v>
      </c>
      <c r="PV5">
        <v>0.69483466739999999</v>
      </c>
      <c r="PW5">
        <v>0.27870545829999999</v>
      </c>
      <c r="PX5">
        <v>0.2997384018</v>
      </c>
      <c r="PY5">
        <v>11.34917452</v>
      </c>
      <c r="PZ5">
        <v>89.891670340000005</v>
      </c>
      <c r="QA5">
        <v>0.69478969989999995</v>
      </c>
      <c r="QB5">
        <v>0.26607362909999999</v>
      </c>
      <c r="QC5">
        <v>0.27372608230000001</v>
      </c>
      <c r="QD5">
        <v>11.349810039999999</v>
      </c>
      <c r="QE5">
        <v>89.890971399999998</v>
      </c>
      <c r="QF5" s="2">
        <v>1.3433826199999999E-5</v>
      </c>
      <c r="QG5">
        <v>2.4866301429999997E-4</v>
      </c>
      <c r="QH5">
        <v>3.4771698570000001E-4</v>
      </c>
      <c r="QI5" s="2">
        <v>3.2827677420000001E-5</v>
      </c>
      <c r="QJ5" s="2">
        <v>1.2728545139999999E-5</v>
      </c>
      <c r="QK5">
        <v>2.4863608360000002E-4</v>
      </c>
      <c r="QL5">
        <v>3.4761391640000003E-4</v>
      </c>
      <c r="QM5" s="2">
        <v>3.1511584239999997E-5</v>
      </c>
      <c r="QN5" t="s">
        <v>244</v>
      </c>
      <c r="QO5">
        <v>89.978399179999997</v>
      </c>
      <c r="QP5">
        <v>81.245463700000002</v>
      </c>
      <c r="QQ5">
        <v>105.73662330000001</v>
      </c>
      <c r="QR5" t="s">
        <v>244</v>
      </c>
      <c r="QS5">
        <v>89.975549400000006</v>
      </c>
      <c r="QT5">
        <v>101.9856537</v>
      </c>
      <c r="QU5">
        <v>81.244334749999993</v>
      </c>
    </row>
    <row r="6" spans="1:463" x14ac:dyDescent="0.2">
      <c r="A6" t="s">
        <v>278</v>
      </c>
      <c r="B6" s="2">
        <v>-1.5240139649999999E-11</v>
      </c>
      <c r="C6" s="2">
        <v>1.0772657709999999E-11</v>
      </c>
      <c r="D6">
        <v>5.2732835639999996E-3</v>
      </c>
      <c r="E6">
        <v>6.4319205160000004E-2</v>
      </c>
      <c r="F6">
        <v>0.54481455700000003</v>
      </c>
      <c r="G6">
        <v>1.619876001E-2</v>
      </c>
      <c r="H6">
        <v>0.19757924190000001</v>
      </c>
      <c r="I6">
        <v>1.673591066</v>
      </c>
      <c r="J6">
        <v>32.54835156</v>
      </c>
      <c r="K6">
        <v>32.553624839999998</v>
      </c>
      <c r="L6">
        <v>32.553624839999998</v>
      </c>
      <c r="M6">
        <v>32.553624839999998</v>
      </c>
      <c r="N6">
        <v>32.489305629999997</v>
      </c>
      <c r="O6">
        <v>32.553624839999998</v>
      </c>
      <c r="P6">
        <v>32.008810279999999</v>
      </c>
      <c r="Q6">
        <v>32.553624839999998</v>
      </c>
      <c r="R6">
        <v>0.9672295796</v>
      </c>
      <c r="S6">
        <v>0.16128727349999999</v>
      </c>
      <c r="T6">
        <v>0.56097416609999995</v>
      </c>
      <c r="U6">
        <v>1.311625654</v>
      </c>
      <c r="V6">
        <v>1.258182194</v>
      </c>
      <c r="W6">
        <v>0.16675397419999999</v>
      </c>
      <c r="X6">
        <v>0.88438343279999998</v>
      </c>
      <c r="Y6">
        <v>1.7288814269999999</v>
      </c>
      <c r="Z6">
        <v>2.2254117739999999</v>
      </c>
      <c r="AA6">
        <v>0.20788046230000001</v>
      </c>
      <c r="AB6">
        <v>1.6046670000000001</v>
      </c>
      <c r="AC6">
        <v>2.5110100000000002</v>
      </c>
      <c r="AD6">
        <v>0.65541317040000002</v>
      </c>
      <c r="AE6">
        <v>5.843266347E-2</v>
      </c>
      <c r="AF6">
        <v>0.49434381820000001</v>
      </c>
      <c r="AG6">
        <v>0.75742217420000002</v>
      </c>
      <c r="AH6">
        <v>2.2254117739999999</v>
      </c>
      <c r="AI6">
        <v>0.20788046230000001</v>
      </c>
      <c r="AJ6">
        <v>1.6046670000000001</v>
      </c>
      <c r="AK6">
        <v>2.5110100000000002</v>
      </c>
      <c r="AL6">
        <v>0.2116383567</v>
      </c>
      <c r="AM6">
        <v>2.2540240069999998E-2</v>
      </c>
      <c r="AN6">
        <v>0.15320138459999999</v>
      </c>
      <c r="AO6">
        <v>0.28419410979999998</v>
      </c>
      <c r="AP6">
        <v>0.27391344379999999</v>
      </c>
      <c r="AQ6">
        <v>2.759765061E-2</v>
      </c>
      <c r="AR6">
        <v>0.19968748720000001</v>
      </c>
      <c r="AS6">
        <v>0.3561404903</v>
      </c>
      <c r="AT6">
        <v>-0.25446177869999997</v>
      </c>
      <c r="AU6">
        <v>0.1791937274</v>
      </c>
      <c r="AV6">
        <v>-0.76768771680000003</v>
      </c>
      <c r="AW6">
        <v>0.17958545779999999</v>
      </c>
      <c r="AX6">
        <v>3.9577627519999998</v>
      </c>
      <c r="AY6">
        <v>0.4865096773</v>
      </c>
      <c r="AZ6">
        <v>2.857165894</v>
      </c>
      <c r="BA6">
        <v>5.1012778799999996</v>
      </c>
      <c r="BB6">
        <v>3.9788545979999999E-2</v>
      </c>
      <c r="BC6">
        <v>5.585667402E-3</v>
      </c>
      <c r="BD6">
        <v>3.1205056070000001E-2</v>
      </c>
      <c r="BE6">
        <v>7.3764285459999995E-2</v>
      </c>
      <c r="BF6">
        <v>3.5613343120000001</v>
      </c>
      <c r="BG6">
        <v>0.36395857209999999</v>
      </c>
      <c r="BH6">
        <v>2.4000794640000001</v>
      </c>
      <c r="BI6">
        <v>4.335668611</v>
      </c>
      <c r="BJ6">
        <v>54.49797968</v>
      </c>
      <c r="BK6">
        <v>22.501429259999998</v>
      </c>
      <c r="BL6">
        <v>10.968597969999999</v>
      </c>
      <c r="BM6">
        <v>96.572313140000006</v>
      </c>
      <c r="BN6">
        <v>0.42987236909999998</v>
      </c>
      <c r="BO6">
        <v>5.1175422560000003E-2</v>
      </c>
      <c r="BP6">
        <v>0.30785500129999999</v>
      </c>
      <c r="BQ6">
        <v>0.58990902940000001</v>
      </c>
      <c r="BR6">
        <v>255.5230928</v>
      </c>
      <c r="BS6">
        <v>30.700157359999999</v>
      </c>
      <c r="BT6">
        <v>135.5669609</v>
      </c>
      <c r="BU6">
        <v>320.4608887</v>
      </c>
      <c r="BV6">
        <v>0.79292543660000003</v>
      </c>
      <c r="BW6">
        <v>0.15191650330000001</v>
      </c>
      <c r="BX6">
        <v>0.42751723489999999</v>
      </c>
      <c r="BY6">
        <v>1.0861316480000001</v>
      </c>
      <c r="BZ6">
        <v>0.89912305810000004</v>
      </c>
      <c r="CA6">
        <v>0.13602536870000001</v>
      </c>
      <c r="CB6">
        <v>0.63134285140000002</v>
      </c>
      <c r="CC6">
        <v>1.288886354</v>
      </c>
      <c r="CD6">
        <v>1.6920484950000001</v>
      </c>
      <c r="CE6">
        <v>7.2521668550000001E-2</v>
      </c>
      <c r="CF6">
        <v>1.3616269999999999</v>
      </c>
      <c r="CG6">
        <v>1.7645310000000001</v>
      </c>
      <c r="CH6">
        <v>0.61674343480000005</v>
      </c>
      <c r="CI6">
        <v>4.986996489E-2</v>
      </c>
      <c r="CJ6">
        <v>0.48251775949999998</v>
      </c>
      <c r="CK6">
        <v>0.7086490299</v>
      </c>
      <c r="CL6">
        <v>1.6920484950000001</v>
      </c>
      <c r="CM6">
        <v>7.2521668550000001E-2</v>
      </c>
      <c r="CN6">
        <v>1.3616269999999999</v>
      </c>
      <c r="CO6">
        <v>1.7645310000000001</v>
      </c>
      <c r="CP6">
        <v>0.20884502560000001</v>
      </c>
      <c r="CQ6">
        <v>2.1910401949999998E-2</v>
      </c>
      <c r="CR6">
        <v>0.15245106899999999</v>
      </c>
      <c r="CS6">
        <v>0.2802451051</v>
      </c>
      <c r="CT6">
        <v>0.26622623509999999</v>
      </c>
      <c r="CU6">
        <v>2.5697034300000001E-2</v>
      </c>
      <c r="CV6">
        <v>0.19823941440000001</v>
      </c>
      <c r="CW6">
        <v>0.34611995629999998</v>
      </c>
      <c r="CX6">
        <v>-0.15995278509999999</v>
      </c>
      <c r="CY6">
        <v>0.18758498800000001</v>
      </c>
      <c r="CZ6">
        <v>-0.74961798550000003</v>
      </c>
      <c r="DA6">
        <v>0.2318380246</v>
      </c>
      <c r="DB6">
        <v>3.31909258</v>
      </c>
      <c r="DC6">
        <v>0.31256090879999998</v>
      </c>
      <c r="DD6">
        <v>2.6577223609999998</v>
      </c>
      <c r="DE6">
        <v>4.2438769489999997</v>
      </c>
      <c r="DF6">
        <v>3.7650795700000003E-2</v>
      </c>
      <c r="DG6">
        <v>5.1606408340000003E-3</v>
      </c>
      <c r="DH6">
        <v>2.8929687400000001E-2</v>
      </c>
      <c r="DI6">
        <v>6.6610967509999994E-2</v>
      </c>
      <c r="DJ6">
        <v>3.4637049530000001</v>
      </c>
      <c r="DK6">
        <v>0.33519496980000002</v>
      </c>
      <c r="DL6">
        <v>2.3428107360000001</v>
      </c>
      <c r="DM6">
        <v>4.1992206650000004</v>
      </c>
      <c r="DN6">
        <v>75.678356769999994</v>
      </c>
      <c r="DO6">
        <v>14.70619224</v>
      </c>
      <c r="DP6">
        <v>37.02138163</v>
      </c>
      <c r="DQ6">
        <v>99.226006190000007</v>
      </c>
      <c r="DR6">
        <v>0.42976941600000002</v>
      </c>
      <c r="DS6">
        <v>5.1116256069999998E-2</v>
      </c>
      <c r="DT6">
        <v>0.30774710449999998</v>
      </c>
      <c r="DU6">
        <v>0.5899776404</v>
      </c>
      <c r="DV6">
        <v>269.95745269999998</v>
      </c>
      <c r="DW6">
        <v>32.542106420000003</v>
      </c>
      <c r="DX6">
        <v>150.12542790000001</v>
      </c>
      <c r="DY6">
        <v>345.6656777</v>
      </c>
      <c r="DZ6">
        <v>0.70630356429999996</v>
      </c>
      <c r="EA6">
        <v>9.8239549699999998E-2</v>
      </c>
      <c r="EB6">
        <v>0.44269551060000001</v>
      </c>
      <c r="EC6">
        <v>0.94438056500000001</v>
      </c>
      <c r="ED6">
        <v>0.89571865449999999</v>
      </c>
      <c r="EE6">
        <v>0.1061635247</v>
      </c>
      <c r="EF6">
        <v>0.62518161900000002</v>
      </c>
      <c r="EG6">
        <v>1.2092185019999999</v>
      </c>
      <c r="EH6">
        <v>1.602022219</v>
      </c>
      <c r="EI6">
        <v>0.17230069570000001</v>
      </c>
      <c r="EJ6">
        <v>1.1530742860000001</v>
      </c>
      <c r="EK6">
        <v>1.963076</v>
      </c>
      <c r="EL6">
        <v>0.6140241018</v>
      </c>
      <c r="EM6">
        <v>5.7814584170000002E-2</v>
      </c>
      <c r="EN6">
        <v>0.45574035860000001</v>
      </c>
      <c r="EO6">
        <v>0.75818736600000003</v>
      </c>
      <c r="EP6">
        <v>2.1461411579999998</v>
      </c>
      <c r="EQ6">
        <v>0.2360934489</v>
      </c>
      <c r="ER6">
        <v>1.473509</v>
      </c>
      <c r="ES6">
        <v>2.5813999999999999</v>
      </c>
      <c r="ET6">
        <v>0.18312845050000001</v>
      </c>
      <c r="EU6">
        <v>1.645014274E-2</v>
      </c>
      <c r="EV6">
        <v>0.1269807151</v>
      </c>
      <c r="EW6">
        <v>0.22283829690000001</v>
      </c>
      <c r="EX6">
        <v>0.2397491943</v>
      </c>
      <c r="EY6">
        <v>2.2642784490000002E-2</v>
      </c>
      <c r="EZ6">
        <v>0.1724165668</v>
      </c>
      <c r="FA6">
        <v>0.29527543410000001</v>
      </c>
      <c r="FB6">
        <v>-0.2865088657</v>
      </c>
      <c r="FC6">
        <v>0.17509549830000001</v>
      </c>
      <c r="FD6">
        <v>-0.77725232190000004</v>
      </c>
      <c r="FE6">
        <v>0.33167474850000001</v>
      </c>
      <c r="FF6">
        <v>4.1869623640000002</v>
      </c>
      <c r="FG6">
        <v>0.4656169094</v>
      </c>
      <c r="FH6">
        <v>3.169728058</v>
      </c>
      <c r="FI6">
        <v>6.2470418959999998</v>
      </c>
      <c r="FJ6">
        <v>0.94377349880000005</v>
      </c>
      <c r="FK6">
        <v>0.16457538150000001</v>
      </c>
      <c r="FL6">
        <v>0.55738708199999998</v>
      </c>
      <c r="FM6">
        <v>1.2963481509999999</v>
      </c>
      <c r="FN6">
        <v>1.2023676590000001</v>
      </c>
      <c r="FO6">
        <v>0.16196722299999999</v>
      </c>
      <c r="FP6">
        <v>0.71547625140000004</v>
      </c>
      <c r="FQ6">
        <v>1.5984434380000001</v>
      </c>
      <c r="FR6">
        <v>2.041615432</v>
      </c>
      <c r="FS6">
        <v>0.23168848489999999</v>
      </c>
      <c r="FT6">
        <v>1.3613249999999999</v>
      </c>
      <c r="FU6">
        <v>2.4352719999999999</v>
      </c>
      <c r="FV6">
        <v>1.759335632</v>
      </c>
      <c r="FW6">
        <v>0.28443523469999998</v>
      </c>
      <c r="FX6">
        <v>1.1154729999999999</v>
      </c>
      <c r="FY6">
        <v>2.3770669999999998</v>
      </c>
      <c r="FZ6">
        <v>3.292686442E-2</v>
      </c>
      <c r="GA6">
        <v>2.3442579699999998E-3</v>
      </c>
      <c r="GB6">
        <v>2.7855299900000002E-2</v>
      </c>
      <c r="GC6">
        <v>3.8941267469999999E-2</v>
      </c>
      <c r="GD6">
        <v>3.5673442259999999</v>
      </c>
      <c r="GE6">
        <v>0.373118379</v>
      </c>
      <c r="GF6">
        <v>2.4240126059999998</v>
      </c>
      <c r="GG6">
        <v>4.3488717360000004</v>
      </c>
      <c r="GH6">
        <v>58.813528470000001</v>
      </c>
      <c r="GI6">
        <v>24.497124920000001</v>
      </c>
      <c r="GJ6">
        <v>10.98251662</v>
      </c>
      <c r="GK6">
        <v>98.719527209999995</v>
      </c>
      <c r="GL6">
        <v>0.36038752699999999</v>
      </c>
      <c r="GM6">
        <v>3.0499997920000001E-2</v>
      </c>
      <c r="GN6">
        <v>0.24388547369999999</v>
      </c>
      <c r="GO6">
        <v>0.42830367520000001</v>
      </c>
      <c r="GP6">
        <v>4.3617597850000003</v>
      </c>
      <c r="GQ6">
        <v>0.84736795949999999</v>
      </c>
      <c r="GR6">
        <v>2.240827382</v>
      </c>
      <c r="GS6">
        <v>6.9441024379999998</v>
      </c>
      <c r="GT6">
        <v>305.25354040000002</v>
      </c>
      <c r="GU6">
        <v>21.865959119999999</v>
      </c>
      <c r="GV6">
        <v>256.79698300000001</v>
      </c>
      <c r="GW6">
        <v>358.99810930000001</v>
      </c>
      <c r="GX6">
        <v>0.6491829053</v>
      </c>
      <c r="GY6">
        <v>8.9021945769999999E-2</v>
      </c>
      <c r="GZ6">
        <v>0.40883924290000001</v>
      </c>
      <c r="HA6">
        <v>0.81794211009999995</v>
      </c>
      <c r="HB6">
        <v>0.75853484510000002</v>
      </c>
      <c r="HC6">
        <v>7.556477516E-2</v>
      </c>
      <c r="HD6">
        <v>0.5967083218</v>
      </c>
      <c r="HE6">
        <v>0.96362979650000002</v>
      </c>
      <c r="HF6">
        <v>1.40771775</v>
      </c>
      <c r="HG6">
        <v>0.1049527066</v>
      </c>
      <c r="HH6">
        <v>1.068690286</v>
      </c>
      <c r="HI6">
        <v>1.6336612859999999</v>
      </c>
      <c r="HJ6">
        <v>0.58246262660000003</v>
      </c>
      <c r="HK6">
        <v>4.8962215369999999E-2</v>
      </c>
      <c r="HL6">
        <v>0.42136271870000003</v>
      </c>
      <c r="HM6">
        <v>0.7072104172</v>
      </c>
      <c r="HN6">
        <v>1.7359030470000001</v>
      </c>
      <c r="HO6">
        <v>0.1200492406</v>
      </c>
      <c r="HP6">
        <v>1.340185</v>
      </c>
      <c r="HQ6">
        <v>2.0184440000000001</v>
      </c>
      <c r="HR6">
        <v>0.18030976060000001</v>
      </c>
      <c r="HS6">
        <v>1.535303232E-2</v>
      </c>
      <c r="HT6">
        <v>0.12606248319999999</v>
      </c>
      <c r="HU6">
        <v>0.2173979204</v>
      </c>
      <c r="HV6">
        <v>0.23236172899999999</v>
      </c>
      <c r="HW6">
        <v>1.982743776E-2</v>
      </c>
      <c r="HX6">
        <v>0.16802690079999999</v>
      </c>
      <c r="HY6">
        <v>0.277193309</v>
      </c>
      <c r="HZ6">
        <v>-0.2052461257</v>
      </c>
      <c r="IA6">
        <v>0.17012833599999999</v>
      </c>
      <c r="IB6">
        <v>-0.7553219269</v>
      </c>
      <c r="IC6">
        <v>0.15963257419999999</v>
      </c>
      <c r="ID6">
        <v>3.6077235509999999</v>
      </c>
      <c r="IE6">
        <v>0.29737311690000001</v>
      </c>
      <c r="IF6">
        <v>2.8833570019999999</v>
      </c>
      <c r="IG6">
        <v>4.5676093499999997</v>
      </c>
      <c r="IH6">
        <v>0.82491950300000005</v>
      </c>
      <c r="II6">
        <v>0.1263693847</v>
      </c>
      <c r="IJ6">
        <v>0.50663381429999998</v>
      </c>
      <c r="IK6">
        <v>1.1329493930000001</v>
      </c>
      <c r="IL6">
        <v>0.91098354439999996</v>
      </c>
      <c r="IM6">
        <v>0.1168261593</v>
      </c>
      <c r="IN6">
        <v>0.64187665940000005</v>
      </c>
      <c r="IO6">
        <v>1.2787668940000001</v>
      </c>
      <c r="IP6">
        <v>1.6427280369999999</v>
      </c>
      <c r="IQ6">
        <v>0.1004128384</v>
      </c>
      <c r="IR6">
        <v>1.3330139999999999</v>
      </c>
      <c r="IS6">
        <v>1.8430249999999999</v>
      </c>
      <c r="IT6">
        <v>1.515494205</v>
      </c>
      <c r="IU6">
        <v>0.1404493322</v>
      </c>
      <c r="IV6">
        <v>1.115472</v>
      </c>
      <c r="IW6">
        <v>1.771237</v>
      </c>
      <c r="IX6">
        <v>3.1649745899999998E-2</v>
      </c>
      <c r="IY6">
        <v>2.3226810649999998E-3</v>
      </c>
      <c r="IZ6">
        <v>2.603859146E-2</v>
      </c>
      <c r="JA6">
        <v>3.7607346809999997E-2</v>
      </c>
      <c r="JB6">
        <v>3.4735336650000002</v>
      </c>
      <c r="JC6">
        <v>0.34688189289999999</v>
      </c>
      <c r="JD6">
        <v>2.3669515739999998</v>
      </c>
      <c r="JE6">
        <v>4.2320875180000002</v>
      </c>
      <c r="JF6">
        <v>75.985370509999996</v>
      </c>
      <c r="JG6">
        <v>15.64389454</v>
      </c>
      <c r="JH6">
        <v>27.01441148</v>
      </c>
      <c r="JI6">
        <v>98.818025120000001</v>
      </c>
      <c r="JJ6">
        <v>0.36056731009999998</v>
      </c>
      <c r="JK6">
        <v>3.0493115269999999E-2</v>
      </c>
      <c r="JL6">
        <v>0.2439219</v>
      </c>
      <c r="JM6">
        <v>0.4269520691</v>
      </c>
      <c r="JN6">
        <v>5.9801707400000002</v>
      </c>
      <c r="JO6">
        <v>1.0210577030000001</v>
      </c>
      <c r="JP6">
        <v>3.1026840679999999</v>
      </c>
      <c r="JQ6">
        <v>9.1142840799999991</v>
      </c>
      <c r="JR6">
        <v>317.68101669999999</v>
      </c>
      <c r="JS6">
        <v>23.581741000000001</v>
      </c>
      <c r="JT6">
        <v>265.90549049999998</v>
      </c>
      <c r="JU6">
        <v>384.0453511</v>
      </c>
      <c r="JV6">
        <v>0.2148689832</v>
      </c>
      <c r="JW6">
        <v>7.0630985889999998E-2</v>
      </c>
      <c r="JX6">
        <v>8.7718932989999998E-2</v>
      </c>
      <c r="JY6">
        <v>0.42522737729999999</v>
      </c>
      <c r="JZ6">
        <v>0.23810575889999999</v>
      </c>
      <c r="KA6">
        <v>6.8995865549999993E-2</v>
      </c>
      <c r="KB6">
        <v>9.5175130469999994E-2</v>
      </c>
      <c r="KC6">
        <v>0.41468031529999999</v>
      </c>
      <c r="KD6">
        <v>0.45297474209999999</v>
      </c>
      <c r="KE6">
        <v>0.1181483036</v>
      </c>
      <c r="KF6">
        <v>0.226218</v>
      </c>
      <c r="KG6">
        <v>0.73872000000000004</v>
      </c>
      <c r="KH6">
        <v>0.29361505139999999</v>
      </c>
      <c r="KI6">
        <v>0.1056252511</v>
      </c>
      <c r="KJ6">
        <v>9.2946000000000001E-2</v>
      </c>
      <c r="KK6">
        <v>0.56340166670000003</v>
      </c>
      <c r="KL6">
        <v>0.45297474209999999</v>
      </c>
      <c r="KM6">
        <v>0.1181483036</v>
      </c>
      <c r="KN6">
        <v>0.226218</v>
      </c>
      <c r="KO6">
        <v>0.73872000000000004</v>
      </c>
      <c r="KP6">
        <v>9.1383932350000002E-2</v>
      </c>
      <c r="KQ6">
        <v>2.8125284E-2</v>
      </c>
      <c r="KR6">
        <v>4.4360647730000001E-2</v>
      </c>
      <c r="KS6">
        <v>0.17548075990000001</v>
      </c>
      <c r="KT6">
        <v>0.112364355</v>
      </c>
      <c r="KU6">
        <v>3.1382070429999999E-2</v>
      </c>
      <c r="KV6">
        <v>5.586389319E-2</v>
      </c>
      <c r="KW6">
        <v>0.19776007770000001</v>
      </c>
      <c r="KX6">
        <v>-0.23764384820000001</v>
      </c>
      <c r="KY6">
        <v>0.53535537950000001</v>
      </c>
      <c r="KZ6">
        <v>-1.9714107919999999</v>
      </c>
      <c r="LA6">
        <v>1.183705306</v>
      </c>
      <c r="LB6">
        <v>2.7361619030000002</v>
      </c>
      <c r="LC6">
        <v>0.77390357679999999</v>
      </c>
      <c r="LD6">
        <v>1.6422528649999999</v>
      </c>
      <c r="LE6">
        <v>6.7827089870000004</v>
      </c>
      <c r="LF6">
        <v>1.6499582230000001</v>
      </c>
      <c r="LG6">
        <v>0.47570182509999998</v>
      </c>
      <c r="LH6">
        <v>0.65825999769999999</v>
      </c>
      <c r="LI6">
        <v>3.7301399869999998</v>
      </c>
      <c r="LJ6">
        <v>2.1186551800000002E-2</v>
      </c>
      <c r="LK6">
        <v>7.0198591289999997E-3</v>
      </c>
      <c r="LL6">
        <v>1.063530605E-2</v>
      </c>
      <c r="LM6">
        <v>4.265181338E-2</v>
      </c>
      <c r="LN6">
        <v>100</v>
      </c>
      <c r="LO6">
        <v>0</v>
      </c>
      <c r="LP6">
        <v>100</v>
      </c>
      <c r="LQ6">
        <v>100</v>
      </c>
      <c r="LR6">
        <v>0.19659226099999999</v>
      </c>
      <c r="LS6">
        <v>7.1287515679999996E-2</v>
      </c>
      <c r="LT6">
        <v>8.574758331E-2</v>
      </c>
      <c r="LU6">
        <v>0.42116270480000001</v>
      </c>
      <c r="LV6">
        <v>16.041978459999999</v>
      </c>
      <c r="LW6">
        <v>5.711539116</v>
      </c>
      <c r="LX6">
        <v>1.3710747459999999</v>
      </c>
      <c r="LY6">
        <v>33.786671069999997</v>
      </c>
      <c r="LZ6">
        <v>6.4381702110000001</v>
      </c>
      <c r="MA6">
        <v>1.4863511789999999</v>
      </c>
      <c r="MB6">
        <v>2.6808645339999999</v>
      </c>
      <c r="MC6">
        <v>15.1915657</v>
      </c>
      <c r="MD6">
        <v>0.21113946380000001</v>
      </c>
      <c r="ME6">
        <v>6.8892025689999997E-2</v>
      </c>
      <c r="MF6">
        <v>8.7499679790000007E-2</v>
      </c>
      <c r="MG6">
        <v>0.40986546039999999</v>
      </c>
      <c r="MH6">
        <v>0.23329521510000001</v>
      </c>
      <c r="MI6">
        <v>6.7337319189999995E-2</v>
      </c>
      <c r="MJ6">
        <v>9.5043617430000005E-2</v>
      </c>
      <c r="MK6">
        <v>0.4069563578</v>
      </c>
      <c r="ML6">
        <v>0.44443467889999999</v>
      </c>
      <c r="MM6">
        <v>0.11474728369999999</v>
      </c>
      <c r="MN6">
        <v>0.226218</v>
      </c>
      <c r="MO6">
        <v>0.71835099999999996</v>
      </c>
      <c r="MP6">
        <v>0.2879380795</v>
      </c>
      <c r="MQ6">
        <v>0.10481064499999999</v>
      </c>
      <c r="MR6">
        <v>9.2946000000000001E-2</v>
      </c>
      <c r="MS6">
        <v>0.55136766670000004</v>
      </c>
      <c r="MT6">
        <v>0.44443467889999999</v>
      </c>
      <c r="MU6">
        <v>0.11474728369999999</v>
      </c>
      <c r="MV6">
        <v>0.226218</v>
      </c>
      <c r="MW6">
        <v>0.71835099999999996</v>
      </c>
      <c r="MX6">
        <v>9.0067275799999999E-2</v>
      </c>
      <c r="MY6">
        <v>2.773363953E-2</v>
      </c>
      <c r="MZ6">
        <v>4.4393753959999997E-2</v>
      </c>
      <c r="NA6">
        <v>0.17443601080000001</v>
      </c>
      <c r="NB6">
        <v>0.1106578951</v>
      </c>
      <c r="NC6">
        <v>3.084849051E-2</v>
      </c>
      <c r="ND6">
        <v>5.5753660269999998E-2</v>
      </c>
      <c r="NE6">
        <v>0.19639717679999999</v>
      </c>
      <c r="NF6">
        <v>-0.23600561849999999</v>
      </c>
      <c r="NG6">
        <v>0.53817950370000001</v>
      </c>
      <c r="NH6">
        <v>-1.9174615420000001</v>
      </c>
      <c r="NI6">
        <v>1.2030910349999999</v>
      </c>
      <c r="NJ6">
        <v>2.7277700619999998</v>
      </c>
      <c r="NK6">
        <v>0.77646890329999996</v>
      </c>
      <c r="NL6">
        <v>1.641081153</v>
      </c>
      <c r="NM6">
        <v>6.5669143439999997</v>
      </c>
      <c r="NN6">
        <v>1.657848537</v>
      </c>
      <c r="NO6">
        <v>0.49526527240000001</v>
      </c>
      <c r="NP6">
        <v>0.60995999789999999</v>
      </c>
      <c r="NQ6">
        <v>3.7908599870000002</v>
      </c>
      <c r="NR6">
        <v>2.0826316880000001E-2</v>
      </c>
      <c r="NS6">
        <v>6.9120146780000001E-3</v>
      </c>
      <c r="NT6">
        <v>1.0650106079999999E-2</v>
      </c>
      <c r="NU6">
        <v>4.1773212560000002E-2</v>
      </c>
      <c r="NV6">
        <v>100</v>
      </c>
      <c r="NW6">
        <v>0</v>
      </c>
      <c r="NX6">
        <v>100</v>
      </c>
      <c r="NY6">
        <v>100</v>
      </c>
      <c r="NZ6">
        <v>0.19396909600000001</v>
      </c>
      <c r="OA6">
        <v>7.0509039829999995E-2</v>
      </c>
      <c r="OB6">
        <v>8.7552258810000005E-2</v>
      </c>
      <c r="OC6">
        <v>0.41958905860000001</v>
      </c>
      <c r="OD6">
        <v>16.136213210000001</v>
      </c>
      <c r="OE6">
        <v>5.6702918249999996</v>
      </c>
      <c r="OF6">
        <v>1.3931888539999999</v>
      </c>
      <c r="OG6">
        <v>33.502874830000003</v>
      </c>
      <c r="OH6">
        <v>6.4423038899999998</v>
      </c>
      <c r="OI6">
        <v>1.5796710140000001</v>
      </c>
      <c r="OJ6">
        <v>2.6379238580000002</v>
      </c>
      <c r="OK6">
        <v>16.39451773</v>
      </c>
      <c r="OL6">
        <v>0.24641308540000001</v>
      </c>
      <c r="OM6">
        <v>-0.29068415339999998</v>
      </c>
      <c r="ON6">
        <v>4.5588478400000003</v>
      </c>
      <c r="OO6">
        <v>1.3990990000000001</v>
      </c>
      <c r="OP6">
        <v>1.810168</v>
      </c>
      <c r="OQ6">
        <v>3.2092670000000001</v>
      </c>
      <c r="OR6">
        <v>0.186223526</v>
      </c>
      <c r="OS6" s="2">
        <v>1.317801541E-5</v>
      </c>
      <c r="OT6">
        <v>3.0573330089999999E-4</v>
      </c>
      <c r="OU6" s="2">
        <v>1.317801541E-5</v>
      </c>
      <c r="OV6">
        <v>1.998320157E-4</v>
      </c>
      <c r="OW6">
        <v>2.7250698430000001E-4</v>
      </c>
      <c r="OX6" s="2">
        <v>3.3226316619999997E-5</v>
      </c>
      <c r="OY6">
        <v>0.54712693739999996</v>
      </c>
      <c r="OZ6">
        <v>0.26575057460000001</v>
      </c>
      <c r="PA6">
        <v>0.33141718250000002</v>
      </c>
      <c r="PB6">
        <v>10.96427901</v>
      </c>
      <c r="PC6">
        <v>88.204900789999996</v>
      </c>
      <c r="PD6">
        <v>0.23859958000000001</v>
      </c>
      <c r="PE6">
        <v>-0.1683368348</v>
      </c>
      <c r="PF6">
        <v>3.669769353</v>
      </c>
      <c r="PG6">
        <v>1.158399</v>
      </c>
      <c r="PH6">
        <v>1.3026770000000001</v>
      </c>
      <c r="PI6">
        <v>2.4610759999999998</v>
      </c>
      <c r="PJ6">
        <v>0.18371273769999999</v>
      </c>
      <c r="PK6" s="2">
        <v>1.227346633E-5</v>
      </c>
      <c r="PL6">
        <v>3.0413736740000002E-4</v>
      </c>
      <c r="PM6" s="2">
        <v>1.227346633E-5</v>
      </c>
      <c r="PN6">
        <v>2.001141394E-4</v>
      </c>
      <c r="PO6">
        <v>2.7268286060000001E-4</v>
      </c>
      <c r="PP6" s="2">
        <v>3.1454506810000001E-5</v>
      </c>
      <c r="PQ6">
        <v>0.54757268699999995</v>
      </c>
      <c r="PR6">
        <v>0.24890273360000001</v>
      </c>
      <c r="PS6">
        <v>0.30106210290000002</v>
      </c>
      <c r="PT6">
        <v>10.98008692</v>
      </c>
      <c r="PU6">
        <v>88.201685260000005</v>
      </c>
      <c r="PV6">
        <v>0.78728207019999996</v>
      </c>
      <c r="PW6">
        <v>0.31585493320000002</v>
      </c>
      <c r="PX6">
        <v>0.3629717603</v>
      </c>
      <c r="PY6">
        <v>11.366868609999999</v>
      </c>
      <c r="PZ6">
        <v>89.967127520000005</v>
      </c>
      <c r="QA6">
        <v>0.78680697889999995</v>
      </c>
      <c r="QB6">
        <v>0.29996775469999998</v>
      </c>
      <c r="QC6">
        <v>0.32677889609999999</v>
      </c>
      <c r="QD6">
        <v>11.38248087</v>
      </c>
      <c r="QE6">
        <v>89.96861165</v>
      </c>
      <c r="QF6" s="2">
        <v>1.5276159490000001E-5</v>
      </c>
      <c r="QG6">
        <v>2.8050378159999998E-4</v>
      </c>
      <c r="QH6">
        <v>3.9273221839999998E-4</v>
      </c>
      <c r="QI6" s="2">
        <v>3.8465677189999997E-5</v>
      </c>
      <c r="QJ6" s="2">
        <v>1.436633323E-5</v>
      </c>
      <c r="QK6">
        <v>2.8046149829999997E-4</v>
      </c>
      <c r="QL6">
        <v>3.9261550169999998E-4</v>
      </c>
      <c r="QM6" s="2">
        <v>3.6640381319999998E-5</v>
      </c>
      <c r="QN6">
        <v>12.426919910000001</v>
      </c>
      <c r="QO6">
        <v>92.023392569999999</v>
      </c>
      <c r="QP6">
        <v>105.7357119</v>
      </c>
      <c r="QQ6">
        <v>114.2377436</v>
      </c>
      <c r="QR6">
        <v>11.87929108</v>
      </c>
      <c r="QS6">
        <v>92.024449379999993</v>
      </c>
      <c r="QT6">
        <v>101.98498840000001</v>
      </c>
      <c r="QU6">
        <v>108.25339270000001</v>
      </c>
    </row>
    <row r="7" spans="1:463" x14ac:dyDescent="0.2">
      <c r="A7" t="s">
        <v>279</v>
      </c>
      <c r="B7" s="2">
        <v>-1.0444331610000001E-11</v>
      </c>
      <c r="C7" s="2">
        <v>-6.2700623530000001E-12</v>
      </c>
      <c r="D7">
        <v>1.1467706360000001</v>
      </c>
      <c r="E7">
        <v>1.2040702219999999</v>
      </c>
      <c r="F7">
        <v>1.686479496</v>
      </c>
      <c r="G7">
        <v>4.0570747010000003</v>
      </c>
      <c r="H7">
        <v>4.2597906559999998</v>
      </c>
      <c r="I7">
        <v>5.9664706140000003</v>
      </c>
      <c r="J7">
        <v>27.119177619999999</v>
      </c>
      <c r="K7">
        <v>28.265948250000001</v>
      </c>
      <c r="L7">
        <v>28.265948250000001</v>
      </c>
      <c r="M7">
        <v>28.265948250000001</v>
      </c>
      <c r="N7">
        <v>27.061878029999999</v>
      </c>
      <c r="O7">
        <v>28.265948250000001</v>
      </c>
      <c r="P7">
        <v>26.579468760000001</v>
      </c>
      <c r="Q7">
        <v>28.265948250000001</v>
      </c>
      <c r="R7">
        <v>1.0643624309999999</v>
      </c>
      <c r="S7">
        <v>0.15136154439999999</v>
      </c>
      <c r="T7">
        <v>0.32890544160000001</v>
      </c>
      <c r="U7">
        <v>1.3687679580000001</v>
      </c>
      <c r="V7">
        <v>0.98852415090000001</v>
      </c>
      <c r="W7">
        <v>0.1193737084</v>
      </c>
      <c r="X7">
        <v>0.52240312300000002</v>
      </c>
      <c r="Y7">
        <v>1.2679903539999999</v>
      </c>
      <c r="Z7">
        <v>2.0528865820000002</v>
      </c>
      <c r="AA7">
        <v>0.21229150150000001</v>
      </c>
      <c r="AB7">
        <v>0.90002199999999999</v>
      </c>
      <c r="AC7">
        <v>2.3753799999999998</v>
      </c>
      <c r="AD7">
        <v>0.57758719449999996</v>
      </c>
      <c r="AE7">
        <v>5.4590565020000002E-2</v>
      </c>
      <c r="AF7">
        <v>0.42382744439999998</v>
      </c>
      <c r="AG7">
        <v>0.69594362499999995</v>
      </c>
      <c r="AH7">
        <v>2.0528865820000002</v>
      </c>
      <c r="AI7">
        <v>0.21229150150000001</v>
      </c>
      <c r="AJ7">
        <v>0.90002199999999999</v>
      </c>
      <c r="AK7">
        <v>2.3753799999999998</v>
      </c>
      <c r="AL7">
        <v>0.18691222809999999</v>
      </c>
      <c r="AM7">
        <v>2.0033633700000001E-2</v>
      </c>
      <c r="AN7">
        <v>0.12525579410000001</v>
      </c>
      <c r="AO7">
        <v>0.23972904140000001</v>
      </c>
      <c r="AP7">
        <v>0.24022306090000001</v>
      </c>
      <c r="AQ7">
        <v>2.4571987020000002E-2</v>
      </c>
      <c r="AR7">
        <v>0.1594936243</v>
      </c>
      <c r="AS7">
        <v>0.30038195299999998</v>
      </c>
      <c r="AT7">
        <v>-0.1151672352</v>
      </c>
      <c r="AU7">
        <v>0.18956534289999999</v>
      </c>
      <c r="AV7">
        <v>-0.43691854409999997</v>
      </c>
      <c r="AW7">
        <v>0.56346744500000001</v>
      </c>
      <c r="AX7">
        <v>3.8135554520000001</v>
      </c>
      <c r="AY7">
        <v>0.42262776340000002</v>
      </c>
      <c r="AZ7">
        <v>2.4251360100000001</v>
      </c>
      <c r="BA7">
        <v>5.2570116670000004</v>
      </c>
      <c r="BB7">
        <v>3.8353559699999998E-2</v>
      </c>
      <c r="BC7">
        <v>5.877305042E-2</v>
      </c>
      <c r="BD7">
        <v>2.2727032889999998E-2</v>
      </c>
      <c r="BE7">
        <v>0.57009333139999996</v>
      </c>
      <c r="BF7">
        <v>4.1570975270000003</v>
      </c>
      <c r="BG7">
        <v>0.69393870769999999</v>
      </c>
      <c r="BH7">
        <v>0.21902847719999999</v>
      </c>
      <c r="BI7">
        <v>5.1661070149999997</v>
      </c>
      <c r="BJ7">
        <v>41.330293599999997</v>
      </c>
      <c r="BK7">
        <v>21.939858770000001</v>
      </c>
      <c r="BL7">
        <v>4.1348403659999997</v>
      </c>
      <c r="BM7">
        <v>100</v>
      </c>
      <c r="BN7">
        <v>0.38362741020000002</v>
      </c>
      <c r="BO7">
        <v>4.409376986E-2</v>
      </c>
      <c r="BP7">
        <v>0.28365093349999998</v>
      </c>
      <c r="BQ7">
        <v>0.50743476119999997</v>
      </c>
      <c r="BR7">
        <v>327.44458900000001</v>
      </c>
      <c r="BS7">
        <v>61.173733390000002</v>
      </c>
      <c r="BT7">
        <v>17.5409875</v>
      </c>
      <c r="BU7">
        <v>440.0046433</v>
      </c>
      <c r="BV7">
        <v>0.71958189839999998</v>
      </c>
      <c r="BW7">
        <v>0.1111942683</v>
      </c>
      <c r="BX7">
        <v>0.28265434169999998</v>
      </c>
      <c r="BY7">
        <v>0.89904456880000005</v>
      </c>
      <c r="BZ7">
        <v>0.7339564288</v>
      </c>
      <c r="CA7">
        <v>9.6755115320000001E-2</v>
      </c>
      <c r="CB7">
        <v>0.3851236583</v>
      </c>
      <c r="CC7">
        <v>1.0274534399999999</v>
      </c>
      <c r="CD7">
        <v>1.453538327</v>
      </c>
      <c r="CE7">
        <v>9.1236422849999999E-2</v>
      </c>
      <c r="CF7">
        <v>0.66777799999999998</v>
      </c>
      <c r="CG7">
        <v>1.5182640000000001</v>
      </c>
      <c r="CH7">
        <v>0.53236462289999997</v>
      </c>
      <c r="CI7">
        <v>4.893336174E-2</v>
      </c>
      <c r="CJ7">
        <v>0.38141872729999998</v>
      </c>
      <c r="CK7">
        <v>0.63231647089999998</v>
      </c>
      <c r="CL7">
        <v>1.453538327</v>
      </c>
      <c r="CM7">
        <v>9.1236422849999999E-2</v>
      </c>
      <c r="CN7">
        <v>0.66777799999999998</v>
      </c>
      <c r="CO7">
        <v>1.5182640000000001</v>
      </c>
      <c r="CP7">
        <v>0.18226672520000001</v>
      </c>
      <c r="CQ7">
        <v>2.062335329E-2</v>
      </c>
      <c r="CR7">
        <v>9.1140335269999997E-2</v>
      </c>
      <c r="CS7">
        <v>0.22696860699999999</v>
      </c>
      <c r="CT7">
        <v>0.2298387254</v>
      </c>
      <c r="CU7">
        <v>2.4436101849999999E-2</v>
      </c>
      <c r="CV7">
        <v>0.1150889395</v>
      </c>
      <c r="CW7">
        <v>0.27714310190000002</v>
      </c>
      <c r="CX7">
        <v>-0.12938462379999999</v>
      </c>
      <c r="CY7">
        <v>0.21440345329999999</v>
      </c>
      <c r="CZ7">
        <v>-0.62448812809999998</v>
      </c>
      <c r="DA7">
        <v>1.0351951070000001</v>
      </c>
      <c r="DB7">
        <v>3.1122230449999999</v>
      </c>
      <c r="DC7">
        <v>0.2963803418</v>
      </c>
      <c r="DD7">
        <v>2.2036426950000001</v>
      </c>
      <c r="DE7">
        <v>4.0652836490000004</v>
      </c>
      <c r="DF7">
        <v>3.6589448699999999E-2</v>
      </c>
      <c r="DG7">
        <v>6.5978439860000002E-2</v>
      </c>
      <c r="DH7">
        <v>2.1618397139999999E-2</v>
      </c>
      <c r="DI7">
        <v>0.73238571180000001</v>
      </c>
      <c r="DJ7">
        <v>3.9827331610000001</v>
      </c>
      <c r="DK7">
        <v>0.64537230690000003</v>
      </c>
      <c r="DL7">
        <v>0.20480399599999999</v>
      </c>
      <c r="DM7">
        <v>4.7302735309999999</v>
      </c>
      <c r="DN7">
        <v>86.30214187</v>
      </c>
      <c r="DO7">
        <v>7.1686688680000001</v>
      </c>
      <c r="DP7">
        <v>68.642193719999995</v>
      </c>
      <c r="DQ7">
        <v>100</v>
      </c>
      <c r="DR7">
        <v>0.38067259879999998</v>
      </c>
      <c r="DS7">
        <v>4.7295736790000001E-2</v>
      </c>
      <c r="DT7">
        <v>0.1885493442</v>
      </c>
      <c r="DU7">
        <v>0.50072492889999998</v>
      </c>
      <c r="DV7">
        <v>352.20381500000002</v>
      </c>
      <c r="DW7">
        <v>63.979367459999999</v>
      </c>
      <c r="DX7">
        <v>13.654007500000001</v>
      </c>
      <c r="DY7">
        <v>462.568984</v>
      </c>
      <c r="DZ7">
        <v>0.73088149400000002</v>
      </c>
      <c r="EA7">
        <v>0.12643182119999999</v>
      </c>
      <c r="EB7">
        <v>0.1221361602</v>
      </c>
      <c r="EC7">
        <v>0.98793008240000002</v>
      </c>
      <c r="ED7">
        <v>0.75145316660000006</v>
      </c>
      <c r="EE7">
        <v>0.1149758944</v>
      </c>
      <c r="EF7">
        <v>0.24395483979999999</v>
      </c>
      <c r="EG7">
        <v>0.99661182429999995</v>
      </c>
      <c r="EH7">
        <v>1.4823346610000001</v>
      </c>
      <c r="EI7">
        <v>0.21717062779999999</v>
      </c>
      <c r="EJ7">
        <v>0.366091</v>
      </c>
      <c r="EK7">
        <v>1.885506286</v>
      </c>
      <c r="EL7">
        <v>0.53404809549999999</v>
      </c>
      <c r="EM7">
        <v>6.2528411209999996E-2</v>
      </c>
      <c r="EN7">
        <v>0.28388722579999998</v>
      </c>
      <c r="EO7">
        <v>0.67430527829999998</v>
      </c>
      <c r="EP7">
        <v>1.975994848</v>
      </c>
      <c r="EQ7">
        <v>0.2656867879</v>
      </c>
      <c r="ER7">
        <v>0.618788</v>
      </c>
      <c r="ES7">
        <v>2.4934729999999998</v>
      </c>
      <c r="ET7">
        <v>0.15821241089999999</v>
      </c>
      <c r="EU7">
        <v>1.9841417940000002E-2</v>
      </c>
      <c r="EV7">
        <v>6.7644328680000004E-2</v>
      </c>
      <c r="EW7">
        <v>0.18895553909999999</v>
      </c>
      <c r="EX7">
        <v>0.2069863176</v>
      </c>
      <c r="EY7">
        <v>2.64243142E-2</v>
      </c>
      <c r="EZ7">
        <v>8.7239993730000007E-2</v>
      </c>
      <c r="FA7">
        <v>0.25179529690000002</v>
      </c>
      <c r="FB7">
        <v>-0.18710014650000001</v>
      </c>
      <c r="FC7">
        <v>0.22234241839999999</v>
      </c>
      <c r="FD7">
        <v>-0.66486123320000001</v>
      </c>
      <c r="FE7">
        <v>0.54588699009999997</v>
      </c>
      <c r="FF7">
        <v>4.2873804529999999</v>
      </c>
      <c r="FG7">
        <v>0.48539262789999998</v>
      </c>
      <c r="FH7">
        <v>3.0673966030000002</v>
      </c>
      <c r="FI7">
        <v>7.7146032570000003</v>
      </c>
      <c r="FJ7">
        <v>1.014142584</v>
      </c>
      <c r="FK7">
        <v>0.17970826519999999</v>
      </c>
      <c r="FL7">
        <v>0.15233173159999999</v>
      </c>
      <c r="FM7">
        <v>1.427027893</v>
      </c>
      <c r="FN7">
        <v>0.96185226450000005</v>
      </c>
      <c r="FO7">
        <v>0.15688181879999999</v>
      </c>
      <c r="FP7">
        <v>0.46645626839999998</v>
      </c>
      <c r="FQ7">
        <v>1.381983427</v>
      </c>
      <c r="FR7">
        <v>1.8592090670000001</v>
      </c>
      <c r="FS7">
        <v>0.26449927480000002</v>
      </c>
      <c r="FT7">
        <v>0.618788</v>
      </c>
      <c r="FU7">
        <v>2.3266610000000001</v>
      </c>
      <c r="FV7">
        <v>1.537009691</v>
      </c>
      <c r="FW7">
        <v>0.32746709899999998</v>
      </c>
      <c r="FX7">
        <v>0.32720900000000003</v>
      </c>
      <c r="FY7">
        <v>2.292421</v>
      </c>
      <c r="FZ7">
        <v>2.9152282200000001E-2</v>
      </c>
      <c r="GA7">
        <v>2.6289852020000001E-2</v>
      </c>
      <c r="GB7">
        <v>2.0169999930000002E-2</v>
      </c>
      <c r="GC7">
        <v>0.32179874889999999</v>
      </c>
      <c r="GD7">
        <v>4.0842118369999998</v>
      </c>
      <c r="GE7">
        <v>0.69937411500000002</v>
      </c>
      <c r="GF7">
        <v>0.18110878550000001</v>
      </c>
      <c r="GG7">
        <v>5.1719755760000004</v>
      </c>
      <c r="GH7">
        <v>48.401389719999997</v>
      </c>
      <c r="GI7">
        <v>26.63982992</v>
      </c>
      <c r="GJ7">
        <v>1.649839941</v>
      </c>
      <c r="GK7">
        <v>100</v>
      </c>
      <c r="GL7">
        <v>0.31533840010000003</v>
      </c>
      <c r="GM7">
        <v>4.0706769529999999E-2</v>
      </c>
      <c r="GN7">
        <v>0.12463402079999999</v>
      </c>
      <c r="GO7">
        <v>0.3773819075</v>
      </c>
      <c r="GP7">
        <v>3.1090723910000002</v>
      </c>
      <c r="GQ7">
        <v>1.056205007</v>
      </c>
      <c r="GR7">
        <v>1.2804727899999999</v>
      </c>
      <c r="GS7">
        <v>13.38860053</v>
      </c>
      <c r="GT7">
        <v>384.81741590000001</v>
      </c>
      <c r="GU7">
        <v>61.635263649999999</v>
      </c>
      <c r="GV7">
        <v>31.075322809999999</v>
      </c>
      <c r="GW7">
        <v>495.78582219999998</v>
      </c>
      <c r="GX7">
        <v>0.59135679159999999</v>
      </c>
      <c r="GY7">
        <v>0.10028932979999999</v>
      </c>
      <c r="GZ7">
        <v>8.7017052449999993E-2</v>
      </c>
      <c r="HA7">
        <v>0.73195581440000002</v>
      </c>
      <c r="HB7">
        <v>0.64668368030000001</v>
      </c>
      <c r="HC7">
        <v>9.230072651E-2</v>
      </c>
      <c r="HD7">
        <v>0.1606769475</v>
      </c>
      <c r="HE7">
        <v>0.82525841899999997</v>
      </c>
      <c r="HF7">
        <v>1.238040472</v>
      </c>
      <c r="HG7">
        <v>0.1587719994</v>
      </c>
      <c r="HH7">
        <v>0.247694</v>
      </c>
      <c r="HI7">
        <v>1.4533408569999999</v>
      </c>
      <c r="HJ7">
        <v>0.49690394100000002</v>
      </c>
      <c r="HK7">
        <v>5.6424350030000001E-2</v>
      </c>
      <c r="HL7">
        <v>0.23400360000000001</v>
      </c>
      <c r="HM7">
        <v>0.60666737849999997</v>
      </c>
      <c r="HN7">
        <v>1.503561267</v>
      </c>
      <c r="HO7">
        <v>0.1446216615</v>
      </c>
      <c r="HP7">
        <v>0.61341699999999999</v>
      </c>
      <c r="HQ7">
        <v>1.787639</v>
      </c>
      <c r="HR7">
        <v>0.15454886100000001</v>
      </c>
      <c r="HS7">
        <v>2.073535261E-2</v>
      </c>
      <c r="HT7">
        <v>4.8454504740000001E-2</v>
      </c>
      <c r="HU7">
        <v>0.18256148080000001</v>
      </c>
      <c r="HV7">
        <v>0.19810056140000001</v>
      </c>
      <c r="HW7">
        <v>2.6291260520000002E-2</v>
      </c>
      <c r="HX7">
        <v>6.1918362089999998E-2</v>
      </c>
      <c r="HY7">
        <v>0.2342552453</v>
      </c>
      <c r="HZ7">
        <v>-0.225964894</v>
      </c>
      <c r="IA7">
        <v>0.18898467930000001</v>
      </c>
      <c r="IB7">
        <v>-0.61184320489999999</v>
      </c>
      <c r="IC7">
        <v>0.2450436792</v>
      </c>
      <c r="ID7">
        <v>3.5209402120000002</v>
      </c>
      <c r="IE7">
        <v>0.35536742919999997</v>
      </c>
      <c r="IF7">
        <v>2.8056445729999999</v>
      </c>
      <c r="IG7">
        <v>6.4739343829999996</v>
      </c>
      <c r="IH7">
        <v>0.72817791710000002</v>
      </c>
      <c r="II7">
        <v>0.1197659492</v>
      </c>
      <c r="IJ7">
        <v>0.15212005249999999</v>
      </c>
      <c r="IK7">
        <v>0.99918333810000004</v>
      </c>
      <c r="IL7">
        <v>0.77538334959999999</v>
      </c>
      <c r="IM7">
        <v>0.1015909405</v>
      </c>
      <c r="IN7">
        <v>0.4612969475</v>
      </c>
      <c r="IO7">
        <v>1.059684472</v>
      </c>
      <c r="IP7">
        <v>1.4082382</v>
      </c>
      <c r="IQ7">
        <v>0.13205288170000001</v>
      </c>
      <c r="IR7">
        <v>0.61341699999999999</v>
      </c>
      <c r="IS7">
        <v>1.67882</v>
      </c>
      <c r="IT7">
        <v>1.277613382</v>
      </c>
      <c r="IU7">
        <v>0.17174329159999999</v>
      </c>
      <c r="IV7">
        <v>0.32379400000000003</v>
      </c>
      <c r="IW7">
        <v>1.5368230000000001</v>
      </c>
      <c r="IX7">
        <v>2.78150666E-2</v>
      </c>
      <c r="IY7">
        <v>2.7910530619999999E-2</v>
      </c>
      <c r="IZ7">
        <v>1.9196275799999999E-2</v>
      </c>
      <c r="JA7">
        <v>0.34371199879999997</v>
      </c>
      <c r="JB7">
        <v>3.9225049319999998</v>
      </c>
      <c r="JC7">
        <v>0.65796703050000005</v>
      </c>
      <c r="JD7">
        <v>0.1489935221</v>
      </c>
      <c r="JE7">
        <v>4.6718471069999996</v>
      </c>
      <c r="JF7">
        <v>88.115921950000001</v>
      </c>
      <c r="JG7">
        <v>8.5677184319999995</v>
      </c>
      <c r="JH7">
        <v>52.327013049999998</v>
      </c>
      <c r="JI7">
        <v>100</v>
      </c>
      <c r="JJ7">
        <v>0.31402341030000003</v>
      </c>
      <c r="JK7">
        <v>4.4355987579999999E-2</v>
      </c>
      <c r="JL7">
        <v>8.6381908169999994E-2</v>
      </c>
      <c r="JM7">
        <v>0.37597490659999999</v>
      </c>
      <c r="JN7">
        <v>5.0968334479999999</v>
      </c>
      <c r="JO7">
        <v>1.230194944</v>
      </c>
      <c r="JP7">
        <v>3.1765574980000002</v>
      </c>
      <c r="JQ7">
        <v>16.458886549999999</v>
      </c>
      <c r="JR7">
        <v>407.92337470000001</v>
      </c>
      <c r="JS7">
        <v>64.702396030000003</v>
      </c>
      <c r="JT7">
        <v>29.09412541</v>
      </c>
      <c r="JU7">
        <v>520.93437840000001</v>
      </c>
      <c r="JV7">
        <v>0.20028926790000001</v>
      </c>
      <c r="JW7">
        <v>4.62063635E-2</v>
      </c>
      <c r="JX7">
        <v>8.418254688E-2</v>
      </c>
      <c r="JY7">
        <v>0.34583561740000002</v>
      </c>
      <c r="JZ7">
        <v>0.21564285929999999</v>
      </c>
      <c r="KA7">
        <v>9.5343896499999997E-2</v>
      </c>
      <c r="KB7">
        <v>8.2391322419999996E-2</v>
      </c>
      <c r="KC7">
        <v>0.61447206769999996</v>
      </c>
      <c r="KD7">
        <v>0.41593212730000001</v>
      </c>
      <c r="KE7">
        <v>0.1181922934</v>
      </c>
      <c r="KF7">
        <v>0.166603</v>
      </c>
      <c r="KG7">
        <v>0.85750599999999999</v>
      </c>
      <c r="KH7">
        <v>0.2543129676</v>
      </c>
      <c r="KI7">
        <v>6.3827527450000004E-2</v>
      </c>
      <c r="KJ7">
        <v>0.1074656667</v>
      </c>
      <c r="KK7">
        <v>0.44519999999999998</v>
      </c>
      <c r="KL7">
        <v>0.41593212730000001</v>
      </c>
      <c r="KM7">
        <v>0.1181922934</v>
      </c>
      <c r="KN7">
        <v>0.166603</v>
      </c>
      <c r="KO7">
        <v>0.85750599999999999</v>
      </c>
      <c r="KP7">
        <v>8.286391622E-2</v>
      </c>
      <c r="KQ7">
        <v>1.9711632579999999E-2</v>
      </c>
      <c r="KR7">
        <v>4.2567160659999999E-2</v>
      </c>
      <c r="KS7">
        <v>0.14231956539999999</v>
      </c>
      <c r="KT7">
        <v>0.1028351151</v>
      </c>
      <c r="KU7">
        <v>2.522702559E-2</v>
      </c>
      <c r="KV7">
        <v>5.0090164530000002E-2</v>
      </c>
      <c r="KW7">
        <v>0.17601945820000001</v>
      </c>
      <c r="KX7">
        <v>-9.8979727670000003E-2</v>
      </c>
      <c r="KY7">
        <v>0.54460297179999995</v>
      </c>
      <c r="KZ7">
        <v>-2.155020081</v>
      </c>
      <c r="LA7">
        <v>1.1865123399999999</v>
      </c>
      <c r="LB7">
        <v>2.7141912260000001</v>
      </c>
      <c r="LC7">
        <v>0.94750519830000002</v>
      </c>
      <c r="LD7">
        <v>1.629939488</v>
      </c>
      <c r="LE7">
        <v>8.6443289009999997</v>
      </c>
      <c r="LF7">
        <v>1.8057907900000001</v>
      </c>
      <c r="LG7">
        <v>0.50907530059999995</v>
      </c>
      <c r="LH7">
        <v>1.083299996</v>
      </c>
      <c r="LI7">
        <v>4.2724799850000004</v>
      </c>
      <c r="LJ7">
        <v>1.8775530219999999E-2</v>
      </c>
      <c r="LK7">
        <v>4.4098346800000004E-3</v>
      </c>
      <c r="LL7">
        <v>9.6096975850000002E-3</v>
      </c>
      <c r="LM7">
        <v>2.9394146360000001E-2</v>
      </c>
      <c r="LN7">
        <v>100</v>
      </c>
      <c r="LO7">
        <v>0</v>
      </c>
      <c r="LP7">
        <v>100</v>
      </c>
      <c r="LQ7">
        <v>100</v>
      </c>
      <c r="LR7">
        <v>0.17724723810000001</v>
      </c>
      <c r="LS7">
        <v>4.3997927030000002E-2</v>
      </c>
      <c r="LT7">
        <v>9.9705757059999997E-2</v>
      </c>
      <c r="LU7">
        <v>0.32134260999999997</v>
      </c>
      <c r="LV7">
        <v>16.218534179999999</v>
      </c>
      <c r="LW7">
        <v>5.3174793439999997</v>
      </c>
      <c r="LX7">
        <v>0</v>
      </c>
      <c r="LY7">
        <v>29.661285759999998</v>
      </c>
      <c r="LZ7">
        <v>5.8770396759999999</v>
      </c>
      <c r="MA7">
        <v>1.2782121630000001</v>
      </c>
      <c r="MB7">
        <v>2.3405609940000001</v>
      </c>
      <c r="MC7">
        <v>9.2310532950000006</v>
      </c>
      <c r="MD7">
        <v>0.19520931150000001</v>
      </c>
      <c r="ME7">
        <v>4.5221468209999997E-2</v>
      </c>
      <c r="MF7">
        <v>7.9768882799999996E-2</v>
      </c>
      <c r="MG7">
        <v>0.32268028259999998</v>
      </c>
      <c r="MH7">
        <v>0.20311694299999999</v>
      </c>
      <c r="MI7">
        <v>7.6480452640000002E-2</v>
      </c>
      <c r="MJ7">
        <v>7.8165729099999998E-2</v>
      </c>
      <c r="MK7">
        <v>0.48518660590000001</v>
      </c>
      <c r="ML7">
        <v>0.39832625449999998</v>
      </c>
      <c r="MM7">
        <v>0.10003654269999999</v>
      </c>
      <c r="MN7">
        <v>0.165577</v>
      </c>
      <c r="MO7">
        <v>0.69396400000000003</v>
      </c>
      <c r="MP7">
        <v>0.2465495529</v>
      </c>
      <c r="MQ7">
        <v>6.2719532669999994E-2</v>
      </c>
      <c r="MR7">
        <v>0.11502800000000001</v>
      </c>
      <c r="MS7">
        <v>0.411719</v>
      </c>
      <c r="MT7">
        <v>0.39832625449999998</v>
      </c>
      <c r="MU7">
        <v>0.10003654269999999</v>
      </c>
      <c r="MV7">
        <v>0.165577</v>
      </c>
      <c r="MW7">
        <v>0.69396400000000003</v>
      </c>
      <c r="MX7">
        <v>8.0235295090000006E-2</v>
      </c>
      <c r="MY7">
        <v>1.7428810279999998E-2</v>
      </c>
      <c r="MZ7">
        <v>4.0827117429999997E-2</v>
      </c>
      <c r="NA7">
        <v>0.1234839033</v>
      </c>
      <c r="NB7">
        <v>9.9237671489999998E-2</v>
      </c>
      <c r="NC7">
        <v>2.1821868590000001E-2</v>
      </c>
      <c r="ND7">
        <v>4.7906453180000003E-2</v>
      </c>
      <c r="NE7">
        <v>0.15533646770000001</v>
      </c>
      <c r="NF7">
        <v>-7.2136460400000005E-2</v>
      </c>
      <c r="NG7">
        <v>0.5064757164</v>
      </c>
      <c r="NH7">
        <v>-1.808178906</v>
      </c>
      <c r="NI7">
        <v>1.1907869680000001</v>
      </c>
      <c r="NJ7">
        <v>2.6451270920000001</v>
      </c>
      <c r="NK7">
        <v>0.76683939440000004</v>
      </c>
      <c r="NL7">
        <v>1.5650625469999999</v>
      </c>
      <c r="NM7">
        <v>6.8852578810000002</v>
      </c>
      <c r="NN7">
        <v>1.789911346</v>
      </c>
      <c r="NO7">
        <v>0.50215198080000001</v>
      </c>
      <c r="NP7">
        <v>1.0874399960000001</v>
      </c>
      <c r="NQ7">
        <v>4.7140799839999996</v>
      </c>
      <c r="NR7">
        <v>1.8224782830000001E-2</v>
      </c>
      <c r="NS7">
        <v>4.2179413459999997E-3</v>
      </c>
      <c r="NT7">
        <v>9.0381306169999998E-3</v>
      </c>
      <c r="NU7">
        <v>2.8483128619999999E-2</v>
      </c>
      <c r="NV7">
        <v>100</v>
      </c>
      <c r="NW7">
        <v>0</v>
      </c>
      <c r="NX7">
        <v>100</v>
      </c>
      <c r="NY7">
        <v>100</v>
      </c>
      <c r="NZ7">
        <v>0.17235215670000001</v>
      </c>
      <c r="OA7">
        <v>4.0621810750000001E-2</v>
      </c>
      <c r="OB7">
        <v>9.8197373160000004E-2</v>
      </c>
      <c r="OC7">
        <v>0.29719527350000002</v>
      </c>
      <c r="OD7">
        <v>16.484085489999998</v>
      </c>
      <c r="OE7">
        <v>5.1653409989999997</v>
      </c>
      <c r="OF7">
        <v>0</v>
      </c>
      <c r="OG7">
        <v>29.544449360000002</v>
      </c>
      <c r="OH7">
        <v>5.9136152160000002</v>
      </c>
      <c r="OI7">
        <v>1.257666942</v>
      </c>
      <c r="OJ7">
        <v>2.1213046950000001</v>
      </c>
      <c r="OK7">
        <v>9.1959096910000007</v>
      </c>
      <c r="OL7">
        <v>0.2149207669</v>
      </c>
      <c r="OM7">
        <v>-0.17070955339999999</v>
      </c>
      <c r="ON7">
        <v>4.5086553479999996</v>
      </c>
      <c r="OO7">
        <v>1.470893</v>
      </c>
      <c r="OP7">
        <v>1.3717459999999999</v>
      </c>
      <c r="OQ7">
        <v>2.8426390000000001</v>
      </c>
      <c r="OR7">
        <v>0.1634328981</v>
      </c>
      <c r="OS7" s="2">
        <v>1.172203567E-5</v>
      </c>
      <c r="OT7">
        <v>2.6163965149999998E-4</v>
      </c>
      <c r="OU7" s="2">
        <v>1.172203567E-5</v>
      </c>
      <c r="OV7">
        <v>1.7792596769999999E-4</v>
      </c>
      <c r="OW7">
        <v>2.331930323E-4</v>
      </c>
      <c r="OX7" s="2">
        <v>2.8446619179999999E-5</v>
      </c>
      <c r="OY7">
        <v>0.48929127300000003</v>
      </c>
      <c r="OZ7">
        <v>0.2348317748</v>
      </c>
      <c r="PA7">
        <v>0.27647614679999999</v>
      </c>
      <c r="PB7">
        <v>9.8278330129999993</v>
      </c>
      <c r="PC7">
        <v>88.062581129999998</v>
      </c>
      <c r="PD7">
        <v>0.20539428739999999</v>
      </c>
      <c r="PE7">
        <v>-0.20165772779999999</v>
      </c>
      <c r="PF7">
        <v>3.4887759260000002</v>
      </c>
      <c r="PG7">
        <v>1.0507610000000001</v>
      </c>
      <c r="PH7">
        <v>1.1212470000000001</v>
      </c>
      <c r="PI7">
        <v>2.1720079999999999</v>
      </c>
      <c r="PJ7">
        <v>0.1598887833</v>
      </c>
      <c r="PK7" s="2">
        <v>1.0094463629999999E-5</v>
      </c>
      <c r="PL7">
        <v>2.588657175E-4</v>
      </c>
      <c r="PM7" s="2">
        <v>1.0094463629999999E-5</v>
      </c>
      <c r="PN7">
        <v>1.7700162730000001E-4</v>
      </c>
      <c r="PO7">
        <v>2.319923727E-4</v>
      </c>
      <c r="PP7" s="2">
        <v>2.687334472E-5</v>
      </c>
      <c r="PQ7">
        <v>0.49054888229999999</v>
      </c>
      <c r="PR7">
        <v>0.20150975430000001</v>
      </c>
      <c r="PS7">
        <v>0.25117420540000002</v>
      </c>
      <c r="PT7">
        <v>9.6689821429999991</v>
      </c>
      <c r="PU7">
        <v>88.246164730000004</v>
      </c>
      <c r="PV7">
        <v>0.67956847760000005</v>
      </c>
      <c r="PW7">
        <v>0.28153717639999998</v>
      </c>
      <c r="PX7">
        <v>0.28744335329999998</v>
      </c>
      <c r="PY7">
        <v>10.015176739999999</v>
      </c>
      <c r="PZ7">
        <v>89.602424679999999</v>
      </c>
      <c r="QA7">
        <v>0.6798467346</v>
      </c>
      <c r="QB7">
        <v>0.24583377470000001</v>
      </c>
      <c r="QC7">
        <v>0.2600701708</v>
      </c>
      <c r="QD7">
        <v>9.9701110780000004</v>
      </c>
      <c r="QE7">
        <v>90.211435510000001</v>
      </c>
      <c r="QF7" s="2">
        <v>1.4072539330000001E-5</v>
      </c>
      <c r="QG7">
        <v>2.4123984990000001E-4</v>
      </c>
      <c r="QH7">
        <v>3.237771501E-4</v>
      </c>
      <c r="QI7" s="2">
        <v>3.1940422639999999E-5</v>
      </c>
      <c r="QJ7" s="2">
        <v>1.23043942E-5</v>
      </c>
      <c r="QK7">
        <v>2.3958342940000001E-4</v>
      </c>
      <c r="QL7">
        <v>3.2271557059999998E-4</v>
      </c>
      <c r="QM7" s="2">
        <v>2.9682891349999999E-5</v>
      </c>
      <c r="QN7">
        <v>39.475228819999998</v>
      </c>
      <c r="QO7">
        <v>89.986734909999996</v>
      </c>
      <c r="QP7">
        <v>104.77443169999999</v>
      </c>
      <c r="QQ7">
        <v>120.7406256</v>
      </c>
      <c r="QR7">
        <v>37.433252349999997</v>
      </c>
      <c r="QS7">
        <v>89.986620740000006</v>
      </c>
      <c r="QT7">
        <v>104.774235</v>
      </c>
      <c r="QU7">
        <v>120.7394819</v>
      </c>
    </row>
    <row r="8" spans="1:463" x14ac:dyDescent="0.2">
      <c r="A8" t="s">
        <v>280</v>
      </c>
      <c r="B8" s="2">
        <v>-8.5361056949999998E-12</v>
      </c>
      <c r="C8" s="2">
        <v>7.4627778199999995E-12</v>
      </c>
      <c r="D8">
        <v>1.220720392E-3</v>
      </c>
      <c r="E8">
        <v>6.8333680329999993E-2</v>
      </c>
      <c r="F8">
        <v>0.60891666060000005</v>
      </c>
      <c r="G8">
        <v>3.749875467E-3</v>
      </c>
      <c r="H8">
        <v>0.2099111256</v>
      </c>
      <c r="I8">
        <v>1.8705034039999999</v>
      </c>
      <c r="J8">
        <v>32.552404119999998</v>
      </c>
      <c r="K8">
        <v>32.553624839999998</v>
      </c>
      <c r="L8">
        <v>32.553624839999998</v>
      </c>
      <c r="M8">
        <v>32.553624839999998</v>
      </c>
      <c r="N8">
        <v>32.485291160000003</v>
      </c>
      <c r="O8">
        <v>32.553624839999998</v>
      </c>
      <c r="P8">
        <v>31.944708179999999</v>
      </c>
      <c r="Q8">
        <v>32.553624839999998</v>
      </c>
      <c r="R8">
        <v>0.98166248320000005</v>
      </c>
      <c r="S8">
        <v>0.165410221</v>
      </c>
      <c r="T8">
        <v>0.65569675979999997</v>
      </c>
      <c r="U8">
        <v>1.3696820430000001</v>
      </c>
      <c r="V8">
        <v>1.256642327</v>
      </c>
      <c r="W8">
        <v>0.16179651389999999</v>
      </c>
      <c r="X8">
        <v>0.78790399200000005</v>
      </c>
      <c r="Y8">
        <v>1.677062952</v>
      </c>
      <c r="Z8">
        <v>2.2383048109999999</v>
      </c>
      <c r="AA8">
        <v>0.21790721969999999</v>
      </c>
      <c r="AB8">
        <v>1.529188</v>
      </c>
      <c r="AC8">
        <v>2.5479729999999998</v>
      </c>
      <c r="AD8">
        <v>0.6322969517</v>
      </c>
      <c r="AE8">
        <v>6.0600133719999998E-2</v>
      </c>
      <c r="AF8">
        <v>0.48167274430000001</v>
      </c>
      <c r="AG8">
        <v>0.74640270730000002</v>
      </c>
      <c r="AH8">
        <v>2.2383048109999999</v>
      </c>
      <c r="AI8">
        <v>0.21790721969999999</v>
      </c>
      <c r="AJ8">
        <v>1.529188</v>
      </c>
      <c r="AK8">
        <v>2.5479729999999998</v>
      </c>
      <c r="AL8">
        <v>0.1987579015</v>
      </c>
      <c r="AM8">
        <v>2.1224941760000001E-2</v>
      </c>
      <c r="AN8">
        <v>0.1472023663</v>
      </c>
      <c r="AO8">
        <v>0.25534743469999999</v>
      </c>
      <c r="AP8">
        <v>0.25820092620000001</v>
      </c>
      <c r="AQ8">
        <v>2.662998611E-2</v>
      </c>
      <c r="AR8">
        <v>0.19166014980000001</v>
      </c>
      <c r="AS8">
        <v>0.32882215850000002</v>
      </c>
      <c r="AT8">
        <v>-0.36219443890000003</v>
      </c>
      <c r="AU8">
        <v>0.1701675108</v>
      </c>
      <c r="AV8">
        <v>-0.85081312899999995</v>
      </c>
      <c r="AW8">
        <v>5.9432034359999997E-2</v>
      </c>
      <c r="AX8">
        <v>4.1728674159999999</v>
      </c>
      <c r="AY8">
        <v>0.49448748040000001</v>
      </c>
      <c r="AZ8">
        <v>3.2518914209999998</v>
      </c>
      <c r="BA8">
        <v>5.8922195029999997</v>
      </c>
      <c r="BB8">
        <v>3.422019364E-2</v>
      </c>
      <c r="BC8">
        <v>3.727520159E-3</v>
      </c>
      <c r="BD8">
        <v>2.7760178480000001E-2</v>
      </c>
      <c r="BE8">
        <v>5.002499983E-2</v>
      </c>
      <c r="BF8">
        <v>4.1153631539999997</v>
      </c>
      <c r="BG8">
        <v>0.42005177360000001</v>
      </c>
      <c r="BH8">
        <v>2.8166528749999999</v>
      </c>
      <c r="BI8">
        <v>4.9987528120000002</v>
      </c>
      <c r="BJ8">
        <v>53.75672797</v>
      </c>
      <c r="BK8">
        <v>24.240315420000002</v>
      </c>
      <c r="BL8">
        <v>6.5900044229999999</v>
      </c>
      <c r="BM8">
        <v>94.427244580000007</v>
      </c>
      <c r="BN8">
        <v>0.40173487229999999</v>
      </c>
      <c r="BO8">
        <v>4.6770034170000002E-2</v>
      </c>
      <c r="BP8">
        <v>0.29433436439999999</v>
      </c>
      <c r="BQ8">
        <v>0.52091316139999999</v>
      </c>
      <c r="BR8">
        <v>295.46403240000001</v>
      </c>
      <c r="BS8">
        <v>30.114558299999999</v>
      </c>
      <c r="BT8">
        <v>199.90005070000001</v>
      </c>
      <c r="BU8">
        <v>360.22823160000002</v>
      </c>
      <c r="BV8">
        <v>0.74126492740000005</v>
      </c>
      <c r="BW8">
        <v>0.14143836779999999</v>
      </c>
      <c r="BX8">
        <v>0.38301308670000001</v>
      </c>
      <c r="BY8">
        <v>1.0278163579999999</v>
      </c>
      <c r="BZ8">
        <v>0.87752673049999996</v>
      </c>
      <c r="CA8">
        <v>0.1263960214</v>
      </c>
      <c r="CB8">
        <v>0.61862994159999996</v>
      </c>
      <c r="CC8">
        <v>1.175047913</v>
      </c>
      <c r="CD8">
        <v>1.6187916579999999</v>
      </c>
      <c r="CE8">
        <v>7.0259045179999993E-2</v>
      </c>
      <c r="CF8">
        <v>1.1710309999999999</v>
      </c>
      <c r="CG8">
        <v>1.681799</v>
      </c>
      <c r="CH8">
        <v>0.58555266910000003</v>
      </c>
      <c r="CI8">
        <v>4.8871726380000001E-2</v>
      </c>
      <c r="CJ8">
        <v>0.46326510809999999</v>
      </c>
      <c r="CK8">
        <v>0.68933537629999997</v>
      </c>
      <c r="CL8">
        <v>1.6187916579999999</v>
      </c>
      <c r="CM8">
        <v>7.0259045179999993E-2</v>
      </c>
      <c r="CN8">
        <v>1.1710309999999999</v>
      </c>
      <c r="CO8">
        <v>1.681799</v>
      </c>
      <c r="CP8">
        <v>0.19535927040000001</v>
      </c>
      <c r="CQ8">
        <v>2.032162857E-2</v>
      </c>
      <c r="CR8">
        <v>0.14677278199999999</v>
      </c>
      <c r="CS8">
        <v>0.24724586139999999</v>
      </c>
      <c r="CT8">
        <v>0.24913073550000001</v>
      </c>
      <c r="CU8">
        <v>2.426214296E-2</v>
      </c>
      <c r="CV8">
        <v>0.18970126470000001</v>
      </c>
      <c r="CW8">
        <v>0.3083582004</v>
      </c>
      <c r="CX8">
        <v>-0.27568766810000001</v>
      </c>
      <c r="CY8">
        <v>0.1720272176</v>
      </c>
      <c r="CZ8">
        <v>-0.79952845630000002</v>
      </c>
      <c r="DA8">
        <v>0.14017793049999999</v>
      </c>
      <c r="DB8">
        <v>3.3703891939999999</v>
      </c>
      <c r="DC8">
        <v>0.28586720989999997</v>
      </c>
      <c r="DD8">
        <v>2.8058670289999998</v>
      </c>
      <c r="DE8">
        <v>4.3126860999999996</v>
      </c>
      <c r="DF8">
        <v>3.192293962E-2</v>
      </c>
      <c r="DG8">
        <v>3.3572337419999999E-3</v>
      </c>
      <c r="DH8">
        <v>2.5716099499999999E-2</v>
      </c>
      <c r="DI8">
        <v>4.6650225400000002E-2</v>
      </c>
      <c r="DJ8">
        <v>3.959447275</v>
      </c>
      <c r="DK8">
        <v>0.37658888280000002</v>
      </c>
      <c r="DL8">
        <v>2.7490945899999999</v>
      </c>
      <c r="DM8">
        <v>4.8190304700000004</v>
      </c>
      <c r="DN8">
        <v>82.396281500000001</v>
      </c>
      <c r="DO8">
        <v>11.440803109999999</v>
      </c>
      <c r="DP8">
        <v>46.767058509999998</v>
      </c>
      <c r="DQ8">
        <v>99.624060150000005</v>
      </c>
      <c r="DR8">
        <v>0.40137928210000001</v>
      </c>
      <c r="DS8">
        <v>4.6524371100000003E-2</v>
      </c>
      <c r="DT8">
        <v>0.29443759489999999</v>
      </c>
      <c r="DU8">
        <v>0.52087840289999998</v>
      </c>
      <c r="DV8">
        <v>316.48729800000001</v>
      </c>
      <c r="DW8">
        <v>31.12570316</v>
      </c>
      <c r="DX8">
        <v>214.36123649999999</v>
      </c>
      <c r="DY8">
        <v>388.86146020000001</v>
      </c>
      <c r="DZ8">
        <v>0.71641440379999999</v>
      </c>
      <c r="EA8">
        <v>0.1140008708</v>
      </c>
      <c r="EB8">
        <v>0.47807451159999997</v>
      </c>
      <c r="EC8">
        <v>1.009813447</v>
      </c>
      <c r="ED8">
        <v>0.90833879539999995</v>
      </c>
      <c r="EE8">
        <v>0.11638585799999999</v>
      </c>
      <c r="EF8">
        <v>0.61838509699999999</v>
      </c>
      <c r="EG8">
        <v>1.311132655</v>
      </c>
      <c r="EH8">
        <v>1.6247531989999999</v>
      </c>
      <c r="EI8">
        <v>0.18941149939999999</v>
      </c>
      <c r="EJ8">
        <v>1.209681</v>
      </c>
      <c r="EK8">
        <v>2.0471915709999999</v>
      </c>
      <c r="EL8">
        <v>0.59533434780000005</v>
      </c>
      <c r="EM8">
        <v>5.9819171599999998E-2</v>
      </c>
      <c r="EN8">
        <v>0.42730771670000001</v>
      </c>
      <c r="EO8">
        <v>0.70926761829999996</v>
      </c>
      <c r="EP8">
        <v>2.175102737</v>
      </c>
      <c r="EQ8">
        <v>0.25104354410000002</v>
      </c>
      <c r="ER8">
        <v>1.4507220000000001</v>
      </c>
      <c r="ES8">
        <v>2.6851720000000001</v>
      </c>
      <c r="ET8">
        <v>0.17336665009999999</v>
      </c>
      <c r="EU8">
        <v>1.7041275200000001E-2</v>
      </c>
      <c r="EV8">
        <v>0.1205575669</v>
      </c>
      <c r="EW8">
        <v>0.20576418539999999</v>
      </c>
      <c r="EX8">
        <v>0.22852979870000001</v>
      </c>
      <c r="EY8">
        <v>2.3160192999999999E-2</v>
      </c>
      <c r="EZ8">
        <v>0.16248969730000001</v>
      </c>
      <c r="FA8">
        <v>0.27182338049999999</v>
      </c>
      <c r="FB8">
        <v>-0.40631973189999998</v>
      </c>
      <c r="FC8">
        <v>0.1969396148</v>
      </c>
      <c r="FD8">
        <v>-0.99620757979999996</v>
      </c>
      <c r="FE8">
        <v>0.11467875299999999</v>
      </c>
      <c r="FF8">
        <v>4.496094008</v>
      </c>
      <c r="FG8">
        <v>0.49117943180000001</v>
      </c>
      <c r="FH8">
        <v>3.3709207139999999</v>
      </c>
      <c r="FI8">
        <v>6.0970456820000001</v>
      </c>
      <c r="FJ8">
        <v>0.97068019110000003</v>
      </c>
      <c r="FK8">
        <v>0.17955998770000001</v>
      </c>
      <c r="FL8">
        <v>0.57505908299999997</v>
      </c>
      <c r="FM8">
        <v>1.3717430859999999</v>
      </c>
      <c r="FN8">
        <v>1.204422546</v>
      </c>
      <c r="FO8">
        <v>0.1681558614</v>
      </c>
      <c r="FP8">
        <v>0.73093248779999997</v>
      </c>
      <c r="FQ8">
        <v>1.6669499750000001</v>
      </c>
      <c r="FR8">
        <v>2.0444658950000001</v>
      </c>
      <c r="FS8">
        <v>0.26737766590000001</v>
      </c>
      <c r="FT8">
        <v>1.366541</v>
      </c>
      <c r="FU8">
        <v>2.6851720000000001</v>
      </c>
      <c r="FV8">
        <v>1.751521084</v>
      </c>
      <c r="FW8">
        <v>0.30871860140000001</v>
      </c>
      <c r="FX8">
        <v>1.0516129999999999</v>
      </c>
      <c r="FY8">
        <v>2.5144060000000001</v>
      </c>
      <c r="FZ8">
        <v>2.885506493E-2</v>
      </c>
      <c r="GA8">
        <v>2.1005697099999998E-3</v>
      </c>
      <c r="GB8">
        <v>2.3431008319999998E-2</v>
      </c>
      <c r="GC8">
        <v>3.6403137129999999E-2</v>
      </c>
      <c r="GD8">
        <v>4.1128051890000004</v>
      </c>
      <c r="GE8">
        <v>0.42601949779999998</v>
      </c>
      <c r="GF8">
        <v>2.8351614469999999</v>
      </c>
      <c r="GG8">
        <v>5.0616561659999997</v>
      </c>
      <c r="GH8">
        <v>55.845475440000001</v>
      </c>
      <c r="GI8">
        <v>27.457491640000001</v>
      </c>
      <c r="GJ8">
        <v>5.2942624970000001</v>
      </c>
      <c r="GK8">
        <v>98.522531400000005</v>
      </c>
      <c r="GL8">
        <v>0.34061189419999999</v>
      </c>
      <c r="GM8">
        <v>3.3043746800000003E-2</v>
      </c>
      <c r="GN8">
        <v>0.23001823430000001</v>
      </c>
      <c r="GO8">
        <v>0.40351825479999998</v>
      </c>
      <c r="GP8">
        <v>3.088855857</v>
      </c>
      <c r="GQ8">
        <v>0.79107394659999997</v>
      </c>
      <c r="GR8">
        <v>1.42821965</v>
      </c>
      <c r="GS8">
        <v>6.4762373799999997</v>
      </c>
      <c r="GT8">
        <v>348.38019750000001</v>
      </c>
      <c r="GU8">
        <v>25.16263846</v>
      </c>
      <c r="GV8">
        <v>274.70159960000001</v>
      </c>
      <c r="GW8">
        <v>426.78487680000001</v>
      </c>
      <c r="GX8">
        <v>0.61867134859999995</v>
      </c>
      <c r="GY8">
        <v>9.3463735039999996E-2</v>
      </c>
      <c r="GZ8">
        <v>0.3803306132</v>
      </c>
      <c r="HA8">
        <v>0.82146813350000003</v>
      </c>
      <c r="HB8">
        <v>0.75678920620000001</v>
      </c>
      <c r="HC8">
        <v>8.4470119019999998E-2</v>
      </c>
      <c r="HD8">
        <v>0.58214252889999996</v>
      </c>
      <c r="HE8">
        <v>1.035217295</v>
      </c>
      <c r="HF8">
        <v>1.3754605550000001</v>
      </c>
      <c r="HG8">
        <v>0.1035979767</v>
      </c>
      <c r="HH8">
        <v>1.033025571</v>
      </c>
      <c r="HI8">
        <v>1.6197448569999999</v>
      </c>
      <c r="HJ8">
        <v>0.55583292620000002</v>
      </c>
      <c r="HK8">
        <v>4.8965225080000001E-2</v>
      </c>
      <c r="HL8">
        <v>0.3975406447</v>
      </c>
      <c r="HM8">
        <v>0.66176188140000003</v>
      </c>
      <c r="HN8">
        <v>1.6781693580000001</v>
      </c>
      <c r="HO8">
        <v>0.12075571710000001</v>
      </c>
      <c r="HP8">
        <v>1.205211</v>
      </c>
      <c r="HQ8">
        <v>2.0336419999999999</v>
      </c>
      <c r="HR8">
        <v>0.16999372530000001</v>
      </c>
      <c r="HS8">
        <v>1.5781443419999999E-2</v>
      </c>
      <c r="HT8">
        <v>0.1195835282</v>
      </c>
      <c r="HU8">
        <v>0.2000211009</v>
      </c>
      <c r="HV8">
        <v>0.21977102339999999</v>
      </c>
      <c r="HW8">
        <v>2.0007759440000002E-2</v>
      </c>
      <c r="HX8">
        <v>0.15820510560000001</v>
      </c>
      <c r="HY8">
        <v>0.25861918509999998</v>
      </c>
      <c r="HZ8">
        <v>-0.3410845569</v>
      </c>
      <c r="IA8">
        <v>0.1988857057</v>
      </c>
      <c r="IB8">
        <v>-0.83290100499999997</v>
      </c>
      <c r="IC8">
        <v>0.1326345957</v>
      </c>
      <c r="ID8">
        <v>3.739247207</v>
      </c>
      <c r="IE8">
        <v>0.3125382464</v>
      </c>
      <c r="IF8">
        <v>2.846445342</v>
      </c>
      <c r="IG8">
        <v>4.6635322090000004</v>
      </c>
      <c r="IH8">
        <v>0.77362371259999996</v>
      </c>
      <c r="II8">
        <v>0.1222824928</v>
      </c>
      <c r="IJ8">
        <v>0.46424343340000002</v>
      </c>
      <c r="IK8">
        <v>1.0233119319999999</v>
      </c>
      <c r="IL8">
        <v>0.90454564530000003</v>
      </c>
      <c r="IM8">
        <v>0.1257805602</v>
      </c>
      <c r="IN8">
        <v>0.63709481459999995</v>
      </c>
      <c r="IO8">
        <v>1.3206118060000001</v>
      </c>
      <c r="IP8">
        <v>1.5780401260000001</v>
      </c>
      <c r="IQ8">
        <v>9.7691607989999998E-2</v>
      </c>
      <c r="IR8">
        <v>1.1298950000000001</v>
      </c>
      <c r="IS8">
        <v>1.7808919999999999</v>
      </c>
      <c r="IT8">
        <v>1.4545387160000001</v>
      </c>
      <c r="IU8">
        <v>0.14028446589999999</v>
      </c>
      <c r="IV8">
        <v>1.008977</v>
      </c>
      <c r="IW8">
        <v>1.718021</v>
      </c>
      <c r="IX8">
        <v>2.7338086679999998E-2</v>
      </c>
      <c r="IY8">
        <v>1.87972137E-3</v>
      </c>
      <c r="IZ8">
        <v>2.2395903540000001E-2</v>
      </c>
      <c r="JA8">
        <v>3.5703076799999997E-2</v>
      </c>
      <c r="JB8">
        <v>3.964417128</v>
      </c>
      <c r="JC8">
        <v>0.38513695599999997</v>
      </c>
      <c r="JD8">
        <v>2.772627505</v>
      </c>
      <c r="JE8">
        <v>4.9012731709999997</v>
      </c>
      <c r="JF8">
        <v>82.548828439999994</v>
      </c>
      <c r="JG8">
        <v>11.90798392</v>
      </c>
      <c r="JH8">
        <v>45.933909219999997</v>
      </c>
      <c r="JI8">
        <v>99.532134940000006</v>
      </c>
      <c r="JJ8">
        <v>0.34032240050000001</v>
      </c>
      <c r="JK8">
        <v>3.28961724E-2</v>
      </c>
      <c r="JL8">
        <v>0.22988619229999999</v>
      </c>
      <c r="JM8">
        <v>0.39913238359999997</v>
      </c>
      <c r="JN8">
        <v>4.8172232839999998</v>
      </c>
      <c r="JO8">
        <v>0.99068819429999999</v>
      </c>
      <c r="JP8">
        <v>2.5609455799999998</v>
      </c>
      <c r="JQ8">
        <v>8.6924402860000001</v>
      </c>
      <c r="JR8">
        <v>367.48994090000002</v>
      </c>
      <c r="JS8">
        <v>24.89549474</v>
      </c>
      <c r="JT8">
        <v>280.08790549999998</v>
      </c>
      <c r="JU8">
        <v>446.51022819999997</v>
      </c>
      <c r="JV8">
        <v>0.20079055260000001</v>
      </c>
      <c r="JW8">
        <v>6.7054045699999995E-2</v>
      </c>
      <c r="JX8">
        <v>8.3396123180000004E-2</v>
      </c>
      <c r="JY8">
        <v>0.3495780946</v>
      </c>
      <c r="JZ8">
        <v>0.20976806840000001</v>
      </c>
      <c r="KA8">
        <v>5.5971880680000002E-2</v>
      </c>
      <c r="KB8">
        <v>8.7086210529999999E-2</v>
      </c>
      <c r="KC8">
        <v>0.39250552849999998</v>
      </c>
      <c r="KD8">
        <v>0.41055862110000002</v>
      </c>
      <c r="KE8">
        <v>0.10163382379999999</v>
      </c>
      <c r="KF8">
        <v>0.208398</v>
      </c>
      <c r="KG8">
        <v>0.69433299999999998</v>
      </c>
      <c r="KH8">
        <v>0.26764410729999999</v>
      </c>
      <c r="KI8">
        <v>8.8236829409999995E-2</v>
      </c>
      <c r="KJ8">
        <v>0.10659100000000001</v>
      </c>
      <c r="KK8">
        <v>0.51204733329999996</v>
      </c>
      <c r="KL8">
        <v>0.41055862110000002</v>
      </c>
      <c r="KM8">
        <v>0.10163382379999999</v>
      </c>
      <c r="KN8">
        <v>0.208398</v>
      </c>
      <c r="KO8">
        <v>0.69433299999999998</v>
      </c>
      <c r="KP8">
        <v>8.4014193530000003E-2</v>
      </c>
      <c r="KQ8">
        <v>2.264627919E-2</v>
      </c>
      <c r="KR8">
        <v>4.6586717079999999E-2</v>
      </c>
      <c r="KS8">
        <v>0.147822802</v>
      </c>
      <c r="KT8">
        <v>0.10312131939999999</v>
      </c>
      <c r="KU8">
        <v>2.621342451E-2</v>
      </c>
      <c r="KV8">
        <v>5.3612044890000002E-2</v>
      </c>
      <c r="KW8">
        <v>0.17214695099999999</v>
      </c>
      <c r="KX8">
        <v>-0.144394458</v>
      </c>
      <c r="KY8">
        <v>0.536611532</v>
      </c>
      <c r="KZ8">
        <v>-1.572844908</v>
      </c>
      <c r="LA8">
        <v>1.0341865690000001</v>
      </c>
      <c r="LB8">
        <v>2.6639994229999999</v>
      </c>
      <c r="LC8">
        <v>0.63679288479999996</v>
      </c>
      <c r="LD8">
        <v>1.7449939210000001</v>
      </c>
      <c r="LE8">
        <v>5.3324102230000001</v>
      </c>
      <c r="LF8">
        <v>1.7309317070000001</v>
      </c>
      <c r="LG8">
        <v>0.54512658120000002</v>
      </c>
      <c r="LH8">
        <v>0.52853999819999997</v>
      </c>
      <c r="LI8">
        <v>4.1993399849999999</v>
      </c>
      <c r="LJ8">
        <v>1.9132307599999999E-2</v>
      </c>
      <c r="LK8">
        <v>5.7489387370000004E-3</v>
      </c>
      <c r="LL8">
        <v>1.051362152E-2</v>
      </c>
      <c r="LM8">
        <v>3.7360847990000001E-2</v>
      </c>
      <c r="LN8">
        <v>100</v>
      </c>
      <c r="LO8">
        <v>0</v>
      </c>
      <c r="LP8">
        <v>100</v>
      </c>
      <c r="LQ8">
        <v>100</v>
      </c>
      <c r="LR8">
        <v>0.1804995523</v>
      </c>
      <c r="LS8">
        <v>5.6576886219999997E-2</v>
      </c>
      <c r="LT8">
        <v>8.3356904460000006E-2</v>
      </c>
      <c r="LU8">
        <v>0.35368477339999999</v>
      </c>
      <c r="LV8">
        <v>17.071165300000001</v>
      </c>
      <c r="LW8">
        <v>5.1611188840000004</v>
      </c>
      <c r="LX8">
        <v>4.3343653250000003</v>
      </c>
      <c r="LY8">
        <v>28.018575850000001</v>
      </c>
      <c r="LZ8">
        <v>6.2573844029999997</v>
      </c>
      <c r="MA8">
        <v>1.8451879440000001</v>
      </c>
      <c r="MB8">
        <v>2.3813265979999998</v>
      </c>
      <c r="MC8">
        <v>18.920043960000001</v>
      </c>
      <c r="MD8">
        <v>0.19731796970000001</v>
      </c>
      <c r="ME8">
        <v>6.602321958E-2</v>
      </c>
      <c r="MF8">
        <v>8.1387686639999998E-2</v>
      </c>
      <c r="MG8">
        <v>0.34623781710000001</v>
      </c>
      <c r="MH8">
        <v>0.2048803619</v>
      </c>
      <c r="MI8">
        <v>5.332627266E-2</v>
      </c>
      <c r="MJ8">
        <v>8.5958064570000006E-2</v>
      </c>
      <c r="MK8">
        <v>0.34826576819999999</v>
      </c>
      <c r="ML8">
        <v>0.40219833160000001</v>
      </c>
      <c r="MM8">
        <v>9.8657173259999995E-2</v>
      </c>
      <c r="MN8">
        <v>0.20749600000000001</v>
      </c>
      <c r="MO8">
        <v>0.64373100000000005</v>
      </c>
      <c r="MP8">
        <v>0.26214072560000001</v>
      </c>
      <c r="MQ8">
        <v>8.7702117900000001E-2</v>
      </c>
      <c r="MR8">
        <v>0.104999</v>
      </c>
      <c r="MS8">
        <v>0.48506666669999998</v>
      </c>
      <c r="MT8">
        <v>0.40219833160000001</v>
      </c>
      <c r="MU8">
        <v>9.8657173259999995E-2</v>
      </c>
      <c r="MV8">
        <v>0.20749600000000001</v>
      </c>
      <c r="MW8">
        <v>0.64373100000000005</v>
      </c>
      <c r="MX8">
        <v>8.2622353309999993E-2</v>
      </c>
      <c r="MY8">
        <v>2.224800545E-2</v>
      </c>
      <c r="MZ8">
        <v>4.608589901E-2</v>
      </c>
      <c r="NA8">
        <v>0.1409265341</v>
      </c>
      <c r="NB8">
        <v>0.1013235809</v>
      </c>
      <c r="NC8">
        <v>2.5671483089999999E-2</v>
      </c>
      <c r="ND8">
        <v>5.4197448330000002E-2</v>
      </c>
      <c r="NE8">
        <v>0.16440540540000001</v>
      </c>
      <c r="NF8">
        <v>-0.14087862130000001</v>
      </c>
      <c r="NG8">
        <v>0.53599960049999995</v>
      </c>
      <c r="NH8">
        <v>-1.492979091</v>
      </c>
      <c r="NI8">
        <v>1.0142614560000001</v>
      </c>
      <c r="NJ8">
        <v>2.6515076180000001</v>
      </c>
      <c r="NK8">
        <v>0.633685685</v>
      </c>
      <c r="NL8">
        <v>1.725298338</v>
      </c>
      <c r="NM8">
        <v>5.354992084</v>
      </c>
      <c r="NN8">
        <v>1.730523171</v>
      </c>
      <c r="NO8">
        <v>0.52866319630000003</v>
      </c>
      <c r="NP8">
        <v>0.51059999820000002</v>
      </c>
      <c r="NQ8">
        <v>4.1979599849999998</v>
      </c>
      <c r="NR8">
        <v>1.8768505960000001E-2</v>
      </c>
      <c r="NS8">
        <v>5.6399338490000003E-3</v>
      </c>
      <c r="NT8">
        <v>1.0253712119999999E-2</v>
      </c>
      <c r="NU8">
        <v>3.5594540229999999E-2</v>
      </c>
      <c r="NV8">
        <v>100</v>
      </c>
      <c r="NW8">
        <v>0</v>
      </c>
      <c r="NX8">
        <v>100</v>
      </c>
      <c r="NY8">
        <v>100</v>
      </c>
      <c r="NZ8">
        <v>0.1777037769</v>
      </c>
      <c r="OA8">
        <v>5.5855839730000002E-2</v>
      </c>
      <c r="OB8">
        <v>8.0618494880000002E-2</v>
      </c>
      <c r="OC8">
        <v>0.34506870109999999</v>
      </c>
      <c r="OD8">
        <v>17.150397949999999</v>
      </c>
      <c r="OE8">
        <v>5.1592044550000002</v>
      </c>
      <c r="OF8">
        <v>4.3343653250000003</v>
      </c>
      <c r="OG8">
        <v>28.018575850000001</v>
      </c>
      <c r="OH8">
        <v>6.2205839139999997</v>
      </c>
      <c r="OI8">
        <v>1.73044971</v>
      </c>
      <c r="OJ8">
        <v>2.3821094139999999</v>
      </c>
      <c r="OK8">
        <v>19.58480226</v>
      </c>
      <c r="OL8">
        <v>0.2329776402</v>
      </c>
      <c r="OM8">
        <v>-0.45146752690000003</v>
      </c>
      <c r="ON8">
        <v>4.8755333590000003</v>
      </c>
      <c r="OO8">
        <v>1.4813689999999999</v>
      </c>
      <c r="OP8">
        <v>1.677249</v>
      </c>
      <c r="OQ8">
        <v>3.1586180000000001</v>
      </c>
      <c r="OR8">
        <v>0.17501856160000001</v>
      </c>
      <c r="OS8" s="2">
        <v>1.1867853039999999E-5</v>
      </c>
      <c r="OT8">
        <v>2.7935534159999998E-4</v>
      </c>
      <c r="OU8" s="2">
        <v>1.1867853039999999E-5</v>
      </c>
      <c r="OV8">
        <v>1.8836097620000001E-4</v>
      </c>
      <c r="OW8">
        <v>2.4594102380000001E-4</v>
      </c>
      <c r="OX8" s="2">
        <v>3.3414317840000002E-5</v>
      </c>
      <c r="OY8">
        <v>0.50633117240000003</v>
      </c>
      <c r="OZ8">
        <v>0.23758412079999999</v>
      </c>
      <c r="PA8">
        <v>0.33219024019999999</v>
      </c>
      <c r="PB8">
        <v>10.15050379</v>
      </c>
      <c r="PC8">
        <v>87.082959560000006</v>
      </c>
      <c r="PD8">
        <v>0.22373667259999999</v>
      </c>
      <c r="PE8">
        <v>-0.33886680200000002</v>
      </c>
      <c r="PF8">
        <v>3.767996981</v>
      </c>
      <c r="PG8">
        <v>1.1546369999999999</v>
      </c>
      <c r="PH8">
        <v>1.264205</v>
      </c>
      <c r="PI8">
        <v>2.4188420000000002</v>
      </c>
      <c r="PJ8">
        <v>0.17193864270000001</v>
      </c>
      <c r="PK8" s="2">
        <v>1.072502769E-5</v>
      </c>
      <c r="PL8">
        <v>2.7690080129999999E-4</v>
      </c>
      <c r="PM8" s="2">
        <v>1.072502769E-5</v>
      </c>
      <c r="PN8">
        <v>1.8848720899999999E-4</v>
      </c>
      <c r="PO8">
        <v>2.4543779100000003E-4</v>
      </c>
      <c r="PP8" s="2">
        <v>3.1463010329999998E-5</v>
      </c>
      <c r="PQ8">
        <v>0.50693196480000002</v>
      </c>
      <c r="PR8">
        <v>0.21494199520000001</v>
      </c>
      <c r="PS8">
        <v>0.30170177510000001</v>
      </c>
      <c r="PT8">
        <v>10.070961520000001</v>
      </c>
      <c r="PU8">
        <v>87.080890859999997</v>
      </c>
      <c r="PV8">
        <v>0.73646510509999996</v>
      </c>
      <c r="PW8">
        <v>0.29376870240000003</v>
      </c>
      <c r="PX8">
        <v>0.36207788530000001</v>
      </c>
      <c r="PY8">
        <v>11.020413420000001</v>
      </c>
      <c r="PZ8">
        <v>89.265180340000001</v>
      </c>
      <c r="QA8">
        <v>0.73622690609999997</v>
      </c>
      <c r="QB8">
        <v>0.27170423799999999</v>
      </c>
      <c r="QC8">
        <v>0.32512119540000001</v>
      </c>
      <c r="QD8">
        <v>10.990724119999999</v>
      </c>
      <c r="QE8">
        <v>89.276755350000002</v>
      </c>
      <c r="QF8" s="2">
        <v>1.43383711E-5</v>
      </c>
      <c r="QG8">
        <v>2.649589234E-4</v>
      </c>
      <c r="QH8">
        <v>3.6466907660000003E-4</v>
      </c>
      <c r="QI8" s="2">
        <v>3.8087665409999998E-5</v>
      </c>
      <c r="QJ8" s="2">
        <v>1.314275996E-5</v>
      </c>
      <c r="QK8">
        <v>2.6477376510000001E-4</v>
      </c>
      <c r="QL8">
        <v>3.6394223490000002E-4</v>
      </c>
      <c r="QM8" s="2">
        <v>3.6092603630000001E-5</v>
      </c>
      <c r="QN8" t="s">
        <v>244</v>
      </c>
      <c r="QO8">
        <v>89.972665680000006</v>
      </c>
      <c r="QP8">
        <v>108.2638335</v>
      </c>
      <c r="QQ8">
        <v>121.7565384</v>
      </c>
      <c r="QR8" t="s">
        <v>244</v>
      </c>
      <c r="QS8">
        <v>89.96529065</v>
      </c>
      <c r="QT8">
        <v>108.2623802</v>
      </c>
      <c r="QU8">
        <v>81.252814490000006</v>
      </c>
    </row>
    <row r="9" spans="1:463" x14ac:dyDescent="0.2">
      <c r="A9" t="s">
        <v>281</v>
      </c>
      <c r="B9" s="2">
        <v>-1.0911731689999999E-11</v>
      </c>
      <c r="C9" s="2">
        <v>3.631367007E-13</v>
      </c>
      <c r="D9">
        <v>1.1940587920000001E-3</v>
      </c>
      <c r="E9">
        <v>6.6594963140000005E-2</v>
      </c>
      <c r="F9">
        <v>0.60300730739999997</v>
      </c>
      <c r="G9">
        <v>3.6679749109999999E-3</v>
      </c>
      <c r="H9">
        <v>0.20457003930000001</v>
      </c>
      <c r="I9">
        <v>1.8523507299999999</v>
      </c>
      <c r="J9">
        <v>32.552430780000002</v>
      </c>
      <c r="K9">
        <v>32.553624839999998</v>
      </c>
      <c r="L9">
        <v>32.553624839999998</v>
      </c>
      <c r="M9">
        <v>32.553624839999998</v>
      </c>
      <c r="N9">
        <v>32.487029880000001</v>
      </c>
      <c r="O9">
        <v>32.553624839999998</v>
      </c>
      <c r="P9">
        <v>31.950617529999999</v>
      </c>
      <c r="Q9">
        <v>32.553624839999998</v>
      </c>
      <c r="R9">
        <v>1.1358450520000001</v>
      </c>
      <c r="S9">
        <v>0.19232658490000001</v>
      </c>
      <c r="T9">
        <v>0.69004638699999998</v>
      </c>
      <c r="U9">
        <v>1.529194961</v>
      </c>
      <c r="V9">
        <v>1.661226664</v>
      </c>
      <c r="W9">
        <v>0.19555271399999999</v>
      </c>
      <c r="X9">
        <v>1.0221994569999999</v>
      </c>
      <c r="Y9">
        <v>2.127924186</v>
      </c>
      <c r="Z9">
        <v>2.797071716</v>
      </c>
      <c r="AA9">
        <v>0.25473203220000001</v>
      </c>
      <c r="AB9">
        <v>2.0028169999999998</v>
      </c>
      <c r="AC9">
        <v>3.1379549999999998</v>
      </c>
      <c r="AD9">
        <v>0.77998371430000002</v>
      </c>
      <c r="AE9">
        <v>7.2543596990000001E-2</v>
      </c>
      <c r="AF9">
        <v>0.58833540650000005</v>
      </c>
      <c r="AG9">
        <v>0.90730491980000005</v>
      </c>
      <c r="AH9">
        <v>2.797071716</v>
      </c>
      <c r="AI9">
        <v>0.25473203220000001</v>
      </c>
      <c r="AJ9">
        <v>2.0028169999999998</v>
      </c>
      <c r="AK9">
        <v>3.1379549999999998</v>
      </c>
      <c r="AL9">
        <v>0.2377343895</v>
      </c>
      <c r="AM9">
        <v>2.410295954E-2</v>
      </c>
      <c r="AN9">
        <v>0.17732248689999999</v>
      </c>
      <c r="AO9">
        <v>0.30743098759999998</v>
      </c>
      <c r="AP9">
        <v>0.31339901650000002</v>
      </c>
      <c r="AQ9">
        <v>3.1328556760000001E-2</v>
      </c>
      <c r="AR9">
        <v>0.233537257</v>
      </c>
      <c r="AS9">
        <v>0.39582852229999999</v>
      </c>
      <c r="AT9">
        <v>-0.4784543134</v>
      </c>
      <c r="AU9">
        <v>0.1918366994</v>
      </c>
      <c r="AV9">
        <v>-1.0087005849999999</v>
      </c>
      <c r="AW9">
        <v>7.7275667949999998E-3</v>
      </c>
      <c r="AX9">
        <v>4.6611834700000001</v>
      </c>
      <c r="AY9">
        <v>0.58510873600000002</v>
      </c>
      <c r="AZ9">
        <v>3.2125796759999998</v>
      </c>
      <c r="BA9">
        <v>6.4882816649999997</v>
      </c>
      <c r="BB9">
        <v>3.2484945260000002E-2</v>
      </c>
      <c r="BC9">
        <v>3.8392894859999999E-3</v>
      </c>
      <c r="BD9">
        <v>2.468055768E-2</v>
      </c>
      <c r="BE9">
        <v>4.8000464950000002E-2</v>
      </c>
      <c r="BF9">
        <v>5.206696258</v>
      </c>
      <c r="BG9">
        <v>0.55934105160000003</v>
      </c>
      <c r="BH9">
        <v>3.5584683159999999</v>
      </c>
      <c r="BI9">
        <v>6.5196320610000003</v>
      </c>
      <c r="BJ9">
        <v>35.951669199999998</v>
      </c>
      <c r="BK9">
        <v>23.102556910000001</v>
      </c>
      <c r="BL9">
        <v>3.6267138430000001</v>
      </c>
      <c r="BM9">
        <v>89.568074719999998</v>
      </c>
      <c r="BN9">
        <v>0.47221956310000002</v>
      </c>
      <c r="BO9">
        <v>5.1228072370000002E-2</v>
      </c>
      <c r="BP9">
        <v>0.34097697570000002</v>
      </c>
      <c r="BQ9">
        <v>0.62000485439999997</v>
      </c>
      <c r="BR9">
        <v>311.87097899999998</v>
      </c>
      <c r="BS9">
        <v>34.707958990000002</v>
      </c>
      <c r="BT9">
        <v>208.3313153</v>
      </c>
      <c r="BU9">
        <v>405.17723009999997</v>
      </c>
      <c r="BV9">
        <v>0.86428553809999997</v>
      </c>
      <c r="BW9">
        <v>0.1552934805</v>
      </c>
      <c r="BX9">
        <v>0.49064036329999999</v>
      </c>
      <c r="BY9">
        <v>1.1858002679999999</v>
      </c>
      <c r="BZ9">
        <v>1.1131896569999999</v>
      </c>
      <c r="CA9">
        <v>0.14705988340000001</v>
      </c>
      <c r="CB9">
        <v>0.8001666395</v>
      </c>
      <c r="CC9">
        <v>1.463817637</v>
      </c>
      <c r="CD9">
        <v>1.977475195</v>
      </c>
      <c r="CE9">
        <v>5.6696822979999999E-2</v>
      </c>
      <c r="CF9">
        <v>1.59941</v>
      </c>
      <c r="CG9">
        <v>2.0550090000000001</v>
      </c>
      <c r="CH9">
        <v>0.72129990249999998</v>
      </c>
      <c r="CI9">
        <v>5.745909456E-2</v>
      </c>
      <c r="CJ9">
        <v>0.55529507209999995</v>
      </c>
      <c r="CK9">
        <v>0.84379457140000003</v>
      </c>
      <c r="CL9">
        <v>1.977475195</v>
      </c>
      <c r="CM9">
        <v>5.6696822979999999E-2</v>
      </c>
      <c r="CN9">
        <v>1.59941</v>
      </c>
      <c r="CO9">
        <v>2.0550090000000001</v>
      </c>
      <c r="CP9">
        <v>0.23333002329999999</v>
      </c>
      <c r="CQ9">
        <v>2.2853541929999999E-2</v>
      </c>
      <c r="CR9">
        <v>0.1764460155</v>
      </c>
      <c r="CS9">
        <v>0.3001969129</v>
      </c>
      <c r="CT9">
        <v>0.30083661789999999</v>
      </c>
      <c r="CU9">
        <v>2.7506392550000001E-2</v>
      </c>
      <c r="CV9">
        <v>0.22964380840000001</v>
      </c>
      <c r="CW9">
        <v>0.37682923369999999</v>
      </c>
      <c r="CX9">
        <v>-0.32864485919999997</v>
      </c>
      <c r="CY9">
        <v>0.19062078360000001</v>
      </c>
      <c r="CZ9">
        <v>-0.90218247080000002</v>
      </c>
      <c r="DA9">
        <v>0.1500525291</v>
      </c>
      <c r="DB9">
        <v>3.591267615</v>
      </c>
      <c r="DC9">
        <v>0.330327437</v>
      </c>
      <c r="DD9">
        <v>2.956217128</v>
      </c>
      <c r="DE9">
        <v>4.6501390679999997</v>
      </c>
      <c r="DF9">
        <v>3.0233180629999998E-2</v>
      </c>
      <c r="DG9">
        <v>3.5282002319999999E-3</v>
      </c>
      <c r="DH9">
        <v>2.2775073449999999E-2</v>
      </c>
      <c r="DI9">
        <v>4.3615774500000003E-2</v>
      </c>
      <c r="DJ9">
        <v>4.9994561119999998</v>
      </c>
      <c r="DK9">
        <v>0.49895710339999999</v>
      </c>
      <c r="DL9">
        <v>3.4487958249999999</v>
      </c>
      <c r="DM9">
        <v>6.1885865720000002</v>
      </c>
      <c r="DN9">
        <v>66.980339110000003</v>
      </c>
      <c r="DO9">
        <v>17.09290287</v>
      </c>
      <c r="DP9">
        <v>24.44556657</v>
      </c>
      <c r="DQ9">
        <v>97.478991600000001</v>
      </c>
      <c r="DR9">
        <v>0.47188328889999998</v>
      </c>
      <c r="DS9">
        <v>5.1043930199999997E-2</v>
      </c>
      <c r="DT9">
        <v>0.34068827190000001</v>
      </c>
      <c r="DU9">
        <v>0.62003046549999996</v>
      </c>
      <c r="DV9">
        <v>335.01038499999999</v>
      </c>
      <c r="DW9">
        <v>36.896320750000001</v>
      </c>
      <c r="DX9">
        <v>229.2748464</v>
      </c>
      <c r="DY9">
        <v>439.07652030000003</v>
      </c>
      <c r="DZ9">
        <v>0.84696011579999997</v>
      </c>
      <c r="EA9">
        <v>0.12527690890000001</v>
      </c>
      <c r="EB9">
        <v>0.55879678219999995</v>
      </c>
      <c r="EC9">
        <v>1.1165895079999999</v>
      </c>
      <c r="ED9">
        <v>1.1949619039999999</v>
      </c>
      <c r="EE9">
        <v>0.1435603536</v>
      </c>
      <c r="EF9">
        <v>0.81356767470000002</v>
      </c>
      <c r="EG9">
        <v>1.574865865</v>
      </c>
      <c r="EH9">
        <v>2.0419220199999999</v>
      </c>
      <c r="EI9">
        <v>0.22934373350000001</v>
      </c>
      <c r="EJ9">
        <v>1.4859154290000001</v>
      </c>
      <c r="EK9">
        <v>2.5629767139999999</v>
      </c>
      <c r="EL9">
        <v>0.74129638840000001</v>
      </c>
      <c r="EM9">
        <v>7.216350396E-2</v>
      </c>
      <c r="EN9">
        <v>0.5422602057</v>
      </c>
      <c r="EO9">
        <v>0.89283011999999995</v>
      </c>
      <c r="EP9">
        <v>2.7342098469999998</v>
      </c>
      <c r="EQ9">
        <v>0.27724480740000002</v>
      </c>
      <c r="ER9">
        <v>1.9576830000000001</v>
      </c>
      <c r="ES9">
        <v>3.259687</v>
      </c>
      <c r="ET9">
        <v>0.21281834059999999</v>
      </c>
      <c r="EU9">
        <v>2.093932096E-2</v>
      </c>
      <c r="EV9">
        <v>0.14562069790000001</v>
      </c>
      <c r="EW9">
        <v>0.26401639510000002</v>
      </c>
      <c r="EX9">
        <v>0.28385749580000003</v>
      </c>
      <c r="EY9">
        <v>2.9314398240000001E-2</v>
      </c>
      <c r="EZ9">
        <v>0.2026827736</v>
      </c>
      <c r="FA9">
        <v>0.3569201675</v>
      </c>
      <c r="FB9">
        <v>-0.51748796620000004</v>
      </c>
      <c r="FC9">
        <v>0.18498362469999999</v>
      </c>
      <c r="FD9">
        <v>-1.028963018</v>
      </c>
      <c r="FE9">
        <v>-5.0404600190000003E-2</v>
      </c>
      <c r="FF9">
        <v>4.8614609230000001</v>
      </c>
      <c r="FG9">
        <v>0.56990731579999998</v>
      </c>
      <c r="FH9">
        <v>3.5688781500000002</v>
      </c>
      <c r="FI9">
        <v>7.7457349779999998</v>
      </c>
      <c r="FJ9">
        <v>1.1323823989999999</v>
      </c>
      <c r="FK9">
        <v>0.18611675720000001</v>
      </c>
      <c r="FL9">
        <v>0.66935215780000001</v>
      </c>
      <c r="FM9">
        <v>1.5660570810000001</v>
      </c>
      <c r="FN9">
        <v>1.6018274480000001</v>
      </c>
      <c r="FO9">
        <v>0.1979019977</v>
      </c>
      <c r="FP9">
        <v>0.93227913080000002</v>
      </c>
      <c r="FQ9">
        <v>2.1195832819999998</v>
      </c>
      <c r="FR9">
        <v>2.587984611</v>
      </c>
      <c r="FS9">
        <v>0.29797985430000001</v>
      </c>
      <c r="FT9">
        <v>1.882485</v>
      </c>
      <c r="FU9">
        <v>3.1386850000000002</v>
      </c>
      <c r="FV9">
        <v>2.233244563</v>
      </c>
      <c r="FW9">
        <v>0.3765684742</v>
      </c>
      <c r="FX9">
        <v>1.3735459999999999</v>
      </c>
      <c r="FY9">
        <v>3.1040990000000002</v>
      </c>
      <c r="FZ9">
        <v>2.783786332E-2</v>
      </c>
      <c r="GA9">
        <v>2.0522923500000002E-3</v>
      </c>
      <c r="GB9">
        <v>2.2471093040000001E-2</v>
      </c>
      <c r="GC9">
        <v>3.4821131960000001E-2</v>
      </c>
      <c r="GD9">
        <v>5.2232126509999999</v>
      </c>
      <c r="GE9">
        <v>0.57087195670000002</v>
      </c>
      <c r="GF9">
        <v>3.5956214869999998</v>
      </c>
      <c r="GG9">
        <v>6.5481500339999998</v>
      </c>
      <c r="GH9">
        <v>35.330689290000002</v>
      </c>
      <c r="GI9">
        <v>24.019206629999999</v>
      </c>
      <c r="GJ9">
        <v>2.8318148239999998</v>
      </c>
      <c r="GK9">
        <v>93.006648609999999</v>
      </c>
      <c r="GL9">
        <v>0.41070381550000001</v>
      </c>
      <c r="GM9">
        <v>3.7865878550000003E-2</v>
      </c>
      <c r="GN9">
        <v>0.27565549049999999</v>
      </c>
      <c r="GO9">
        <v>0.49935770439999999</v>
      </c>
      <c r="GP9">
        <v>2.9945274839999998</v>
      </c>
      <c r="GQ9">
        <v>0.69041526769999995</v>
      </c>
      <c r="GR9">
        <v>1.20659936</v>
      </c>
      <c r="GS9">
        <v>5.0717101810000003</v>
      </c>
      <c r="GT9">
        <v>361.20677649999999</v>
      </c>
      <c r="GU9">
        <v>27.079914909999999</v>
      </c>
      <c r="GV9">
        <v>287.18193350000001</v>
      </c>
      <c r="GW9">
        <v>445.01618070000001</v>
      </c>
      <c r="GX9">
        <v>0.73990731279999999</v>
      </c>
      <c r="GY9">
        <v>9.7203127180000001E-2</v>
      </c>
      <c r="GZ9">
        <v>0.48398412889999998</v>
      </c>
      <c r="HA9">
        <v>0.94357811449999995</v>
      </c>
      <c r="HB9">
        <v>0.9626324557</v>
      </c>
      <c r="HC9">
        <v>9.1642932060000001E-2</v>
      </c>
      <c r="HD9">
        <v>0.75407065019999997</v>
      </c>
      <c r="HE9">
        <v>1.226859447</v>
      </c>
      <c r="HF9">
        <v>1.7025397680000001</v>
      </c>
      <c r="HG9">
        <v>0.1101983794</v>
      </c>
      <c r="HH9">
        <v>1.3120094289999999</v>
      </c>
      <c r="HI9">
        <v>1.9117121429999999</v>
      </c>
      <c r="HJ9">
        <v>0.68926344350000002</v>
      </c>
      <c r="HK9">
        <v>5.7733910979999997E-2</v>
      </c>
      <c r="HL9">
        <v>0.49993538739999999</v>
      </c>
      <c r="HM9">
        <v>0.82117934449999996</v>
      </c>
      <c r="HN9">
        <v>2.0451518210000001</v>
      </c>
      <c r="HO9">
        <v>0.1103104827</v>
      </c>
      <c r="HP9">
        <v>1.629623</v>
      </c>
      <c r="HQ9">
        <v>2.4046080000000001</v>
      </c>
      <c r="HR9">
        <v>0.2082442863</v>
      </c>
      <c r="HS9">
        <v>1.8941405339999998E-2</v>
      </c>
      <c r="HT9">
        <v>0.14418695149999999</v>
      </c>
      <c r="HU9">
        <v>0.25238389770000003</v>
      </c>
      <c r="HV9">
        <v>0.27150736110000001</v>
      </c>
      <c r="HW9">
        <v>2.4229832159999999E-2</v>
      </c>
      <c r="HX9">
        <v>0.1957262045</v>
      </c>
      <c r="HY9">
        <v>0.32781792370000001</v>
      </c>
      <c r="HZ9">
        <v>-0.39305192119999999</v>
      </c>
      <c r="IA9">
        <v>0.17796789139999999</v>
      </c>
      <c r="IB9">
        <v>-0.92852679530000004</v>
      </c>
      <c r="IC9">
        <v>4.4999544640000003E-3</v>
      </c>
      <c r="ID9">
        <v>3.9046961050000002</v>
      </c>
      <c r="IE9">
        <v>0.37050717300000002</v>
      </c>
      <c r="IF9">
        <v>3.0845274549999999</v>
      </c>
      <c r="IG9">
        <v>5.2583515949999997</v>
      </c>
      <c r="IH9">
        <v>0.91698560070000001</v>
      </c>
      <c r="II9">
        <v>0.1241018846</v>
      </c>
      <c r="IJ9">
        <v>0.5880110569</v>
      </c>
      <c r="IK9">
        <v>1.196737495</v>
      </c>
      <c r="IL9">
        <v>1.12816622</v>
      </c>
      <c r="IM9">
        <v>0.1362014205</v>
      </c>
      <c r="IN9">
        <v>0.8314174366</v>
      </c>
      <c r="IO9">
        <v>1.5344952789999999</v>
      </c>
      <c r="IP9">
        <v>1.941504468</v>
      </c>
      <c r="IQ9">
        <v>8.4176172940000002E-2</v>
      </c>
      <c r="IR9">
        <v>1.5643100000000001</v>
      </c>
      <c r="IS9">
        <v>2.147659</v>
      </c>
      <c r="IT9">
        <v>1.8063754839999999</v>
      </c>
      <c r="IU9">
        <v>0.1461857208</v>
      </c>
      <c r="IV9">
        <v>1.3735459999999999</v>
      </c>
      <c r="IW9">
        <v>2.147659</v>
      </c>
      <c r="IX9">
        <v>2.6229134679999998E-2</v>
      </c>
      <c r="IY9">
        <v>1.9349895099999999E-3</v>
      </c>
      <c r="IZ9">
        <v>2.1368769159999999E-2</v>
      </c>
      <c r="JA9">
        <v>3.2567999889999998E-2</v>
      </c>
      <c r="JB9">
        <v>5.0219325970000002</v>
      </c>
      <c r="JC9">
        <v>0.51305945590000002</v>
      </c>
      <c r="JD9">
        <v>3.4880671429999999</v>
      </c>
      <c r="JE9">
        <v>6.2628054049999999</v>
      </c>
      <c r="JF9">
        <v>63.642032559999997</v>
      </c>
      <c r="JG9">
        <v>17.23559393</v>
      </c>
      <c r="JH9">
        <v>22.416904689999999</v>
      </c>
      <c r="JI9">
        <v>96.601822209999995</v>
      </c>
      <c r="JJ9">
        <v>0.4103739032</v>
      </c>
      <c r="JK9">
        <v>3.7638590309999997E-2</v>
      </c>
      <c r="JL9">
        <v>0.27554532170000001</v>
      </c>
      <c r="JM9">
        <v>0.4980268886</v>
      </c>
      <c r="JN9">
        <v>4.936658102</v>
      </c>
      <c r="JO9">
        <v>1.0796562169999999</v>
      </c>
      <c r="JP9">
        <v>2.5609455799999998</v>
      </c>
      <c r="JQ9">
        <v>8.3230731349999996</v>
      </c>
      <c r="JR9">
        <v>383.35919180000002</v>
      </c>
      <c r="JS9">
        <v>28.69813306</v>
      </c>
      <c r="JT9">
        <v>307.04986600000001</v>
      </c>
      <c r="JU9">
        <v>467.97267199999999</v>
      </c>
      <c r="JV9">
        <v>0.21981859070000001</v>
      </c>
      <c r="JW9">
        <v>7.53659837E-2</v>
      </c>
      <c r="JX9">
        <v>8.435616387E-2</v>
      </c>
      <c r="JY9">
        <v>0.47306472840000002</v>
      </c>
      <c r="JZ9">
        <v>0.2383095724</v>
      </c>
      <c r="KA9">
        <v>6.6073698759999994E-2</v>
      </c>
      <c r="KB9">
        <v>0.113178362</v>
      </c>
      <c r="KC9">
        <v>0.4149578162</v>
      </c>
      <c r="KD9">
        <v>0.45812816319999999</v>
      </c>
      <c r="KE9">
        <v>0.12057245950000001</v>
      </c>
      <c r="KF9">
        <v>0.23807600000000001</v>
      </c>
      <c r="KG9">
        <v>0.80491199999999996</v>
      </c>
      <c r="KH9">
        <v>0.28890479689999998</v>
      </c>
      <c r="KI9">
        <v>0.1099030772</v>
      </c>
      <c r="KJ9">
        <v>9.0652999999999997E-2</v>
      </c>
      <c r="KK9">
        <v>0.57870366669999995</v>
      </c>
      <c r="KL9">
        <v>0.45812816319999999</v>
      </c>
      <c r="KM9">
        <v>0.12057245950000001</v>
      </c>
      <c r="KN9">
        <v>0.23807600000000001</v>
      </c>
      <c r="KO9">
        <v>0.80491199999999996</v>
      </c>
      <c r="KP9">
        <v>9.1345111640000004E-2</v>
      </c>
      <c r="KQ9">
        <v>2.8226916469999998E-2</v>
      </c>
      <c r="KR9">
        <v>4.7123200589999997E-2</v>
      </c>
      <c r="KS9">
        <v>0.1712678668</v>
      </c>
      <c r="KT9">
        <v>0.1126192292</v>
      </c>
      <c r="KU9">
        <v>3.1655390659999998E-2</v>
      </c>
      <c r="KV9">
        <v>5.9376216060000001E-2</v>
      </c>
      <c r="KW9">
        <v>0.19412337220000001</v>
      </c>
      <c r="KX9">
        <v>-0.2139559255</v>
      </c>
      <c r="KY9">
        <v>0.52886158920000004</v>
      </c>
      <c r="KZ9">
        <v>-1.8510381929999999</v>
      </c>
      <c r="LA9">
        <v>1.1418733489999999</v>
      </c>
      <c r="LB9">
        <v>2.76445147</v>
      </c>
      <c r="LC9">
        <v>0.78873502390000005</v>
      </c>
      <c r="LD9">
        <v>1.732469386</v>
      </c>
      <c r="LE9">
        <v>6.4020233150000001</v>
      </c>
      <c r="LF9">
        <v>1.5917373450000001</v>
      </c>
      <c r="LG9">
        <v>0.4236976817</v>
      </c>
      <c r="LH9">
        <v>0.69965999759999997</v>
      </c>
      <c r="LI9">
        <v>3.7729199869999999</v>
      </c>
      <c r="LJ9">
        <v>2.148538816E-2</v>
      </c>
      <c r="LK9">
        <v>7.1034016039999998E-3</v>
      </c>
      <c r="LL9">
        <v>1.046279525E-2</v>
      </c>
      <c r="LM9">
        <v>4.3264863289999997E-2</v>
      </c>
      <c r="LN9">
        <v>100</v>
      </c>
      <c r="LO9">
        <v>0</v>
      </c>
      <c r="LP9">
        <v>100</v>
      </c>
      <c r="LQ9">
        <v>100</v>
      </c>
      <c r="LR9">
        <v>0.1950765465</v>
      </c>
      <c r="LS9">
        <v>7.1144783020000005E-2</v>
      </c>
      <c r="LT9">
        <v>7.3259461999999997E-2</v>
      </c>
      <c r="LU9">
        <v>0.39538559810000001</v>
      </c>
      <c r="LV9">
        <v>15.71543877</v>
      </c>
      <c r="LW9">
        <v>5.4842349669999999</v>
      </c>
      <c r="LX9">
        <v>1.968155683</v>
      </c>
      <c r="LY9">
        <v>30.561698360000001</v>
      </c>
      <c r="LZ9">
        <v>6.6385101190000002</v>
      </c>
      <c r="MA9">
        <v>1.5062542569999999</v>
      </c>
      <c r="MB9">
        <v>2.6504670209999999</v>
      </c>
      <c r="MC9">
        <v>14.29265648</v>
      </c>
      <c r="MD9">
        <v>0.21535844039999999</v>
      </c>
      <c r="ME9">
        <v>7.3473256010000002E-2</v>
      </c>
      <c r="MF9">
        <v>8.4054654579999999E-2</v>
      </c>
      <c r="MG9">
        <v>0.44140588349999998</v>
      </c>
      <c r="MH9">
        <v>0.23286037540000001</v>
      </c>
      <c r="MI9">
        <v>6.4009606819999995E-2</v>
      </c>
      <c r="MJ9">
        <v>0.1024877322</v>
      </c>
      <c r="MK9">
        <v>0.38042773019999998</v>
      </c>
      <c r="ML9">
        <v>0.4482188158</v>
      </c>
      <c r="MM9">
        <v>0.11686308500000001</v>
      </c>
      <c r="MN9">
        <v>0.237126</v>
      </c>
      <c r="MO9">
        <v>0.75575700000000001</v>
      </c>
      <c r="MP9">
        <v>0.28484577239999997</v>
      </c>
      <c r="MQ9">
        <v>0.10891319670000001</v>
      </c>
      <c r="MR9">
        <v>8.5248000000000004E-2</v>
      </c>
      <c r="MS9">
        <v>0.55939666669999999</v>
      </c>
      <c r="MT9">
        <v>0.4482188158</v>
      </c>
      <c r="MU9">
        <v>0.11686308500000001</v>
      </c>
      <c r="MV9">
        <v>0.237126</v>
      </c>
      <c r="MW9">
        <v>0.75575700000000001</v>
      </c>
      <c r="MX9">
        <v>8.9725458960000004E-2</v>
      </c>
      <c r="MY9">
        <v>2.7768320530000001E-2</v>
      </c>
      <c r="MZ9">
        <v>4.7136229760000002E-2</v>
      </c>
      <c r="NA9">
        <v>0.16976230789999999</v>
      </c>
      <c r="NB9">
        <v>0.1105255097</v>
      </c>
      <c r="NC9">
        <v>3.103511078E-2</v>
      </c>
      <c r="ND9">
        <v>5.9451172900000002E-2</v>
      </c>
      <c r="NE9">
        <v>0.19190825980000001</v>
      </c>
      <c r="NF9">
        <v>-0.21470023599999999</v>
      </c>
      <c r="NG9">
        <v>0.53517117940000003</v>
      </c>
      <c r="NH9">
        <v>-1.8025242939999999</v>
      </c>
      <c r="NI9">
        <v>1.1865286610000001</v>
      </c>
      <c r="NJ9">
        <v>2.7596545730000002</v>
      </c>
      <c r="NK9">
        <v>0.80258602109999999</v>
      </c>
      <c r="NL9">
        <v>1.7224378920000001</v>
      </c>
      <c r="NM9">
        <v>6.2427270119999996</v>
      </c>
      <c r="NN9">
        <v>1.6424624569999999</v>
      </c>
      <c r="NO9">
        <v>0.48666729559999999</v>
      </c>
      <c r="NP9">
        <v>0.64307999780000002</v>
      </c>
      <c r="NQ9">
        <v>3.8736599869999999</v>
      </c>
      <c r="NR9">
        <v>2.1014886859999998E-2</v>
      </c>
      <c r="NS9">
        <v>6.9886978760000003E-3</v>
      </c>
      <c r="NT9">
        <v>1.059213602E-2</v>
      </c>
      <c r="NU9">
        <v>4.1956140740000002E-2</v>
      </c>
      <c r="NV9">
        <v>100</v>
      </c>
      <c r="NW9">
        <v>0</v>
      </c>
      <c r="NX9">
        <v>100</v>
      </c>
      <c r="NY9">
        <v>100</v>
      </c>
      <c r="NZ9">
        <v>0.191492723</v>
      </c>
      <c r="OA9">
        <v>7.0269861990000002E-2</v>
      </c>
      <c r="OB9">
        <v>7.1349628880000002E-2</v>
      </c>
      <c r="OC9">
        <v>0.39332088329999998</v>
      </c>
      <c r="OD9">
        <v>15.72332488</v>
      </c>
      <c r="OE9">
        <v>5.5564426210000004</v>
      </c>
      <c r="OF9">
        <v>2.0787262270000002</v>
      </c>
      <c r="OG9">
        <v>30.47324193</v>
      </c>
      <c r="OH9">
        <v>6.5067340380000003</v>
      </c>
      <c r="OI9">
        <v>1.6065846130000001</v>
      </c>
      <c r="OJ9">
        <v>2.5815378830000002</v>
      </c>
      <c r="OK9">
        <v>15.55016489</v>
      </c>
      <c r="OL9">
        <v>0.28835789519999999</v>
      </c>
      <c r="OM9">
        <v>-0.54732557410000005</v>
      </c>
      <c r="ON9">
        <v>5.3335169120000003</v>
      </c>
      <c r="OO9">
        <v>1.6058460000000001</v>
      </c>
      <c r="OP9">
        <v>2.1851729999999998</v>
      </c>
      <c r="OQ9">
        <v>3.7910189999999999</v>
      </c>
      <c r="OR9">
        <v>0.2138170898</v>
      </c>
      <c r="OS9" s="2">
        <v>1.4927685740000001E-5</v>
      </c>
      <c r="OT9">
        <v>3.443082513E-4</v>
      </c>
      <c r="OU9" s="2">
        <v>1.4927685740000001E-5</v>
      </c>
      <c r="OV9">
        <v>2.2596060469999999E-4</v>
      </c>
      <c r="OW9">
        <v>3.0200239529999998E-4</v>
      </c>
      <c r="OX9" s="2">
        <v>4.2305855939999998E-5</v>
      </c>
      <c r="OY9">
        <v>0.60835220769999998</v>
      </c>
      <c r="OZ9">
        <v>0.2997804556</v>
      </c>
      <c r="PA9">
        <v>0.4316510697</v>
      </c>
      <c r="PB9">
        <v>10.740144859999999</v>
      </c>
      <c r="PC9">
        <v>87.229690809999994</v>
      </c>
      <c r="PD9">
        <v>0.27546599490000001</v>
      </c>
      <c r="PE9">
        <v>-0.36195087869999998</v>
      </c>
      <c r="PF9">
        <v>3.914514681</v>
      </c>
      <c r="PG9">
        <v>1.2743420000000001</v>
      </c>
      <c r="PH9">
        <v>1.5253209999999999</v>
      </c>
      <c r="PI9">
        <v>2.7996629999999998</v>
      </c>
      <c r="PJ9">
        <v>0.20973533589999999</v>
      </c>
      <c r="PK9" s="2">
        <v>1.3581618530000001E-5</v>
      </c>
      <c r="PL9">
        <v>3.4131802160000001E-4</v>
      </c>
      <c r="PM9" s="2">
        <v>1.3581618530000001E-5</v>
      </c>
      <c r="PN9">
        <v>2.261328446E-4</v>
      </c>
      <c r="PO9">
        <v>3.0178315540000002E-4</v>
      </c>
      <c r="PP9" s="2">
        <v>3.9534866280000002E-5</v>
      </c>
      <c r="PQ9">
        <v>0.60889393930000002</v>
      </c>
      <c r="PR9">
        <v>0.27450638919999998</v>
      </c>
      <c r="PS9">
        <v>0.38824796610000001</v>
      </c>
      <c r="PT9">
        <v>10.70646932</v>
      </c>
      <c r="PU9">
        <v>87.237645950000001</v>
      </c>
      <c r="PV9">
        <v>0.85460909200000001</v>
      </c>
      <c r="PW9">
        <v>0.33419144940000001</v>
      </c>
      <c r="PX9">
        <v>0.46457401990000002</v>
      </c>
      <c r="PY9">
        <v>10.86400903</v>
      </c>
      <c r="PZ9">
        <v>89.210316520000006</v>
      </c>
      <c r="QA9">
        <v>0.8547543541</v>
      </c>
      <c r="QB9">
        <v>0.30890102139999998</v>
      </c>
      <c r="QC9">
        <v>0.41266794449999999</v>
      </c>
      <c r="QD9">
        <v>10.82995556</v>
      </c>
      <c r="QE9">
        <v>89.226130900000001</v>
      </c>
      <c r="QF9" s="2">
        <v>1.6380332499999999E-5</v>
      </c>
      <c r="QG9">
        <v>3.0626737180000001E-4</v>
      </c>
      <c r="QH9">
        <v>4.1974562820000001E-4</v>
      </c>
      <c r="QI9" s="2">
        <v>4.6880143469999998E-5</v>
      </c>
      <c r="QJ9" s="2">
        <v>1.504594998E-5</v>
      </c>
      <c r="QK9">
        <v>3.0610452390000001E-4</v>
      </c>
      <c r="QL9">
        <v>4.1915647609999998E-4</v>
      </c>
      <c r="QM9" s="2">
        <v>4.4047766129999997E-5</v>
      </c>
      <c r="QN9">
        <v>39.596826440000001</v>
      </c>
      <c r="QO9">
        <v>92.022693849999996</v>
      </c>
      <c r="QP9">
        <v>107.7861329</v>
      </c>
      <c r="QQ9">
        <v>101.9799731</v>
      </c>
      <c r="QR9">
        <v>37.585906540000003</v>
      </c>
      <c r="QS9">
        <v>92.02218336</v>
      </c>
      <c r="QT9">
        <v>101.9805997</v>
      </c>
      <c r="QU9">
        <v>108.2504157</v>
      </c>
    </row>
    <row r="10" spans="1:463" x14ac:dyDescent="0.2">
      <c r="A10" t="s">
        <v>282</v>
      </c>
      <c r="B10" s="2">
        <v>-1.0279111469999999E-11</v>
      </c>
      <c r="C10" s="2">
        <v>-1.2004069810000001E-11</v>
      </c>
      <c r="D10">
        <v>0.84499941379999999</v>
      </c>
      <c r="E10">
        <v>0.88337116910000002</v>
      </c>
      <c r="F10">
        <v>1.202851406</v>
      </c>
      <c r="G10">
        <v>2.8772663610000002</v>
      </c>
      <c r="H10">
        <v>3.0079241560000001</v>
      </c>
      <c r="I10">
        <v>4.0957707570000004</v>
      </c>
      <c r="J10">
        <v>28.523133659999999</v>
      </c>
      <c r="K10">
        <v>29.36813308</v>
      </c>
      <c r="L10">
        <v>29.36813308</v>
      </c>
      <c r="M10">
        <v>29.36813308</v>
      </c>
      <c r="N10">
        <v>28.48476191</v>
      </c>
      <c r="O10">
        <v>29.36813308</v>
      </c>
      <c r="P10">
        <v>28.165281669999999</v>
      </c>
      <c r="Q10">
        <v>29.36813308</v>
      </c>
      <c r="R10">
        <v>1.069545041</v>
      </c>
      <c r="S10">
        <v>0.16906797470000001</v>
      </c>
      <c r="T10">
        <v>0.70637043420000001</v>
      </c>
      <c r="U10">
        <v>1.488554672</v>
      </c>
      <c r="V10">
        <v>1.987750672</v>
      </c>
      <c r="W10">
        <v>0.56213133420000005</v>
      </c>
      <c r="X10">
        <v>1.1020710069999999</v>
      </c>
      <c r="Y10">
        <v>2.9658009390000002</v>
      </c>
      <c r="Z10">
        <v>3.0572957129999998</v>
      </c>
      <c r="AA10">
        <v>0.69879572320000005</v>
      </c>
      <c r="AB10">
        <v>1.870072</v>
      </c>
      <c r="AC10">
        <v>4.1949730000000001</v>
      </c>
      <c r="AD10">
        <v>0.91180014620000005</v>
      </c>
      <c r="AE10">
        <v>0.19867689390000001</v>
      </c>
      <c r="AF10">
        <v>0.57714222579999996</v>
      </c>
      <c r="AG10">
        <v>1.491279289</v>
      </c>
      <c r="AH10">
        <v>3.0572957129999998</v>
      </c>
      <c r="AI10">
        <v>0.69879572320000005</v>
      </c>
      <c r="AJ10">
        <v>1.870072</v>
      </c>
      <c r="AK10">
        <v>4.1949730000000001</v>
      </c>
      <c r="AL10">
        <v>0.42547487080000002</v>
      </c>
      <c r="AM10">
        <v>0.1212909199</v>
      </c>
      <c r="AN10">
        <v>0.25992255380000001</v>
      </c>
      <c r="AO10">
        <v>0.70173410329999997</v>
      </c>
      <c r="AP10">
        <v>0.52302724060000005</v>
      </c>
      <c r="AQ10">
        <v>0.145521339</v>
      </c>
      <c r="AR10">
        <v>0.32723003890000002</v>
      </c>
      <c r="AS10">
        <v>0.85002292479999997</v>
      </c>
      <c r="AT10">
        <v>-0.5005720347</v>
      </c>
      <c r="AU10">
        <v>0.2217891306</v>
      </c>
      <c r="AV10">
        <v>-1.1258149740000001</v>
      </c>
      <c r="AW10">
        <v>-4.1647870400000002E-2</v>
      </c>
      <c r="AX10">
        <v>3.0206632920000001</v>
      </c>
      <c r="AY10">
        <v>0.44028181080000001</v>
      </c>
      <c r="AZ10">
        <v>2.3538936079999999</v>
      </c>
      <c r="BA10">
        <v>4.7035452480000002</v>
      </c>
      <c r="BB10">
        <v>0.14805498510000001</v>
      </c>
      <c r="BC10">
        <v>7.6418901809999995E-2</v>
      </c>
      <c r="BD10">
        <v>6.8912657990000001E-2</v>
      </c>
      <c r="BE10">
        <v>0.70241999759999996</v>
      </c>
      <c r="BF10">
        <v>2.126438587</v>
      </c>
      <c r="BG10">
        <v>0.38559594479999998</v>
      </c>
      <c r="BH10">
        <v>0.38543744499999999</v>
      </c>
      <c r="BI10">
        <v>3.611251754</v>
      </c>
      <c r="BJ10">
        <v>51.112376750000003</v>
      </c>
      <c r="BK10">
        <v>10.78691871</v>
      </c>
      <c r="BL10">
        <v>25.695978790000002</v>
      </c>
      <c r="BM10">
        <v>78.899690680000006</v>
      </c>
      <c r="BN10">
        <v>0.92209084529999996</v>
      </c>
      <c r="BO10">
        <v>0.27145915570000001</v>
      </c>
      <c r="BP10">
        <v>0.54460997499999997</v>
      </c>
      <c r="BQ10">
        <v>1.5623820079999999</v>
      </c>
      <c r="BR10">
        <v>77.556756669999999</v>
      </c>
      <c r="BS10">
        <v>24.941254579999999</v>
      </c>
      <c r="BT10">
        <v>14.236496730000001</v>
      </c>
      <c r="BU10">
        <v>145.11122180000001</v>
      </c>
      <c r="BV10">
        <v>1.005426189</v>
      </c>
      <c r="BW10">
        <v>0.1375122181</v>
      </c>
      <c r="BX10">
        <v>0.65091663649999998</v>
      </c>
      <c r="BY10">
        <v>1.349953935</v>
      </c>
      <c r="BZ10">
        <v>1.663947332</v>
      </c>
      <c r="CA10">
        <v>0.2680362134</v>
      </c>
      <c r="CB10">
        <v>1.1020710069999999</v>
      </c>
      <c r="CC10">
        <v>2.0587806120000001</v>
      </c>
      <c r="CD10">
        <v>2.6693735200000002</v>
      </c>
      <c r="CE10">
        <v>0.34095701090000002</v>
      </c>
      <c r="CF10">
        <v>1.870072</v>
      </c>
      <c r="CG10">
        <v>3.030662</v>
      </c>
      <c r="CH10">
        <v>0.87005758460000004</v>
      </c>
      <c r="CI10">
        <v>0.15504428889999999</v>
      </c>
      <c r="CJ10">
        <v>0.57714222579999996</v>
      </c>
      <c r="CK10">
        <v>1.3191548500000001</v>
      </c>
      <c r="CL10">
        <v>2.6693735200000002</v>
      </c>
      <c r="CM10">
        <v>0.34095701090000002</v>
      </c>
      <c r="CN10">
        <v>1.870072</v>
      </c>
      <c r="CO10">
        <v>3.030662</v>
      </c>
      <c r="CP10">
        <v>0.42223621179999998</v>
      </c>
      <c r="CQ10">
        <v>0.1171652936</v>
      </c>
      <c r="CR10">
        <v>0.25992255380000001</v>
      </c>
      <c r="CS10">
        <v>0.68970021510000001</v>
      </c>
      <c r="CT10">
        <v>0.51566864960000003</v>
      </c>
      <c r="CU10">
        <v>0.1364061402</v>
      </c>
      <c r="CV10">
        <v>0.32723003890000002</v>
      </c>
      <c r="CW10">
        <v>0.82717851880000004</v>
      </c>
      <c r="CX10">
        <v>-0.45907894240000002</v>
      </c>
      <c r="CY10">
        <v>0.18384138089999999</v>
      </c>
      <c r="CZ10">
        <v>-1.1988896529999999</v>
      </c>
      <c r="DA10">
        <v>-4.1647870400000002E-2</v>
      </c>
      <c r="DB10">
        <v>2.8137356200000001</v>
      </c>
      <c r="DC10">
        <v>0.37389645529999999</v>
      </c>
      <c r="DD10">
        <v>2.2369908590000001</v>
      </c>
      <c r="DE10">
        <v>4.7633705959999997</v>
      </c>
      <c r="DF10">
        <v>0.14128628739999999</v>
      </c>
      <c r="DG10">
        <v>6.7152871909999995E-2</v>
      </c>
      <c r="DH10">
        <v>6.8912657990000001E-2</v>
      </c>
      <c r="DI10">
        <v>0.69850999759999999</v>
      </c>
      <c r="DJ10">
        <v>2.0923735219999999</v>
      </c>
      <c r="DK10">
        <v>0.35416569129999997</v>
      </c>
      <c r="DL10">
        <v>0.38208480789999999</v>
      </c>
      <c r="DM10">
        <v>3.4175155620000002</v>
      </c>
      <c r="DN10">
        <v>54.95164261</v>
      </c>
      <c r="DO10">
        <v>9.1697588880000005</v>
      </c>
      <c r="DP10">
        <v>36.478316720000002</v>
      </c>
      <c r="DQ10">
        <v>81.285903669999996</v>
      </c>
      <c r="DR10">
        <v>0.92180186770000005</v>
      </c>
      <c r="DS10">
        <v>0.27167022320000001</v>
      </c>
      <c r="DT10">
        <v>0.54460997499999997</v>
      </c>
      <c r="DU10">
        <v>1.562514102</v>
      </c>
      <c r="DV10">
        <v>79.744994410000004</v>
      </c>
      <c r="DW10">
        <v>23.887878409999999</v>
      </c>
      <c r="DX10">
        <v>14.316187360000001</v>
      </c>
      <c r="DY10">
        <v>145.11122180000001</v>
      </c>
      <c r="DZ10">
        <v>0.57842240069999995</v>
      </c>
      <c r="EA10">
        <v>0.124317873</v>
      </c>
      <c r="EB10">
        <v>0.18281869910000001</v>
      </c>
      <c r="EC10">
        <v>1.1267986109999999</v>
      </c>
      <c r="ED10">
        <v>0.95222548659999995</v>
      </c>
      <c r="EE10">
        <v>0.19254051759999999</v>
      </c>
      <c r="EF10">
        <v>0.42227432749999999</v>
      </c>
      <c r="EG10">
        <v>1.609768675</v>
      </c>
      <c r="EH10">
        <v>1.530647887</v>
      </c>
      <c r="EI10">
        <v>0.29976382000000001</v>
      </c>
      <c r="EJ10">
        <v>0.63301328570000004</v>
      </c>
      <c r="EK10">
        <v>2.7365672860000001</v>
      </c>
      <c r="EL10">
        <v>0.67223260520000006</v>
      </c>
      <c r="EM10">
        <v>0.1064353187</v>
      </c>
      <c r="EN10">
        <v>0.44257713329999998</v>
      </c>
      <c r="EO10">
        <v>1.0380031839999999</v>
      </c>
      <c r="EP10">
        <v>2.1240285669999999</v>
      </c>
      <c r="EQ10">
        <v>0.51795499909999998</v>
      </c>
      <c r="ER10">
        <v>1.2549269999999999</v>
      </c>
      <c r="ES10">
        <v>3.6984729999999999</v>
      </c>
      <c r="ET10">
        <v>0.2179855879</v>
      </c>
      <c r="EU10">
        <v>3.7500051690000001E-2</v>
      </c>
      <c r="EV10">
        <v>0.1052235153</v>
      </c>
      <c r="EW10">
        <v>0.3361511117</v>
      </c>
      <c r="EX10">
        <v>0.27799824989999999</v>
      </c>
      <c r="EY10">
        <v>4.8487302500000003E-2</v>
      </c>
      <c r="EZ10">
        <v>0.13978038740000001</v>
      </c>
      <c r="FA10">
        <v>0.4430526347</v>
      </c>
      <c r="FB10">
        <v>-0.68416519710000001</v>
      </c>
      <c r="FC10">
        <v>0.1868697751</v>
      </c>
      <c r="FD10">
        <v>-1.31520679</v>
      </c>
      <c r="FE10">
        <v>-0.2226664575</v>
      </c>
      <c r="FF10">
        <v>3.7857786569999998</v>
      </c>
      <c r="FG10">
        <v>0.68601902339999998</v>
      </c>
      <c r="FH10">
        <v>2.7509694159999998</v>
      </c>
      <c r="FI10">
        <v>6.8882359060000002</v>
      </c>
      <c r="FJ10">
        <v>0.79078670480000002</v>
      </c>
      <c r="FK10">
        <v>0.25253256029999999</v>
      </c>
      <c r="FL10">
        <v>0.28976084190000001</v>
      </c>
      <c r="FM10">
        <v>1.8596406519999999</v>
      </c>
      <c r="FN10">
        <v>1.3332418619999999</v>
      </c>
      <c r="FO10">
        <v>0.32793736950000002</v>
      </c>
      <c r="FP10">
        <v>0.77558559069999999</v>
      </c>
      <c r="FQ10">
        <v>2.541436628</v>
      </c>
      <c r="FR10">
        <v>2.004213257</v>
      </c>
      <c r="FS10">
        <v>0.46681053300000003</v>
      </c>
      <c r="FT10">
        <v>1.1824110000000001</v>
      </c>
      <c r="FU10">
        <v>3.4646819999999998</v>
      </c>
      <c r="FV10">
        <v>1.8032060700000001</v>
      </c>
      <c r="FW10">
        <v>0.5051945095</v>
      </c>
      <c r="FX10">
        <v>0.93523900000000004</v>
      </c>
      <c r="FY10">
        <v>3.0771459999999999</v>
      </c>
      <c r="FZ10">
        <v>6.3537340669999998E-2</v>
      </c>
      <c r="GA10">
        <v>2.8849478939999999E-2</v>
      </c>
      <c r="GB10">
        <v>4.9803214110000001E-2</v>
      </c>
      <c r="GC10">
        <v>0.39571499859999998</v>
      </c>
      <c r="GD10">
        <v>2.1197222899999999</v>
      </c>
      <c r="GE10">
        <v>0.40040814289999999</v>
      </c>
      <c r="GF10">
        <v>0.2879903217</v>
      </c>
      <c r="GG10">
        <v>3.6365331849999998</v>
      </c>
      <c r="GH10">
        <v>75.453385659999995</v>
      </c>
      <c r="GI10">
        <v>24.473251319999999</v>
      </c>
      <c r="GJ10">
        <v>0.22162029059999999</v>
      </c>
      <c r="GK10">
        <v>99.729130760000004</v>
      </c>
      <c r="GL10">
        <v>0.44382855700000001</v>
      </c>
      <c r="GM10">
        <v>7.7567772189999995E-2</v>
      </c>
      <c r="GN10">
        <v>0.17867148660000001</v>
      </c>
      <c r="GO10">
        <v>0.66532288449999999</v>
      </c>
      <c r="GP10">
        <v>5.4600561580000004</v>
      </c>
      <c r="GQ10">
        <v>1.9435148529999999</v>
      </c>
      <c r="GR10">
        <v>1.699088894</v>
      </c>
      <c r="GS10">
        <v>13.371090860000001</v>
      </c>
      <c r="GT10">
        <v>164.87391009999999</v>
      </c>
      <c r="GU10">
        <v>20.40427747</v>
      </c>
      <c r="GV10">
        <v>25.2707126</v>
      </c>
      <c r="GW10">
        <v>200.79025379999999</v>
      </c>
      <c r="GX10">
        <v>0.56915387780000004</v>
      </c>
      <c r="GY10">
        <v>0.11901925620000001</v>
      </c>
      <c r="GZ10">
        <v>0.1806641507</v>
      </c>
      <c r="HA10">
        <v>1.1002718499999999</v>
      </c>
      <c r="HB10">
        <v>0.88732812719999998</v>
      </c>
      <c r="HC10">
        <v>0.13041745339999999</v>
      </c>
      <c r="HD10">
        <v>0.43080313689999999</v>
      </c>
      <c r="HE10">
        <v>1.1554960949999999</v>
      </c>
      <c r="HF10">
        <v>1.456482005</v>
      </c>
      <c r="HG10">
        <v>0.2254442197</v>
      </c>
      <c r="HH10">
        <v>0.63920571429999995</v>
      </c>
      <c r="HI10">
        <v>2.228184857</v>
      </c>
      <c r="HJ10">
        <v>0.65438584119999998</v>
      </c>
      <c r="HK10">
        <v>8.9706651720000002E-2</v>
      </c>
      <c r="HL10">
        <v>0.44154957779999998</v>
      </c>
      <c r="HM10">
        <v>0.94458035240000005</v>
      </c>
      <c r="HN10">
        <v>1.957253111</v>
      </c>
      <c r="HO10">
        <v>0.35096526259999999</v>
      </c>
      <c r="HP10">
        <v>1.247417</v>
      </c>
      <c r="HQ10">
        <v>3.3012139999999999</v>
      </c>
      <c r="HR10">
        <v>0.2158028823</v>
      </c>
      <c r="HS10">
        <v>3.5125807959999998E-2</v>
      </c>
      <c r="HT10">
        <v>0.10800780259999999</v>
      </c>
      <c r="HU10">
        <v>0.32114227540000001</v>
      </c>
      <c r="HV10">
        <v>0.27277903040000001</v>
      </c>
      <c r="HW10">
        <v>4.2988997610000003E-2</v>
      </c>
      <c r="HX10">
        <v>0.14295552559999999</v>
      </c>
      <c r="HY10">
        <v>0.41018185429999998</v>
      </c>
      <c r="HZ10">
        <v>-0.63456143769999995</v>
      </c>
      <c r="IA10">
        <v>0.17662013939999999</v>
      </c>
      <c r="IB10">
        <v>-1.3312420330000001</v>
      </c>
      <c r="IC10">
        <v>-0.2226664575</v>
      </c>
      <c r="ID10">
        <v>3.5479335679999999</v>
      </c>
      <c r="IE10">
        <v>0.57501571709999999</v>
      </c>
      <c r="IF10">
        <v>2.6774310899999998</v>
      </c>
      <c r="IG10">
        <v>6.8427820070000003</v>
      </c>
      <c r="IH10">
        <v>0.77082091959999999</v>
      </c>
      <c r="II10">
        <v>0.2358373366</v>
      </c>
      <c r="IJ10">
        <v>0.28316815070000001</v>
      </c>
      <c r="IK10">
        <v>1.8331117619999999</v>
      </c>
      <c r="IL10">
        <v>1.1864321920000001</v>
      </c>
      <c r="IM10">
        <v>0.1962203334</v>
      </c>
      <c r="IN10">
        <v>0.77558559069999999</v>
      </c>
      <c r="IO10">
        <v>1.77022138</v>
      </c>
      <c r="IP10">
        <v>1.8294672919999999</v>
      </c>
      <c r="IQ10">
        <v>0.29724346470000002</v>
      </c>
      <c r="IR10">
        <v>1.1824110000000001</v>
      </c>
      <c r="IS10">
        <v>2.7721200000000001</v>
      </c>
      <c r="IT10">
        <v>1.5888104679999999</v>
      </c>
      <c r="IU10">
        <v>0.3306611619</v>
      </c>
      <c r="IV10">
        <v>0.93523900000000004</v>
      </c>
      <c r="IW10">
        <v>2.7721200000000001</v>
      </c>
      <c r="IX10">
        <v>6.2709111420000005E-2</v>
      </c>
      <c r="IY10">
        <v>2.8829529570000002E-2</v>
      </c>
      <c r="IZ10">
        <v>4.9803214110000001E-2</v>
      </c>
      <c r="JA10">
        <v>0.39525499860000002</v>
      </c>
      <c r="JB10">
        <v>2.0873013519999999</v>
      </c>
      <c r="JC10">
        <v>0.3700530205</v>
      </c>
      <c r="JD10">
        <v>0.288872556</v>
      </c>
      <c r="JE10">
        <v>3.431789454</v>
      </c>
      <c r="JF10">
        <v>77.185257129999997</v>
      </c>
      <c r="JG10">
        <v>22.766522169999998</v>
      </c>
      <c r="JH10">
        <v>0.22162029059999999</v>
      </c>
      <c r="JI10">
        <v>99.729130760000004</v>
      </c>
      <c r="JJ10">
        <v>0.44343150539999998</v>
      </c>
      <c r="JK10">
        <v>7.6994173590000006E-2</v>
      </c>
      <c r="JL10">
        <v>0.17385666529999999</v>
      </c>
      <c r="JM10">
        <v>0.63383112850000001</v>
      </c>
      <c r="JN10">
        <v>6.1301085869999996</v>
      </c>
      <c r="JO10">
        <v>1.6304646949999999</v>
      </c>
      <c r="JP10">
        <v>2.314700813</v>
      </c>
      <c r="JQ10">
        <v>13.395715340000001</v>
      </c>
      <c r="JR10">
        <v>167.040538</v>
      </c>
      <c r="JS10">
        <v>20.174423470000001</v>
      </c>
      <c r="JT10">
        <v>25.30012279</v>
      </c>
      <c r="JU10">
        <v>200.79025379999999</v>
      </c>
      <c r="JV10">
        <v>0.58415620869999996</v>
      </c>
      <c r="JW10">
        <v>0.14453342869999999</v>
      </c>
      <c r="JX10">
        <v>0.29653012810000001</v>
      </c>
      <c r="JY10">
        <v>0.88775649290000003</v>
      </c>
      <c r="JZ10">
        <v>0.92753182639999998</v>
      </c>
      <c r="KA10">
        <v>0.34498373650000003</v>
      </c>
      <c r="KB10">
        <v>0.37945931179999998</v>
      </c>
      <c r="KC10">
        <v>1.817313127</v>
      </c>
      <c r="KD10">
        <v>1.5116880349999999</v>
      </c>
      <c r="KE10">
        <v>0.4773991253</v>
      </c>
      <c r="KF10">
        <v>0.72515200000000002</v>
      </c>
      <c r="KG10">
        <v>2.6231779999999998</v>
      </c>
      <c r="KH10">
        <v>1.0486107410000001</v>
      </c>
      <c r="KI10">
        <v>0.41491588309999999</v>
      </c>
      <c r="KJ10">
        <v>0.4393193333</v>
      </c>
      <c r="KK10">
        <v>1.9811156670000001</v>
      </c>
      <c r="KL10">
        <v>1.5116880349999999</v>
      </c>
      <c r="KM10">
        <v>0.4773991253</v>
      </c>
      <c r="KN10">
        <v>0.72515200000000002</v>
      </c>
      <c r="KO10">
        <v>2.6231779999999998</v>
      </c>
      <c r="KP10">
        <v>0.31979540379999999</v>
      </c>
      <c r="KQ10">
        <v>0.1086072974</v>
      </c>
      <c r="KR10">
        <v>0.15801560270000001</v>
      </c>
      <c r="KS10">
        <v>0.55987168499999995</v>
      </c>
      <c r="KT10">
        <v>0.37427014380000001</v>
      </c>
      <c r="KU10">
        <v>0.1224043338</v>
      </c>
      <c r="KV10">
        <v>0.182489657</v>
      </c>
      <c r="KW10">
        <v>0.64188454900000003</v>
      </c>
      <c r="KX10">
        <v>-0.3488880801</v>
      </c>
      <c r="KY10">
        <v>0.19513828320000001</v>
      </c>
      <c r="KZ10">
        <v>-0.8738719318</v>
      </c>
      <c r="LA10">
        <v>0.2024408412</v>
      </c>
      <c r="LB10">
        <v>2.3396330089999999</v>
      </c>
      <c r="LC10">
        <v>0.56361711010000004</v>
      </c>
      <c r="LD10">
        <v>1.5923310589999999</v>
      </c>
      <c r="LE10">
        <v>3.9323801700000001</v>
      </c>
      <c r="LF10">
        <v>1.525759468</v>
      </c>
      <c r="LG10">
        <v>4.3043296779999997E-2</v>
      </c>
      <c r="LH10">
        <v>1.366659995</v>
      </c>
      <c r="LI10">
        <v>1.6373699939999999</v>
      </c>
      <c r="LJ10">
        <v>8.236752923E-2</v>
      </c>
      <c r="LK10">
        <v>2.936237685E-2</v>
      </c>
      <c r="LL10">
        <v>3.6563046869999997E-2</v>
      </c>
      <c r="LM10">
        <v>0.1502008426</v>
      </c>
      <c r="LN10">
        <v>83.894006480000002</v>
      </c>
      <c r="LO10">
        <v>14.00874136</v>
      </c>
      <c r="LP10">
        <v>59.393716740000002</v>
      </c>
      <c r="LQ10">
        <v>100</v>
      </c>
      <c r="LR10">
        <v>0.732855386</v>
      </c>
      <c r="LS10">
        <v>0.26954780589999999</v>
      </c>
      <c r="LT10">
        <v>0.30702061279999998</v>
      </c>
      <c r="LU10">
        <v>1.350897684</v>
      </c>
      <c r="LV10">
        <v>18.625591660000001</v>
      </c>
      <c r="LW10">
        <v>5.4655970470000002</v>
      </c>
      <c r="LX10">
        <v>7.1365444099999999</v>
      </c>
      <c r="LY10">
        <v>30.21863626</v>
      </c>
      <c r="LZ10">
        <v>6.5594535509999998</v>
      </c>
      <c r="MA10">
        <v>0.18950394740000001</v>
      </c>
      <c r="MB10">
        <v>6.1073551090000002</v>
      </c>
      <c r="MC10">
        <v>7.317108889</v>
      </c>
      <c r="MD10">
        <v>0.577044259</v>
      </c>
      <c r="ME10">
        <v>0.1371656892</v>
      </c>
      <c r="MF10">
        <v>0.29653012810000001</v>
      </c>
      <c r="MG10">
        <v>0.86510383999999996</v>
      </c>
      <c r="MH10">
        <v>0.88917429650000002</v>
      </c>
      <c r="MI10">
        <v>0.29339471810000001</v>
      </c>
      <c r="MJ10">
        <v>0.38002053540000003</v>
      </c>
      <c r="MK10">
        <v>1.4805664089999999</v>
      </c>
      <c r="ML10">
        <v>1.4662185560000001</v>
      </c>
      <c r="MM10">
        <v>0.41802755390000002</v>
      </c>
      <c r="MN10">
        <v>0.72515200000000002</v>
      </c>
      <c r="MO10">
        <v>2.2720349999999998</v>
      </c>
      <c r="MP10">
        <v>1.0315693429999999</v>
      </c>
      <c r="MQ10">
        <v>0.39194092110000001</v>
      </c>
      <c r="MR10">
        <v>0.4393193333</v>
      </c>
      <c r="MS10">
        <v>1.9208149999999999</v>
      </c>
      <c r="MT10">
        <v>1.4662185560000001</v>
      </c>
      <c r="MU10">
        <v>0.41802755390000002</v>
      </c>
      <c r="MV10">
        <v>0.72515200000000002</v>
      </c>
      <c r="MW10">
        <v>2.2720349999999998</v>
      </c>
      <c r="MX10">
        <v>0.31673774459999998</v>
      </c>
      <c r="MY10">
        <v>0.10471175889999999</v>
      </c>
      <c r="MZ10">
        <v>0.15801560270000001</v>
      </c>
      <c r="NA10">
        <v>0.54539328249999997</v>
      </c>
      <c r="NB10">
        <v>0.36945266030000001</v>
      </c>
      <c r="NC10">
        <v>0.1162771391</v>
      </c>
      <c r="ND10">
        <v>0.182489657</v>
      </c>
      <c r="NE10">
        <v>0.62037278679999996</v>
      </c>
      <c r="NF10">
        <v>-0.33130870150000002</v>
      </c>
      <c r="NG10">
        <v>0.18407700969999999</v>
      </c>
      <c r="NH10">
        <v>-0.95604277360000001</v>
      </c>
      <c r="NI10">
        <v>0.2024408412</v>
      </c>
      <c r="NJ10">
        <v>2.28261052</v>
      </c>
      <c r="NK10">
        <v>0.55909396899999997</v>
      </c>
      <c r="NL10">
        <v>1.5923405500000001</v>
      </c>
      <c r="NM10">
        <v>3.932481664</v>
      </c>
      <c r="NN10">
        <v>1.5259800530000001</v>
      </c>
      <c r="NO10">
        <v>4.2640925509999997E-2</v>
      </c>
      <c r="NP10">
        <v>1.3749399950000001</v>
      </c>
      <c r="NQ10">
        <v>1.6373699939999999</v>
      </c>
      <c r="NR10">
        <v>8.1486172750000002E-2</v>
      </c>
      <c r="NS10">
        <v>2.8222593000000001E-2</v>
      </c>
      <c r="NT10">
        <v>3.6563046869999997E-2</v>
      </c>
      <c r="NU10">
        <v>0.1469497853</v>
      </c>
      <c r="NV10">
        <v>84.224547569999999</v>
      </c>
      <c r="NW10">
        <v>13.737883439999999</v>
      </c>
      <c r="NX10">
        <v>59.670687559999998</v>
      </c>
      <c r="NY10">
        <v>100</v>
      </c>
      <c r="NZ10">
        <v>0.72901463229999997</v>
      </c>
      <c r="OA10">
        <v>0.2653776867</v>
      </c>
      <c r="OB10">
        <v>0.30702061279999998</v>
      </c>
      <c r="OC10">
        <v>1.329213684</v>
      </c>
      <c r="OD10">
        <v>19.31186112</v>
      </c>
      <c r="OE10">
        <v>5.6505155159999996</v>
      </c>
      <c r="OF10">
        <v>7.1365444099999999</v>
      </c>
      <c r="OG10">
        <v>30.755634109999999</v>
      </c>
      <c r="OH10">
        <v>6.5583941479999996</v>
      </c>
      <c r="OI10">
        <v>0.18729413449999999</v>
      </c>
      <c r="OJ10">
        <v>6.1073551090000002</v>
      </c>
      <c r="OK10">
        <v>7.2730446669999997</v>
      </c>
      <c r="OL10">
        <v>0.30724210130000001</v>
      </c>
      <c r="OM10">
        <v>-0.95140909439999999</v>
      </c>
      <c r="ON10">
        <v>5.199942107</v>
      </c>
      <c r="OO10">
        <v>1.9878899999999999</v>
      </c>
      <c r="OP10">
        <v>2.9203220000000001</v>
      </c>
      <c r="OQ10">
        <v>4.9082119999999998</v>
      </c>
      <c r="OR10">
        <v>0.2345535476</v>
      </c>
      <c r="OS10" s="2">
        <v>1.0117644430000001E-5</v>
      </c>
      <c r="OT10">
        <v>3.5606660089999999E-4</v>
      </c>
      <c r="OU10" s="2">
        <v>1.0117644430000001E-5</v>
      </c>
      <c r="OV10">
        <v>2.6077280380000002E-4</v>
      </c>
      <c r="OW10">
        <v>3.0806119619999998E-4</v>
      </c>
      <c r="OX10" s="2">
        <v>4.8005404730000001E-5</v>
      </c>
      <c r="OY10">
        <v>0.68368670600000003</v>
      </c>
      <c r="OZ10">
        <v>0.19288426459999999</v>
      </c>
      <c r="PA10">
        <v>0.47444521410000001</v>
      </c>
      <c r="PB10">
        <v>7.5084289530000001</v>
      </c>
      <c r="PC10">
        <v>85.610064089999995</v>
      </c>
      <c r="PD10">
        <v>0.30015601850000001</v>
      </c>
      <c r="PE10">
        <v>-0.7721629941</v>
      </c>
      <c r="PF10">
        <v>4.0560840230000004</v>
      </c>
      <c r="PG10">
        <v>1.862762</v>
      </c>
      <c r="PH10">
        <v>2.0691290000000002</v>
      </c>
      <c r="PI10">
        <v>3.9318909999999998</v>
      </c>
      <c r="PJ10">
        <v>0.23271194980000001</v>
      </c>
      <c r="PK10" s="2">
        <v>9.6858791840000006E-6</v>
      </c>
      <c r="PL10">
        <v>3.537877261E-4</v>
      </c>
      <c r="PM10" s="2">
        <v>9.6858791840000006E-6</v>
      </c>
      <c r="PN10">
        <v>2.6153220260000001E-4</v>
      </c>
      <c r="PO10">
        <v>3.074127974E-4</v>
      </c>
      <c r="PP10" s="2">
        <v>4.637492868E-5</v>
      </c>
      <c r="PQ10">
        <v>0.68575344949999995</v>
      </c>
      <c r="PR10">
        <v>0.18263108829999999</v>
      </c>
      <c r="PS10">
        <v>0.45141964800000001</v>
      </c>
      <c r="PT10">
        <v>7.2986197300000004</v>
      </c>
      <c r="PU10">
        <v>85.60159462</v>
      </c>
      <c r="PV10">
        <v>1.3742194139999999</v>
      </c>
      <c r="PW10">
        <v>0.312528947</v>
      </c>
      <c r="PX10">
        <v>0.80676658990000005</v>
      </c>
      <c r="PY10">
        <v>7.512282806</v>
      </c>
      <c r="PZ10">
        <v>87.750188980000004</v>
      </c>
      <c r="QA10">
        <v>1.373615075</v>
      </c>
      <c r="QB10">
        <v>0.2936913565</v>
      </c>
      <c r="QC10">
        <v>0.77087286990000004</v>
      </c>
      <c r="QD10">
        <v>7.4998298590000001</v>
      </c>
      <c r="QE10">
        <v>87.756542839999994</v>
      </c>
      <c r="QF10" s="2">
        <v>1.7265377209999999E-5</v>
      </c>
      <c r="QG10">
        <v>4.9225305509999998E-4</v>
      </c>
      <c r="QH10">
        <v>6.0766294489999996E-4</v>
      </c>
      <c r="QI10" s="2">
        <v>8.2832346570000002E-5</v>
      </c>
      <c r="QJ10" s="2">
        <v>1.653516295E-5</v>
      </c>
      <c r="QK10">
        <v>4.9205103479999998E-4</v>
      </c>
      <c r="QL10">
        <v>6.0725196519999995E-4</v>
      </c>
      <c r="QM10" s="2">
        <v>8.0617476999999996E-5</v>
      </c>
      <c r="QN10" t="s">
        <v>244</v>
      </c>
      <c r="QO10">
        <v>89.959469780000006</v>
      </c>
      <c r="QP10">
        <v>120.9858953</v>
      </c>
      <c r="QQ10">
        <v>127.72830310000001</v>
      </c>
      <c r="QR10" t="s">
        <v>244</v>
      </c>
      <c r="QS10">
        <v>89.963231969999995</v>
      </c>
      <c r="QT10">
        <v>120.9856169</v>
      </c>
      <c r="QU10">
        <v>127.7282143</v>
      </c>
    </row>
    <row r="11" spans="1:463" x14ac:dyDescent="0.2">
      <c r="A11" t="s">
        <v>283</v>
      </c>
      <c r="B11" s="2">
        <v>-8.2301585949999999E-12</v>
      </c>
      <c r="C11" s="2">
        <v>-3.2420239380000002E-12</v>
      </c>
      <c r="D11">
        <v>9.2744279359999995E-4</v>
      </c>
      <c r="E11">
        <v>4.5343763689999997E-2</v>
      </c>
      <c r="F11">
        <v>0.41412891670000002</v>
      </c>
      <c r="G11">
        <v>2.8434427840000002E-3</v>
      </c>
      <c r="H11">
        <v>0.1390192458</v>
      </c>
      <c r="I11">
        <v>1.269676026</v>
      </c>
      <c r="J11">
        <v>32.61596918</v>
      </c>
      <c r="K11">
        <v>32.616896619999999</v>
      </c>
      <c r="L11">
        <v>32.616896619999999</v>
      </c>
      <c r="M11">
        <v>32.616896619999999</v>
      </c>
      <c r="N11">
        <v>32.571552859999997</v>
      </c>
      <c r="O11">
        <v>32.616896619999999</v>
      </c>
      <c r="P11">
        <v>32.202767710000003</v>
      </c>
      <c r="Q11">
        <v>32.616896619999999</v>
      </c>
      <c r="R11">
        <v>0.63912395290000001</v>
      </c>
      <c r="S11">
        <v>0.14812948810000001</v>
      </c>
      <c r="T11">
        <v>0.42033723750000002</v>
      </c>
      <c r="U11">
        <v>1.3123259949999999</v>
      </c>
      <c r="V11">
        <v>0.78528018929999999</v>
      </c>
      <c r="W11">
        <v>0.12388394060000001</v>
      </c>
      <c r="X11">
        <v>0.45028500490000001</v>
      </c>
      <c r="Y11">
        <v>1.188990212</v>
      </c>
      <c r="Z11">
        <v>1.424404142</v>
      </c>
      <c r="AA11">
        <v>0.1480642694</v>
      </c>
      <c r="AB11">
        <v>1.0706789999999999</v>
      </c>
      <c r="AC11">
        <v>1.7686809999999999</v>
      </c>
      <c r="AD11">
        <v>0.44472070279999998</v>
      </c>
      <c r="AE11">
        <v>3.9595160409999997E-2</v>
      </c>
      <c r="AF11">
        <v>0.35551591780000003</v>
      </c>
      <c r="AG11">
        <v>0.57215983579999996</v>
      </c>
      <c r="AH11">
        <v>1.424404142</v>
      </c>
      <c r="AI11">
        <v>0.1480642694</v>
      </c>
      <c r="AJ11">
        <v>1.0706789999999999</v>
      </c>
      <c r="AK11">
        <v>1.7686809999999999</v>
      </c>
      <c r="AL11">
        <v>0.1779992863</v>
      </c>
      <c r="AM11">
        <v>1.6821149210000001E-2</v>
      </c>
      <c r="AN11">
        <v>0.1420795087</v>
      </c>
      <c r="AO11">
        <v>0.24753155930000001</v>
      </c>
      <c r="AP11">
        <v>0.2205081934</v>
      </c>
      <c r="AQ11">
        <v>1.9000777449999999E-2</v>
      </c>
      <c r="AR11">
        <v>0.1721511154</v>
      </c>
      <c r="AS11">
        <v>0.29555519250000001</v>
      </c>
      <c r="AT11">
        <v>-0.23167843639999999</v>
      </c>
      <c r="AU11">
        <v>0.24676112529999999</v>
      </c>
      <c r="AV11">
        <v>-0.83984568979999996</v>
      </c>
      <c r="AW11">
        <v>0.93691156229999994</v>
      </c>
      <c r="AX11">
        <v>2.9804479110000002</v>
      </c>
      <c r="AY11">
        <v>0.47064866249999998</v>
      </c>
      <c r="AZ11">
        <v>2.2872459979999999</v>
      </c>
      <c r="BA11">
        <v>5.2922392909999996</v>
      </c>
      <c r="BB11">
        <v>9.8361383299999994E-2</v>
      </c>
      <c r="BC11">
        <v>1.391178845E-2</v>
      </c>
      <c r="BD11">
        <v>6.7369090679999993E-2</v>
      </c>
      <c r="BE11">
        <v>0.1523661533</v>
      </c>
      <c r="BF11">
        <v>1.1717983970000001</v>
      </c>
      <c r="BG11">
        <v>0.11084766190000001</v>
      </c>
      <c r="BH11">
        <v>0.87848543160000003</v>
      </c>
      <c r="BI11">
        <v>1.555508959</v>
      </c>
      <c r="BJ11">
        <v>90.558099560000002</v>
      </c>
      <c r="BK11">
        <v>15.51501917</v>
      </c>
      <c r="BL11">
        <v>11.13413192</v>
      </c>
      <c r="BM11">
        <v>99.955810869999993</v>
      </c>
      <c r="BN11">
        <v>0.38206249409999998</v>
      </c>
      <c r="BO11">
        <v>4.2282052629999997E-2</v>
      </c>
      <c r="BP11">
        <v>0.28982459220000001</v>
      </c>
      <c r="BQ11">
        <v>0.55330556090000005</v>
      </c>
      <c r="BR11">
        <v>103.5674473</v>
      </c>
      <c r="BS11">
        <v>13.77076929</v>
      </c>
      <c r="BT11">
        <v>65.631374039999997</v>
      </c>
      <c r="BU11">
        <v>148.4360246</v>
      </c>
      <c r="BV11">
        <v>0.56627565280000003</v>
      </c>
      <c r="BW11">
        <v>0.1392530387</v>
      </c>
      <c r="BX11">
        <v>0.31868110490000001</v>
      </c>
      <c r="BY11">
        <v>1.1030517989999999</v>
      </c>
      <c r="BZ11">
        <v>0.69512172620000001</v>
      </c>
      <c r="CA11">
        <v>0.13695025550000001</v>
      </c>
      <c r="CB11">
        <v>0.26616320129999999</v>
      </c>
      <c r="CC11">
        <v>1.0366299940000001</v>
      </c>
      <c r="CD11">
        <v>1.2613973789999999</v>
      </c>
      <c r="CE11">
        <v>9.5377474150000002E-2</v>
      </c>
      <c r="CF11">
        <v>0.95094699999999999</v>
      </c>
      <c r="CG11">
        <v>1.3869009999999999</v>
      </c>
      <c r="CH11">
        <v>0.43190066160000001</v>
      </c>
      <c r="CI11">
        <v>3.6152242600000002E-2</v>
      </c>
      <c r="CJ11">
        <v>0.34414069739999997</v>
      </c>
      <c r="CK11">
        <v>0.52677133330000003</v>
      </c>
      <c r="CL11">
        <v>1.2613973789999999</v>
      </c>
      <c r="CM11">
        <v>9.5377474150000002E-2</v>
      </c>
      <c r="CN11">
        <v>0.95094699999999999</v>
      </c>
      <c r="CO11">
        <v>1.3869009999999999</v>
      </c>
      <c r="CP11">
        <v>0.17697988980000001</v>
      </c>
      <c r="CQ11">
        <v>1.6453638900000001E-2</v>
      </c>
      <c r="CR11">
        <v>0.14193617689999999</v>
      </c>
      <c r="CS11">
        <v>0.23879494030000001</v>
      </c>
      <c r="CT11">
        <v>0.21831103360000001</v>
      </c>
      <c r="CU11">
        <v>1.8087663989999999E-2</v>
      </c>
      <c r="CV11">
        <v>0.17188022529999999</v>
      </c>
      <c r="CW11">
        <v>0.28081007670000002</v>
      </c>
      <c r="CX11">
        <v>-0.2295333299</v>
      </c>
      <c r="CY11">
        <v>0.29085918560000001</v>
      </c>
      <c r="CZ11">
        <v>-0.97756226300000004</v>
      </c>
      <c r="DA11">
        <v>1.2714407919999999</v>
      </c>
      <c r="DB11">
        <v>2.8653934730000001</v>
      </c>
      <c r="DC11">
        <v>0.46877255159999998</v>
      </c>
      <c r="DD11">
        <v>2.1695223920000002</v>
      </c>
      <c r="DE11">
        <v>5.2921267380000003</v>
      </c>
      <c r="DF11">
        <v>9.5709622199999997E-2</v>
      </c>
      <c r="DG11">
        <v>1.3287144920000001E-2</v>
      </c>
      <c r="DH11">
        <v>6.5148131639999995E-2</v>
      </c>
      <c r="DI11">
        <v>0.1459004995</v>
      </c>
      <c r="DJ11">
        <v>1.1590189799999999</v>
      </c>
      <c r="DK11">
        <v>0.1036261733</v>
      </c>
      <c r="DL11">
        <v>0.86887959579999996</v>
      </c>
      <c r="DM11">
        <v>1.4736328270000001</v>
      </c>
      <c r="DN11">
        <v>94.228849240000002</v>
      </c>
      <c r="DO11">
        <v>10.97880447</v>
      </c>
      <c r="DP11">
        <v>28.73298496</v>
      </c>
      <c r="DQ11">
        <v>100</v>
      </c>
      <c r="DR11">
        <v>0.38194399709999999</v>
      </c>
      <c r="DS11">
        <v>4.220317749E-2</v>
      </c>
      <c r="DT11">
        <v>0.2897946434</v>
      </c>
      <c r="DU11">
        <v>0.55317817459999996</v>
      </c>
      <c r="DV11">
        <v>106.3986124</v>
      </c>
      <c r="DW11">
        <v>14.16096675</v>
      </c>
      <c r="DX11">
        <v>68.539861310000006</v>
      </c>
      <c r="DY11">
        <v>153.49634359999999</v>
      </c>
      <c r="DZ11">
        <v>0.41628375919999999</v>
      </c>
      <c r="EA11">
        <v>8.0231138199999996E-2</v>
      </c>
      <c r="EB11">
        <v>0.32317391810000001</v>
      </c>
      <c r="EC11">
        <v>0.78131620170000005</v>
      </c>
      <c r="ED11">
        <v>0.4250765453</v>
      </c>
      <c r="EE11">
        <v>5.1350001210000003E-2</v>
      </c>
      <c r="EF11">
        <v>0.30438048740000001</v>
      </c>
      <c r="EG11">
        <v>0.5985735485</v>
      </c>
      <c r="EH11">
        <v>0.84136030449999999</v>
      </c>
      <c r="EI11">
        <v>9.5816913830000003E-2</v>
      </c>
      <c r="EJ11">
        <v>0.67959857140000002</v>
      </c>
      <c r="EK11">
        <v>1.2540051430000001</v>
      </c>
      <c r="EL11">
        <v>0.36951518259999999</v>
      </c>
      <c r="EM11">
        <v>3.7630627549999997E-2</v>
      </c>
      <c r="EN11">
        <v>0.2948882243</v>
      </c>
      <c r="EO11">
        <v>0.48814832139999997</v>
      </c>
      <c r="EP11">
        <v>1.1542518740000001</v>
      </c>
      <c r="EQ11">
        <v>0.16801883040000001</v>
      </c>
      <c r="ER11">
        <v>0.82672599999999996</v>
      </c>
      <c r="ES11">
        <v>1.7224619999999999</v>
      </c>
      <c r="ET11">
        <v>0.1164159379</v>
      </c>
      <c r="EU11">
        <v>1.1216220650000001E-2</v>
      </c>
      <c r="EV11">
        <v>9.4390088129999994E-2</v>
      </c>
      <c r="EW11">
        <v>0.15405569960000001</v>
      </c>
      <c r="EX11">
        <v>0.14801842649999999</v>
      </c>
      <c r="EY11">
        <v>1.4736102879999999E-2</v>
      </c>
      <c r="EZ11">
        <v>0.1182754806</v>
      </c>
      <c r="FA11">
        <v>0.1997892765</v>
      </c>
      <c r="FB11">
        <v>-2.198186907E-2</v>
      </c>
      <c r="FC11">
        <v>0.26740956739999999</v>
      </c>
      <c r="FD11">
        <v>-0.49559513440000003</v>
      </c>
      <c r="FE11">
        <v>0.86499109760000004</v>
      </c>
      <c r="FF11">
        <v>3.432825845</v>
      </c>
      <c r="FG11">
        <v>0.45539182709999998</v>
      </c>
      <c r="FH11">
        <v>2.6841391419999998</v>
      </c>
      <c r="FI11">
        <v>5.674190244</v>
      </c>
      <c r="FJ11">
        <v>0.57864052460000004</v>
      </c>
      <c r="FK11">
        <v>0.15100747440000001</v>
      </c>
      <c r="FL11">
        <v>0.37566670029999999</v>
      </c>
      <c r="FM11">
        <v>1.0621761430000001</v>
      </c>
      <c r="FN11">
        <v>0.5756113491</v>
      </c>
      <c r="FO11">
        <v>0.1039903595</v>
      </c>
      <c r="FP11">
        <v>0.38796369590000002</v>
      </c>
      <c r="FQ11">
        <v>0.93228332459999996</v>
      </c>
      <c r="FR11">
        <v>1.0740820259999999</v>
      </c>
      <c r="FS11">
        <v>0.16175854410000001</v>
      </c>
      <c r="FT11">
        <v>0.74816400000000005</v>
      </c>
      <c r="FU11">
        <v>1.50817</v>
      </c>
      <c r="FV11">
        <v>0.94523839470000004</v>
      </c>
      <c r="FW11">
        <v>0.16530671669999999</v>
      </c>
      <c r="FX11">
        <v>0.59265599999999996</v>
      </c>
      <c r="FY11">
        <v>1.4084570000000001</v>
      </c>
      <c r="FZ11">
        <v>5.9203398970000001E-2</v>
      </c>
      <c r="GA11">
        <v>4.8861791569999998E-3</v>
      </c>
      <c r="GB11">
        <v>4.8663157730000003E-2</v>
      </c>
      <c r="GC11">
        <v>7.7117646789999994E-2</v>
      </c>
      <c r="GD11">
        <v>1.160841762</v>
      </c>
      <c r="GE11">
        <v>0.11195197630000001</v>
      </c>
      <c r="GF11">
        <v>0.87089731569999995</v>
      </c>
      <c r="GG11">
        <v>1.538379862</v>
      </c>
      <c r="GH11">
        <v>95.572478770000004</v>
      </c>
      <c r="GI11">
        <v>12.48786254</v>
      </c>
      <c r="GJ11">
        <v>31.79019946</v>
      </c>
      <c r="GK11">
        <v>100</v>
      </c>
      <c r="GL11">
        <v>0.2386081172</v>
      </c>
      <c r="GM11">
        <v>2.337376347E-2</v>
      </c>
      <c r="GN11">
        <v>0.19301571919999999</v>
      </c>
      <c r="GO11">
        <v>0.3208877879</v>
      </c>
      <c r="GP11">
        <v>7.3154281330000002</v>
      </c>
      <c r="GQ11">
        <v>1.194926572</v>
      </c>
      <c r="GR11">
        <v>3.9645407540000002</v>
      </c>
      <c r="GS11">
        <v>10.34228023</v>
      </c>
      <c r="GT11">
        <v>170.01916009999999</v>
      </c>
      <c r="GU11">
        <v>13.54303322</v>
      </c>
      <c r="GV11">
        <v>129.6720066</v>
      </c>
      <c r="GW11">
        <v>205.4942685</v>
      </c>
      <c r="GX11">
        <v>0.40034756030000002</v>
      </c>
      <c r="GY11">
        <v>7.6020919059999997E-2</v>
      </c>
      <c r="GZ11">
        <v>0.28402294960000002</v>
      </c>
      <c r="HA11">
        <v>0.72324922449999995</v>
      </c>
      <c r="HB11">
        <v>0.41137434719999999</v>
      </c>
      <c r="HC11">
        <v>5.1721505260000002E-2</v>
      </c>
      <c r="HD11">
        <v>0.2934808123</v>
      </c>
      <c r="HE11">
        <v>0.58788261389999996</v>
      </c>
      <c r="HF11">
        <v>0.81172190749999995</v>
      </c>
      <c r="HG11">
        <v>8.0726632120000003E-2</v>
      </c>
      <c r="HH11">
        <v>0.62893085709999996</v>
      </c>
      <c r="HI11">
        <v>1.0983427139999999</v>
      </c>
      <c r="HJ11">
        <v>0.36186356660000002</v>
      </c>
      <c r="HK11">
        <v>3.3811002360000002E-2</v>
      </c>
      <c r="HL11">
        <v>0.29239397169999998</v>
      </c>
      <c r="HM11">
        <v>0.45110440959999998</v>
      </c>
      <c r="HN11">
        <v>1.0858585679999999</v>
      </c>
      <c r="HO11">
        <v>0.1334532031</v>
      </c>
      <c r="HP11">
        <v>0.75949699999999998</v>
      </c>
      <c r="HQ11">
        <v>1.5143660000000001</v>
      </c>
      <c r="HR11">
        <v>0.1156063692</v>
      </c>
      <c r="HS11">
        <v>1.0598352889999999E-2</v>
      </c>
      <c r="HT11">
        <v>9.4390081439999995E-2</v>
      </c>
      <c r="HU11">
        <v>0.1490629175</v>
      </c>
      <c r="HV11">
        <v>0.14627253339999999</v>
      </c>
      <c r="HW11">
        <v>1.369043707E-2</v>
      </c>
      <c r="HX11">
        <v>0.1182754778</v>
      </c>
      <c r="HY11">
        <v>0.18965483350000001</v>
      </c>
      <c r="HZ11">
        <v>-3.4352364679999997E-2</v>
      </c>
      <c r="IA11">
        <v>0.28770410120000001</v>
      </c>
      <c r="IB11">
        <v>-0.61793496520000002</v>
      </c>
      <c r="IC11">
        <v>1.064631874</v>
      </c>
      <c r="ID11">
        <v>3.3126512309999998</v>
      </c>
      <c r="IE11">
        <v>0.40567535859999998</v>
      </c>
      <c r="IF11">
        <v>2.6215761199999998</v>
      </c>
      <c r="IG11">
        <v>5.0742040570000002</v>
      </c>
      <c r="IH11">
        <v>0.54580247609999999</v>
      </c>
      <c r="II11">
        <v>0.13089026910000001</v>
      </c>
      <c r="IJ11">
        <v>0.34186766390000001</v>
      </c>
      <c r="IK11">
        <v>0.9936073674</v>
      </c>
      <c r="IL11">
        <v>0.54005609229999996</v>
      </c>
      <c r="IM11">
        <v>9.7526018650000004E-2</v>
      </c>
      <c r="IN11">
        <v>0.34484509800000002</v>
      </c>
      <c r="IO11">
        <v>0.8334246139</v>
      </c>
      <c r="IP11">
        <v>1.0154219950000001</v>
      </c>
      <c r="IQ11">
        <v>0.12874129370000001</v>
      </c>
      <c r="IR11">
        <v>0.74782800000000005</v>
      </c>
      <c r="IS11">
        <v>1.3661030000000001</v>
      </c>
      <c r="IT11">
        <v>0.90485919999999997</v>
      </c>
      <c r="IU11">
        <v>0.14233355959999999</v>
      </c>
      <c r="IV11">
        <v>0.593221</v>
      </c>
      <c r="IW11">
        <v>1.3661030000000001</v>
      </c>
      <c r="IX11">
        <v>5.8591627610000002E-2</v>
      </c>
      <c r="IY11">
        <v>4.5794460210000004E-3</v>
      </c>
      <c r="IZ11">
        <v>4.8663157730000003E-2</v>
      </c>
      <c r="JA11">
        <v>7.3342399749999995E-2</v>
      </c>
      <c r="JB11">
        <v>1.1501457049999999</v>
      </c>
      <c r="JC11">
        <v>0.1055201072</v>
      </c>
      <c r="JD11">
        <v>0.86836261810000004</v>
      </c>
      <c r="JE11">
        <v>1.459490932</v>
      </c>
      <c r="JF11">
        <v>97.68300404</v>
      </c>
      <c r="JG11">
        <v>7.7798263370000003</v>
      </c>
      <c r="JH11">
        <v>44.250184679999997</v>
      </c>
      <c r="JI11">
        <v>100</v>
      </c>
      <c r="JJ11">
        <v>0.23840958579999999</v>
      </c>
      <c r="JK11">
        <v>2.2505917930000001E-2</v>
      </c>
      <c r="JL11">
        <v>0.19301571919999999</v>
      </c>
      <c r="JM11">
        <v>0.31490494990000001</v>
      </c>
      <c r="JN11">
        <v>7.8562163859999998</v>
      </c>
      <c r="JO11">
        <v>1.1801582660000001</v>
      </c>
      <c r="JP11">
        <v>4.4324058109999998</v>
      </c>
      <c r="JQ11">
        <v>11.228761390000001</v>
      </c>
      <c r="JR11">
        <v>171.68667719999999</v>
      </c>
      <c r="JS11">
        <v>13.04090227</v>
      </c>
      <c r="JT11">
        <v>136.3467794</v>
      </c>
      <c r="JU11">
        <v>205.4942685</v>
      </c>
      <c r="JV11">
        <v>0.2373243538</v>
      </c>
      <c r="JW11">
        <v>5.8344220500000002E-2</v>
      </c>
      <c r="JX11">
        <v>0.1279468738</v>
      </c>
      <c r="JY11">
        <v>0.52518784839999999</v>
      </c>
      <c r="JZ11">
        <v>0.30324034620000001</v>
      </c>
      <c r="KA11">
        <v>6.386214304E-2</v>
      </c>
      <c r="KB11">
        <v>0.18059270720000001</v>
      </c>
      <c r="KC11">
        <v>0.50975138440000001</v>
      </c>
      <c r="KD11">
        <v>0.54056470000000001</v>
      </c>
      <c r="KE11">
        <v>8.2738303550000003E-2</v>
      </c>
      <c r="KF11">
        <v>0.32044800000000001</v>
      </c>
      <c r="KG11">
        <v>0.77354699999999998</v>
      </c>
      <c r="KH11">
        <v>0.36902921579999998</v>
      </c>
      <c r="KI11">
        <v>6.7124236540000007E-2</v>
      </c>
      <c r="KJ11">
        <v>0.17686633330000001</v>
      </c>
      <c r="KK11">
        <v>0.55910333329999995</v>
      </c>
      <c r="KL11">
        <v>0.54056470000000001</v>
      </c>
      <c r="KM11">
        <v>8.2738303550000003E-2</v>
      </c>
      <c r="KN11">
        <v>0.32044800000000001</v>
      </c>
      <c r="KO11">
        <v>0.77354699999999998</v>
      </c>
      <c r="KP11">
        <v>0.117016546</v>
      </c>
      <c r="KQ11">
        <v>1.831171811E-2</v>
      </c>
      <c r="KR11">
        <v>7.6965540050000003E-2</v>
      </c>
      <c r="KS11">
        <v>0.16984548699999999</v>
      </c>
      <c r="KT11">
        <v>0.13889941080000001</v>
      </c>
      <c r="KU11">
        <v>1.8979156189999999E-2</v>
      </c>
      <c r="KV11">
        <v>9.0507627889999998E-2</v>
      </c>
      <c r="KW11">
        <v>0.19304638090000001</v>
      </c>
      <c r="KX11">
        <v>-0.26589596510000002</v>
      </c>
      <c r="KY11">
        <v>0.40402342340000003</v>
      </c>
      <c r="KZ11">
        <v>-1.418090659</v>
      </c>
      <c r="LA11">
        <v>0.66938141699999998</v>
      </c>
      <c r="LB11">
        <v>2.409728291</v>
      </c>
      <c r="LC11">
        <v>0.76654452579999999</v>
      </c>
      <c r="LD11">
        <v>1.623094866</v>
      </c>
      <c r="LE11">
        <v>5.5996394609999998</v>
      </c>
      <c r="LF11">
        <v>1.5321909949999999</v>
      </c>
      <c r="LG11">
        <v>0.1252087948</v>
      </c>
      <c r="LH11">
        <v>0.97381999659999996</v>
      </c>
      <c r="LI11">
        <v>2.2528499919999998</v>
      </c>
      <c r="LJ11">
        <v>2.9369398719999999E-2</v>
      </c>
      <c r="LK11">
        <v>4.1571278930000004E-3</v>
      </c>
      <c r="LL11">
        <v>2.1933279949999999E-2</v>
      </c>
      <c r="LM11">
        <v>4.3164621299999997E-2</v>
      </c>
      <c r="LN11">
        <v>100</v>
      </c>
      <c r="LO11">
        <v>0</v>
      </c>
      <c r="LP11">
        <v>100</v>
      </c>
      <c r="LQ11">
        <v>100</v>
      </c>
      <c r="LR11">
        <v>0.26405844280000002</v>
      </c>
      <c r="LS11">
        <v>4.815596598E-2</v>
      </c>
      <c r="LT11">
        <v>0.16911645280000001</v>
      </c>
      <c r="LU11">
        <v>0.40002858409999997</v>
      </c>
      <c r="LV11">
        <v>19.001193270000002</v>
      </c>
      <c r="LW11">
        <v>6.5104690490000001</v>
      </c>
      <c r="LX11">
        <v>1.12527998</v>
      </c>
      <c r="LY11">
        <v>30.563061879999999</v>
      </c>
      <c r="LZ11">
        <v>6.5629280330000004</v>
      </c>
      <c r="MA11">
        <v>0.46753587050000001</v>
      </c>
      <c r="MB11">
        <v>4.4388219519999996</v>
      </c>
      <c r="MC11">
        <v>10.268838219999999</v>
      </c>
      <c r="MD11">
        <v>0.2351368546</v>
      </c>
      <c r="ME11">
        <v>5.7112032799999997E-2</v>
      </c>
      <c r="MF11">
        <v>0.12785924900000001</v>
      </c>
      <c r="MG11">
        <v>0.50165020260000004</v>
      </c>
      <c r="MH11">
        <v>0.29905132429999998</v>
      </c>
      <c r="MI11">
        <v>6.3738140489999998E-2</v>
      </c>
      <c r="MJ11">
        <v>0.17875826450000001</v>
      </c>
      <c r="MK11">
        <v>0.50732434159999995</v>
      </c>
      <c r="ML11">
        <v>0.53418817890000003</v>
      </c>
      <c r="MM11">
        <v>7.734128606E-2</v>
      </c>
      <c r="MN11">
        <v>0.317469</v>
      </c>
      <c r="MO11">
        <v>0.73588900000000002</v>
      </c>
      <c r="MP11">
        <v>0.36611792539999999</v>
      </c>
      <c r="MQ11">
        <v>6.6232948629999996E-2</v>
      </c>
      <c r="MR11">
        <v>0.17686666670000001</v>
      </c>
      <c r="MS11">
        <v>0.53679933329999996</v>
      </c>
      <c r="MT11">
        <v>0.53418817890000003</v>
      </c>
      <c r="MU11">
        <v>7.734128606E-2</v>
      </c>
      <c r="MV11">
        <v>0.317469</v>
      </c>
      <c r="MW11">
        <v>0.73588900000000002</v>
      </c>
      <c r="MX11">
        <v>0.1162138553</v>
      </c>
      <c r="MY11">
        <v>1.8545619119999999E-2</v>
      </c>
      <c r="MZ11">
        <v>7.5287059589999997E-2</v>
      </c>
      <c r="NA11">
        <v>0.16342619250000001</v>
      </c>
      <c r="NB11">
        <v>0.137839709</v>
      </c>
      <c r="NC11">
        <v>1.9129695870000001E-2</v>
      </c>
      <c r="ND11">
        <v>8.9314410019999999E-2</v>
      </c>
      <c r="NE11">
        <v>0.1854502002</v>
      </c>
      <c r="NF11">
        <v>-0.2561386826</v>
      </c>
      <c r="NG11">
        <v>0.42432913680000001</v>
      </c>
      <c r="NH11">
        <v>-1.431166983</v>
      </c>
      <c r="NI11">
        <v>1.119938111</v>
      </c>
      <c r="NJ11">
        <v>2.419918059</v>
      </c>
      <c r="NK11">
        <v>0.83472112310000002</v>
      </c>
      <c r="NL11">
        <v>1.62605303</v>
      </c>
      <c r="NM11">
        <v>6.6551945259999998</v>
      </c>
      <c r="NN11">
        <v>1.530864258</v>
      </c>
      <c r="NO11">
        <v>0.12828931029999999</v>
      </c>
      <c r="NP11">
        <v>0.97381999659999996</v>
      </c>
      <c r="NQ11">
        <v>2.2528499919999998</v>
      </c>
      <c r="NR11">
        <v>2.914213282E-2</v>
      </c>
      <c r="NS11">
        <v>4.0854298370000004E-3</v>
      </c>
      <c r="NT11">
        <v>2.1921927819999999E-2</v>
      </c>
      <c r="NU11">
        <v>4.141442503E-2</v>
      </c>
      <c r="NV11">
        <v>100</v>
      </c>
      <c r="NW11">
        <v>0</v>
      </c>
      <c r="NX11">
        <v>100</v>
      </c>
      <c r="NY11">
        <v>100</v>
      </c>
      <c r="NZ11">
        <v>0.2626593861</v>
      </c>
      <c r="OA11">
        <v>4.8684018930000003E-2</v>
      </c>
      <c r="OB11">
        <v>0.15850202469999999</v>
      </c>
      <c r="OC11">
        <v>0.3866618745</v>
      </c>
      <c r="OD11">
        <v>19.117378160000001</v>
      </c>
      <c r="OE11">
        <v>6.5365826159999996</v>
      </c>
      <c r="OF11">
        <v>0.92933849420000003</v>
      </c>
      <c r="OG11">
        <v>30.534688469999999</v>
      </c>
      <c r="OH11">
        <v>6.571118802</v>
      </c>
      <c r="OI11">
        <v>0.48770095740000002</v>
      </c>
      <c r="OJ11">
        <v>4.4388219519999996</v>
      </c>
      <c r="OK11">
        <v>10.268838219999999</v>
      </c>
      <c r="OL11">
        <v>0.16050374040000001</v>
      </c>
      <c r="OM11">
        <v>-6.0638856050000002E-2</v>
      </c>
      <c r="ON11">
        <v>3.7690843599999999</v>
      </c>
      <c r="OO11">
        <v>1.394838</v>
      </c>
      <c r="OP11">
        <v>1.0167820000000001</v>
      </c>
      <c r="OQ11">
        <v>2.4116200000000001</v>
      </c>
      <c r="OR11">
        <v>0.12532097249999999</v>
      </c>
      <c r="OS11" s="2">
        <v>8.2049970879999998E-6</v>
      </c>
      <c r="OT11">
        <v>2.04189745E-4</v>
      </c>
      <c r="OU11" s="2">
        <v>8.2049970879999998E-6</v>
      </c>
      <c r="OV11">
        <v>1.3989406519999999E-4</v>
      </c>
      <c r="OW11">
        <v>1.8474793479999999E-4</v>
      </c>
      <c r="OX11" s="2">
        <v>1.944181025E-5</v>
      </c>
      <c r="OY11">
        <v>0.39180013019999999</v>
      </c>
      <c r="OZ11">
        <v>0.1640975412</v>
      </c>
      <c r="PA11">
        <v>0.17741080570000001</v>
      </c>
      <c r="PB11">
        <v>9.676212413</v>
      </c>
      <c r="PC11">
        <v>89.044621599999999</v>
      </c>
      <c r="PD11">
        <v>0.1585146643</v>
      </c>
      <c r="PE11">
        <v>-6.0627524109999997E-2</v>
      </c>
      <c r="PF11">
        <v>3.4867824490000001</v>
      </c>
      <c r="PG11">
        <v>1.184204</v>
      </c>
      <c r="PH11">
        <v>0.93672299999999997</v>
      </c>
      <c r="PI11">
        <v>2.120927</v>
      </c>
      <c r="PJ11">
        <v>0.1246531709</v>
      </c>
      <c r="PK11" s="2">
        <v>7.7655601629999994E-6</v>
      </c>
      <c r="PL11">
        <v>2.0394268510000001E-4</v>
      </c>
      <c r="PM11" s="2">
        <v>7.7655601629999994E-6</v>
      </c>
      <c r="PN11">
        <v>1.402419357E-4</v>
      </c>
      <c r="PO11">
        <v>1.8494106429999999E-4</v>
      </c>
      <c r="PP11" s="2">
        <v>1.9001620850000001E-5</v>
      </c>
      <c r="PQ11">
        <v>0.39281930409999999</v>
      </c>
      <c r="PR11">
        <v>0.15499491909999999</v>
      </c>
      <c r="PS11">
        <v>0.1693152178</v>
      </c>
      <c r="PT11">
        <v>9.6249731129999994</v>
      </c>
      <c r="PU11">
        <v>89.058143639999997</v>
      </c>
      <c r="PV11">
        <v>0.75772894859999995</v>
      </c>
      <c r="PW11">
        <v>0.194519621</v>
      </c>
      <c r="PX11">
        <v>0.27804210260000001</v>
      </c>
      <c r="PY11">
        <v>8.0196154669999995</v>
      </c>
      <c r="PZ11">
        <v>89.726211469999996</v>
      </c>
      <c r="QA11">
        <v>0.75756712329999998</v>
      </c>
      <c r="QB11">
        <v>0.18299464700000001</v>
      </c>
      <c r="QC11">
        <v>0.2671487816</v>
      </c>
      <c r="QD11">
        <v>8.0312733569999999</v>
      </c>
      <c r="QE11">
        <v>89.724285289999997</v>
      </c>
      <c r="QF11" s="2">
        <v>1.0341336190000001E-5</v>
      </c>
      <c r="QG11">
        <v>2.64091553E-4</v>
      </c>
      <c r="QH11">
        <v>3.3700444700000002E-4</v>
      </c>
      <c r="QI11" s="2">
        <v>3.3263062919999997E-5</v>
      </c>
      <c r="QJ11" s="2">
        <v>9.8807822419999992E-6</v>
      </c>
      <c r="QK11">
        <v>2.6409038250000002E-4</v>
      </c>
      <c r="QL11">
        <v>3.3700061749999998E-4</v>
      </c>
      <c r="QM11" s="2">
        <v>3.2701510490000001E-5</v>
      </c>
      <c r="QN11">
        <v>52.2033348</v>
      </c>
      <c r="QO11">
        <v>89.991579389999998</v>
      </c>
      <c r="QP11">
        <v>68.263568840000005</v>
      </c>
      <c r="QQ11">
        <v>84.997950930000002</v>
      </c>
      <c r="QR11">
        <v>52.468407480000003</v>
      </c>
      <c r="QS11">
        <v>89.990351700000005</v>
      </c>
      <c r="QT11">
        <v>68.262982980000004</v>
      </c>
      <c r="QU11">
        <v>84.998353870000003</v>
      </c>
    </row>
    <row r="12" spans="1:463" x14ac:dyDescent="0.2">
      <c r="A12" t="s">
        <v>284</v>
      </c>
      <c r="B12" s="2">
        <v>-1.519195913E-11</v>
      </c>
      <c r="C12" s="2">
        <v>-4.5206126690000002E-12</v>
      </c>
      <c r="D12">
        <v>9.5600879340000005E-4</v>
      </c>
      <c r="E12">
        <v>4.2944219700000001E-2</v>
      </c>
      <c r="F12">
        <v>0.40334049080000001</v>
      </c>
      <c r="G12">
        <v>2.9310231579999999E-3</v>
      </c>
      <c r="H12">
        <v>0.1316624944</v>
      </c>
      <c r="I12">
        <v>1.2365998380000001</v>
      </c>
      <c r="J12">
        <v>32.615940620000003</v>
      </c>
      <c r="K12">
        <v>32.616896619999999</v>
      </c>
      <c r="L12">
        <v>32.616896619999999</v>
      </c>
      <c r="M12">
        <v>32.616896619999999</v>
      </c>
      <c r="N12">
        <v>32.573952400000003</v>
      </c>
      <c r="O12">
        <v>32.616896619999999</v>
      </c>
      <c r="P12">
        <v>32.213556130000001</v>
      </c>
      <c r="Q12">
        <v>32.616896619999999</v>
      </c>
      <c r="R12">
        <v>0.83573120140000001</v>
      </c>
      <c r="S12">
        <v>0.17357333690000001</v>
      </c>
      <c r="T12">
        <v>0.61102561</v>
      </c>
      <c r="U12">
        <v>1.662348454</v>
      </c>
      <c r="V12">
        <v>0.91702321440000001</v>
      </c>
      <c r="W12">
        <v>0.1319524285</v>
      </c>
      <c r="X12">
        <v>0.58391831900000002</v>
      </c>
      <c r="Y12">
        <v>1.3266686599999999</v>
      </c>
      <c r="Z12">
        <v>1.7527544159999999</v>
      </c>
      <c r="AA12">
        <v>0.18132599320000001</v>
      </c>
      <c r="AB12">
        <v>1.2642869999999999</v>
      </c>
      <c r="AC12">
        <v>2.2526099999999998</v>
      </c>
      <c r="AD12">
        <v>0.55700628299999999</v>
      </c>
      <c r="AE12">
        <v>5.6634719379999997E-2</v>
      </c>
      <c r="AF12">
        <v>0.46465426230000001</v>
      </c>
      <c r="AG12">
        <v>0.81026931150000003</v>
      </c>
      <c r="AH12">
        <v>1.7527544159999999</v>
      </c>
      <c r="AI12">
        <v>0.18132599320000001</v>
      </c>
      <c r="AJ12">
        <v>1.2642869999999999</v>
      </c>
      <c r="AK12">
        <v>2.2526099999999998</v>
      </c>
      <c r="AL12">
        <v>0.2195131246</v>
      </c>
      <c r="AM12">
        <v>1.497804378E-2</v>
      </c>
      <c r="AN12">
        <v>0.17348944390000001</v>
      </c>
      <c r="AO12">
        <v>0.27233055499999997</v>
      </c>
      <c r="AP12">
        <v>0.27263084539999999</v>
      </c>
      <c r="AQ12">
        <v>1.9032858230000001E-2</v>
      </c>
      <c r="AR12">
        <v>0.21224026600000001</v>
      </c>
      <c r="AS12">
        <v>0.33939193280000002</v>
      </c>
      <c r="AT12">
        <v>-0.2200647272</v>
      </c>
      <c r="AU12">
        <v>0.25189186320000001</v>
      </c>
      <c r="AV12">
        <v>-0.74123433849999998</v>
      </c>
      <c r="AW12">
        <v>0.88505050269999996</v>
      </c>
      <c r="AX12">
        <v>2.9152879970000001</v>
      </c>
      <c r="AY12">
        <v>0.33699702059999997</v>
      </c>
      <c r="AZ12">
        <v>2.2825314269999999</v>
      </c>
      <c r="BA12">
        <v>4.7106118749999997</v>
      </c>
      <c r="BB12">
        <v>0.1033611967</v>
      </c>
      <c r="BC12">
        <v>1.2572544180000001E-2</v>
      </c>
      <c r="BD12">
        <v>7.5192749739999995E-2</v>
      </c>
      <c r="BE12">
        <v>0.15952053999999999</v>
      </c>
      <c r="BF12">
        <v>1.3915907789999999</v>
      </c>
      <c r="BG12">
        <v>0.14416796060000001</v>
      </c>
      <c r="BH12">
        <v>1.0440349659999999</v>
      </c>
      <c r="BI12">
        <v>1.9440045939999999</v>
      </c>
      <c r="BJ12">
        <v>71.115670980000004</v>
      </c>
      <c r="BK12">
        <v>18.805117280000001</v>
      </c>
      <c r="BL12">
        <v>4.1161038980000004</v>
      </c>
      <c r="BM12">
        <v>96.553247900000002</v>
      </c>
      <c r="BN12">
        <v>0.46880981399999999</v>
      </c>
      <c r="BO12">
        <v>3.360782499E-2</v>
      </c>
      <c r="BP12">
        <v>0.37663803379999999</v>
      </c>
      <c r="BQ12">
        <v>0.57738031469999995</v>
      </c>
      <c r="BR12">
        <v>98.123686730000003</v>
      </c>
      <c r="BS12">
        <v>11.500761990000001</v>
      </c>
      <c r="BT12">
        <v>62.687851989999999</v>
      </c>
      <c r="BU12">
        <v>132.9915455</v>
      </c>
      <c r="BV12">
        <v>0.72770132669999998</v>
      </c>
      <c r="BW12">
        <v>0.18338284560000001</v>
      </c>
      <c r="BX12">
        <v>0.3837577331</v>
      </c>
      <c r="BY12">
        <v>1.3774932790000001</v>
      </c>
      <c r="BZ12">
        <v>0.83911263120000001</v>
      </c>
      <c r="CA12">
        <v>0.1503656619</v>
      </c>
      <c r="CB12">
        <v>0.34179535290000002</v>
      </c>
      <c r="CC12">
        <v>1.228623016</v>
      </c>
      <c r="CD12">
        <v>1.566813958</v>
      </c>
      <c r="CE12">
        <v>0.12156394970000001</v>
      </c>
      <c r="CF12">
        <v>1.209608</v>
      </c>
      <c r="CG12">
        <v>1.7595050000000001</v>
      </c>
      <c r="CH12">
        <v>0.54175355020000004</v>
      </c>
      <c r="CI12">
        <v>5.0855808580000002E-2</v>
      </c>
      <c r="CJ12">
        <v>0.45488137499999998</v>
      </c>
      <c r="CK12">
        <v>0.74937676919999996</v>
      </c>
      <c r="CL12">
        <v>1.566813958</v>
      </c>
      <c r="CM12">
        <v>0.12156394970000001</v>
      </c>
      <c r="CN12">
        <v>1.209608</v>
      </c>
      <c r="CO12">
        <v>1.7595050000000001</v>
      </c>
      <c r="CP12">
        <v>0.2182341579</v>
      </c>
      <c r="CQ12">
        <v>1.4426755350000001E-2</v>
      </c>
      <c r="CR12">
        <v>0.17345978579999999</v>
      </c>
      <c r="CS12">
        <v>0.27095836220000002</v>
      </c>
      <c r="CT12">
        <v>0.26999099370000001</v>
      </c>
      <c r="CU12">
        <v>1.7566877469999999E-2</v>
      </c>
      <c r="CV12">
        <v>0.21216163569999999</v>
      </c>
      <c r="CW12">
        <v>0.33561434680000002</v>
      </c>
      <c r="CX12">
        <v>-0.2301340643</v>
      </c>
      <c r="CY12">
        <v>0.31270681379999998</v>
      </c>
      <c r="CZ12">
        <v>-0.92582485439999995</v>
      </c>
      <c r="DA12">
        <v>1.2633391709999999</v>
      </c>
      <c r="DB12">
        <v>2.8422493009999998</v>
      </c>
      <c r="DC12">
        <v>0.35168164600000001</v>
      </c>
      <c r="DD12">
        <v>2.2825314269999999</v>
      </c>
      <c r="DE12">
        <v>5.0037011849999997</v>
      </c>
      <c r="DF12">
        <v>0.10074761359999999</v>
      </c>
      <c r="DG12">
        <v>1.2150621509999999E-2</v>
      </c>
      <c r="DH12">
        <v>7.2474939510000003E-2</v>
      </c>
      <c r="DI12">
        <v>0.1405299995</v>
      </c>
      <c r="DJ12">
        <v>1.377742129</v>
      </c>
      <c r="DK12">
        <v>0.13730245390000001</v>
      </c>
      <c r="DL12">
        <v>1.031055729</v>
      </c>
      <c r="DM12">
        <v>1.886445921</v>
      </c>
      <c r="DN12">
        <v>79.372564999999994</v>
      </c>
      <c r="DO12">
        <v>17.77450631</v>
      </c>
      <c r="DP12">
        <v>10.782147589999999</v>
      </c>
      <c r="DQ12">
        <v>97.569597880000003</v>
      </c>
      <c r="DR12">
        <v>0.46861377770000001</v>
      </c>
      <c r="DS12">
        <v>3.3436592170000001E-2</v>
      </c>
      <c r="DT12">
        <v>0.37675162719999999</v>
      </c>
      <c r="DU12">
        <v>0.57730208679999995</v>
      </c>
      <c r="DV12">
        <v>100.6682766</v>
      </c>
      <c r="DW12">
        <v>11.85601634</v>
      </c>
      <c r="DX12">
        <v>71.159183339999998</v>
      </c>
      <c r="DY12">
        <v>137.97872849999999</v>
      </c>
      <c r="DZ12">
        <v>0.55379954529999997</v>
      </c>
      <c r="EA12">
        <v>0.111055612</v>
      </c>
      <c r="EB12">
        <v>0.41705560429999999</v>
      </c>
      <c r="EC12">
        <v>0.96245017470000005</v>
      </c>
      <c r="ED12">
        <v>0.46506284260000003</v>
      </c>
      <c r="EE12">
        <v>4.6058053539999998E-2</v>
      </c>
      <c r="EF12">
        <v>0.33274580599999998</v>
      </c>
      <c r="EG12">
        <v>0.59754311829999995</v>
      </c>
      <c r="EH12">
        <v>1.0188623880000001</v>
      </c>
      <c r="EI12">
        <v>0.1241749592</v>
      </c>
      <c r="EJ12">
        <v>0.80167142859999996</v>
      </c>
      <c r="EK12">
        <v>1.508419</v>
      </c>
      <c r="EL12">
        <v>0.45864864859999999</v>
      </c>
      <c r="EM12">
        <v>5.2053745579999998E-2</v>
      </c>
      <c r="EN12">
        <v>0.383121033</v>
      </c>
      <c r="EO12">
        <v>0.67516732499999998</v>
      </c>
      <c r="EP12">
        <v>1.384971653</v>
      </c>
      <c r="EQ12">
        <v>0.2020019206</v>
      </c>
      <c r="ER12">
        <v>1.0310410000000001</v>
      </c>
      <c r="ES12">
        <v>2.064254</v>
      </c>
      <c r="ET12">
        <v>0.14435310139999999</v>
      </c>
      <c r="EU12">
        <v>1.5444701369999999E-2</v>
      </c>
      <c r="EV12">
        <v>0.1206885572</v>
      </c>
      <c r="EW12">
        <v>0.2087622026</v>
      </c>
      <c r="EX12">
        <v>0.18329840319999999</v>
      </c>
      <c r="EY12">
        <v>2.0576081390000001E-2</v>
      </c>
      <c r="EZ12">
        <v>0.1517660331</v>
      </c>
      <c r="FA12">
        <v>0.26770483389999999</v>
      </c>
      <c r="FB12">
        <v>0.23121914709999999</v>
      </c>
      <c r="FC12">
        <v>0.26656612019999998</v>
      </c>
      <c r="FD12">
        <v>-0.29318031880000001</v>
      </c>
      <c r="FE12">
        <v>1.0356821430000001</v>
      </c>
      <c r="FF12">
        <v>3.4008317450000001</v>
      </c>
      <c r="FG12">
        <v>0.40444953690000002</v>
      </c>
      <c r="FH12">
        <v>2.6861322059999999</v>
      </c>
      <c r="FI12">
        <v>5.105816484</v>
      </c>
      <c r="FJ12">
        <v>0.7670271085</v>
      </c>
      <c r="FK12">
        <v>0.18243610630000001</v>
      </c>
      <c r="FL12">
        <v>0.49097346149999999</v>
      </c>
      <c r="FM12">
        <v>1.387561606</v>
      </c>
      <c r="FN12">
        <v>0.61794454409999999</v>
      </c>
      <c r="FO12">
        <v>9.7956751519999996E-2</v>
      </c>
      <c r="FP12">
        <v>0.38811066309999998</v>
      </c>
      <c r="FQ12">
        <v>0.96020737209999996</v>
      </c>
      <c r="FR12">
        <v>1.307080574</v>
      </c>
      <c r="FS12">
        <v>0.19801326020000001</v>
      </c>
      <c r="FT12">
        <v>0.98904899999999996</v>
      </c>
      <c r="FU12">
        <v>1.9272419999999999</v>
      </c>
      <c r="FV12">
        <v>1.135722747</v>
      </c>
      <c r="FW12">
        <v>0.2178103894</v>
      </c>
      <c r="FX12">
        <v>0.69208700000000001</v>
      </c>
      <c r="FY12">
        <v>1.7351890000000001</v>
      </c>
      <c r="FZ12">
        <v>6.0993576340000001E-2</v>
      </c>
      <c r="GA12">
        <v>4.8150602549999998E-3</v>
      </c>
      <c r="GB12">
        <v>5.0244545279999997E-2</v>
      </c>
      <c r="GC12">
        <v>7.8975428299999997E-2</v>
      </c>
      <c r="GD12">
        <v>1.382803319</v>
      </c>
      <c r="GE12">
        <v>0.14415173240000001</v>
      </c>
      <c r="GF12">
        <v>1.0310596540000001</v>
      </c>
      <c r="GG12">
        <v>1.950777438</v>
      </c>
      <c r="GH12">
        <v>82.782045499999995</v>
      </c>
      <c r="GI12">
        <v>23.936649339999999</v>
      </c>
      <c r="GJ12">
        <v>7.1657227280000004</v>
      </c>
      <c r="GK12">
        <v>99.926126569999994</v>
      </c>
      <c r="GL12">
        <v>0.2947657461</v>
      </c>
      <c r="GM12">
        <v>3.036472129E-2</v>
      </c>
      <c r="GN12">
        <v>0.2457215368</v>
      </c>
      <c r="GO12">
        <v>0.42112389659999999</v>
      </c>
      <c r="GP12">
        <v>8.3473446619999994</v>
      </c>
      <c r="GQ12">
        <v>1.205957033</v>
      </c>
      <c r="GR12">
        <v>5.5651317410000001</v>
      </c>
      <c r="GS12">
        <v>12.18911598</v>
      </c>
      <c r="GT12">
        <v>164.9449888</v>
      </c>
      <c r="GU12">
        <v>12.677717729999999</v>
      </c>
      <c r="GV12">
        <v>126.62166209999999</v>
      </c>
      <c r="GW12">
        <v>199.02657980000001</v>
      </c>
      <c r="GX12">
        <v>0.53071209829999999</v>
      </c>
      <c r="GY12">
        <v>0.1088349944</v>
      </c>
      <c r="GZ12">
        <v>0.37411032509999997</v>
      </c>
      <c r="HA12">
        <v>0.93247029429999995</v>
      </c>
      <c r="HB12">
        <v>0.45732753250000002</v>
      </c>
      <c r="HC12">
        <v>4.7256725489999998E-2</v>
      </c>
      <c r="HD12">
        <v>0.33274585249999999</v>
      </c>
      <c r="HE12">
        <v>0.59729125890000001</v>
      </c>
      <c r="HF12">
        <v>0.98803963080000001</v>
      </c>
      <c r="HG12">
        <v>0.1075602205</v>
      </c>
      <c r="HH12">
        <v>0.7749842857</v>
      </c>
      <c r="HI12">
        <v>1.4031175709999999</v>
      </c>
      <c r="HJ12">
        <v>0.45024708540000002</v>
      </c>
      <c r="HK12">
        <v>4.7589675210000001E-2</v>
      </c>
      <c r="HL12">
        <v>0.37743912769999999</v>
      </c>
      <c r="HM12">
        <v>0.62286629760000001</v>
      </c>
      <c r="HN12">
        <v>1.3154890420000001</v>
      </c>
      <c r="HO12">
        <v>0.16313581569999999</v>
      </c>
      <c r="HP12">
        <v>0.96412200000000003</v>
      </c>
      <c r="HQ12">
        <v>1.772243</v>
      </c>
      <c r="HR12">
        <v>0.14335094910000001</v>
      </c>
      <c r="HS12">
        <v>1.4650516949999999E-2</v>
      </c>
      <c r="HT12">
        <v>0.1203598374</v>
      </c>
      <c r="HU12">
        <v>0.20234959550000001</v>
      </c>
      <c r="HV12">
        <v>0.18128161849999999</v>
      </c>
      <c r="HW12">
        <v>1.9318703140000001E-2</v>
      </c>
      <c r="HX12">
        <v>0.15176603890000001</v>
      </c>
      <c r="HY12">
        <v>0.25683384469999998</v>
      </c>
      <c r="HZ12">
        <v>0.2002989728</v>
      </c>
      <c r="IA12">
        <v>0.29758988149999999</v>
      </c>
      <c r="IB12">
        <v>-0.30260143950000001</v>
      </c>
      <c r="IC12">
        <v>1.1312721489999999</v>
      </c>
      <c r="ID12">
        <v>3.302610321</v>
      </c>
      <c r="IE12">
        <v>0.39037267269999998</v>
      </c>
      <c r="IF12">
        <v>2.565097916</v>
      </c>
      <c r="IG12">
        <v>4.8952542760000002</v>
      </c>
      <c r="IH12">
        <v>0.71294576750000005</v>
      </c>
      <c r="II12">
        <v>0.1619109332</v>
      </c>
      <c r="IJ12">
        <v>0.4416701569</v>
      </c>
      <c r="IK12">
        <v>1.214338744</v>
      </c>
      <c r="IL12">
        <v>0.60254327460000001</v>
      </c>
      <c r="IM12">
        <v>9.8953117440000002E-2</v>
      </c>
      <c r="IN12">
        <v>0.3881107097</v>
      </c>
      <c r="IO12">
        <v>0.96020737209999996</v>
      </c>
      <c r="IP12">
        <v>1.2428996839999999</v>
      </c>
      <c r="IQ12">
        <v>0.15885067089999999</v>
      </c>
      <c r="IR12">
        <v>0.89373199999999997</v>
      </c>
      <c r="IS12">
        <v>1.674331</v>
      </c>
      <c r="IT12">
        <v>1.098217837</v>
      </c>
      <c r="IU12">
        <v>0.19026661489999999</v>
      </c>
      <c r="IV12">
        <v>0.69209900000000002</v>
      </c>
      <c r="IW12">
        <v>1.6422019999999999</v>
      </c>
      <c r="IX12">
        <v>6.0484864690000001E-2</v>
      </c>
      <c r="IY12">
        <v>4.6838302719999997E-3</v>
      </c>
      <c r="IZ12">
        <v>5.0119090739999997E-2</v>
      </c>
      <c r="JA12">
        <v>7.7863098320000004E-2</v>
      </c>
      <c r="JB12">
        <v>1.370833602</v>
      </c>
      <c r="JC12">
        <v>0.1385665784</v>
      </c>
      <c r="JD12">
        <v>1.027188548</v>
      </c>
      <c r="JE12">
        <v>1.878650589</v>
      </c>
      <c r="JF12">
        <v>87.688733389999996</v>
      </c>
      <c r="JG12">
        <v>19.84551733</v>
      </c>
      <c r="JH12">
        <v>17.941106300000001</v>
      </c>
      <c r="JI12">
        <v>100</v>
      </c>
      <c r="JJ12">
        <v>0.29425943719999997</v>
      </c>
      <c r="JK12">
        <v>2.916855569E-2</v>
      </c>
      <c r="JL12">
        <v>0.2457263113</v>
      </c>
      <c r="JM12">
        <v>0.41790314080000002</v>
      </c>
      <c r="JN12">
        <v>8.7906669639999997</v>
      </c>
      <c r="JO12">
        <v>1.2802111350000001</v>
      </c>
      <c r="JP12">
        <v>5.8852499380000003</v>
      </c>
      <c r="JQ12">
        <v>12.18911598</v>
      </c>
      <c r="JR12">
        <v>166.2940692</v>
      </c>
      <c r="JS12">
        <v>12.527689410000001</v>
      </c>
      <c r="JT12">
        <v>128.430543</v>
      </c>
      <c r="JU12">
        <v>199.52476899999999</v>
      </c>
      <c r="JV12">
        <v>0.27996859280000003</v>
      </c>
      <c r="JW12">
        <v>4.9291197430000003E-2</v>
      </c>
      <c r="JX12">
        <v>0.18101791959999999</v>
      </c>
      <c r="JY12">
        <v>0.60890795269999998</v>
      </c>
      <c r="JZ12">
        <v>0.38688088609999999</v>
      </c>
      <c r="KA12">
        <v>7.5992815650000003E-2</v>
      </c>
      <c r="KB12">
        <v>0.26633907509999999</v>
      </c>
      <c r="KC12">
        <v>0.65087345890000003</v>
      </c>
      <c r="KD12">
        <v>0.66684947890000001</v>
      </c>
      <c r="KE12">
        <v>8.1919008099999996E-2</v>
      </c>
      <c r="KF12">
        <v>0.51375599999999999</v>
      </c>
      <c r="KG12">
        <v>1.015668</v>
      </c>
      <c r="KH12">
        <v>0.46377814340000001</v>
      </c>
      <c r="KI12">
        <v>6.1369593479999998E-2</v>
      </c>
      <c r="KJ12">
        <v>0.31839000000000001</v>
      </c>
      <c r="KK12">
        <v>0.62931833329999998</v>
      </c>
      <c r="KL12">
        <v>0.66684947890000001</v>
      </c>
      <c r="KM12">
        <v>8.1919008099999996E-2</v>
      </c>
      <c r="KN12">
        <v>0.51375599999999999</v>
      </c>
      <c r="KO12">
        <v>1.015668</v>
      </c>
      <c r="KP12">
        <v>0.1440311584</v>
      </c>
      <c r="KQ12">
        <v>1.4551051650000001E-2</v>
      </c>
      <c r="KR12">
        <v>0.1033007625</v>
      </c>
      <c r="KS12">
        <v>0.18982292249999999</v>
      </c>
      <c r="KT12">
        <v>0.17003807009999999</v>
      </c>
      <c r="KU12">
        <v>1.5660063599999999E-2</v>
      </c>
      <c r="KV12">
        <v>0.1220187537</v>
      </c>
      <c r="KW12">
        <v>0.21588432090000001</v>
      </c>
      <c r="KX12">
        <v>-0.2996278248</v>
      </c>
      <c r="KY12">
        <v>0.34089102789999998</v>
      </c>
      <c r="KZ12">
        <v>-1.364858702</v>
      </c>
      <c r="LA12">
        <v>0.36643250309999997</v>
      </c>
      <c r="LB12">
        <v>2.3276349600000001</v>
      </c>
      <c r="LC12">
        <v>0.63116562409999999</v>
      </c>
      <c r="LD12">
        <v>1.6583051550000001</v>
      </c>
      <c r="LE12">
        <v>5.2337050850000004</v>
      </c>
      <c r="LF12">
        <v>1.511265232</v>
      </c>
      <c r="LG12">
        <v>5.5703089829999997E-2</v>
      </c>
      <c r="LH12">
        <v>1.152644996</v>
      </c>
      <c r="LI12">
        <v>1.729599994</v>
      </c>
      <c r="LJ12">
        <v>3.746262551E-2</v>
      </c>
      <c r="LK12">
        <v>3.4464404089999999E-3</v>
      </c>
      <c r="LL12">
        <v>2.7996797449999999E-2</v>
      </c>
      <c r="LM12">
        <v>4.923659121E-2</v>
      </c>
      <c r="LN12">
        <v>99.986945250000005</v>
      </c>
      <c r="LO12">
        <v>0.17947312430000001</v>
      </c>
      <c r="LP12">
        <v>97.519597719999993</v>
      </c>
      <c r="LQ12">
        <v>100</v>
      </c>
      <c r="LR12">
        <v>0.32682889339999999</v>
      </c>
      <c r="LS12">
        <v>4.2262228550000003E-2</v>
      </c>
      <c r="LT12">
        <v>0.19685565250000001</v>
      </c>
      <c r="LU12">
        <v>0.47396909450000002</v>
      </c>
      <c r="LV12">
        <v>19.3503778</v>
      </c>
      <c r="LW12">
        <v>5.799557096</v>
      </c>
      <c r="LX12">
        <v>2.2978347330000002</v>
      </c>
      <c r="LY12">
        <v>29.60671675</v>
      </c>
      <c r="LZ12">
        <v>6.6271346099999997</v>
      </c>
      <c r="MA12">
        <v>0.27838664860000001</v>
      </c>
      <c r="MB12">
        <v>5.7816836460000003</v>
      </c>
      <c r="MC12">
        <v>8.6756980979999998</v>
      </c>
      <c r="MD12">
        <v>0.27737573370000002</v>
      </c>
      <c r="ME12">
        <v>4.8096442449999999E-2</v>
      </c>
      <c r="MF12">
        <v>0.18052968759999999</v>
      </c>
      <c r="MG12">
        <v>0.56772930669999999</v>
      </c>
      <c r="MH12">
        <v>0.37933880310000001</v>
      </c>
      <c r="MI12">
        <v>7.5534673580000003E-2</v>
      </c>
      <c r="MJ12">
        <v>0.2427666933</v>
      </c>
      <c r="MK12">
        <v>0.64364345649999999</v>
      </c>
      <c r="ML12">
        <v>0.65671453680000003</v>
      </c>
      <c r="MM12">
        <v>7.3012914319999997E-2</v>
      </c>
      <c r="MN12">
        <v>0.511795</v>
      </c>
      <c r="MO12">
        <v>0.86297599999999997</v>
      </c>
      <c r="MP12">
        <v>0.4605166154</v>
      </c>
      <c r="MQ12">
        <v>6.4119727200000004E-2</v>
      </c>
      <c r="MR12">
        <v>0.25552859999999999</v>
      </c>
      <c r="MS12">
        <v>0.62904166669999995</v>
      </c>
      <c r="MT12">
        <v>0.65671453680000003</v>
      </c>
      <c r="MU12">
        <v>7.3012914319999997E-2</v>
      </c>
      <c r="MV12">
        <v>0.511795</v>
      </c>
      <c r="MW12">
        <v>0.86297599999999997</v>
      </c>
      <c r="MX12">
        <v>0.14304853279999999</v>
      </c>
      <c r="MY12">
        <v>1.55662636E-2</v>
      </c>
      <c r="MZ12">
        <v>9.0235543249999994E-2</v>
      </c>
      <c r="NA12">
        <v>0.18974270660000001</v>
      </c>
      <c r="NB12">
        <v>0.1686483966</v>
      </c>
      <c r="NC12">
        <v>1.6699665690000001E-2</v>
      </c>
      <c r="ND12">
        <v>0.1218391932</v>
      </c>
      <c r="NE12">
        <v>0.21577921319999999</v>
      </c>
      <c r="NF12">
        <v>-0.28523285399999998</v>
      </c>
      <c r="NG12">
        <v>0.35968833760000002</v>
      </c>
      <c r="NH12">
        <v>-1.4257640389999999</v>
      </c>
      <c r="NI12">
        <v>1.0410757479999999</v>
      </c>
      <c r="NJ12">
        <v>2.3158266599999999</v>
      </c>
      <c r="NK12">
        <v>0.65862491280000002</v>
      </c>
      <c r="NL12">
        <v>1.653852366</v>
      </c>
      <c r="NM12">
        <v>5.9184080479999999</v>
      </c>
      <c r="NN12">
        <v>1.508133237</v>
      </c>
      <c r="NO12">
        <v>7.0557572779999994E-2</v>
      </c>
      <c r="NP12">
        <v>0.92073599679999996</v>
      </c>
      <c r="NQ12">
        <v>1.7268399940000001</v>
      </c>
      <c r="NR12">
        <v>3.7176516579999999E-2</v>
      </c>
      <c r="NS12">
        <v>3.4755982620000001E-3</v>
      </c>
      <c r="NT12">
        <v>2.7927543320000001E-2</v>
      </c>
      <c r="NU12">
        <v>4.9210152690000002E-2</v>
      </c>
      <c r="NV12">
        <v>100</v>
      </c>
      <c r="NW12">
        <v>0</v>
      </c>
      <c r="NX12">
        <v>100</v>
      </c>
      <c r="NY12">
        <v>100</v>
      </c>
      <c r="NZ12">
        <v>0.32530341340000002</v>
      </c>
      <c r="OA12">
        <v>4.3711311760000003E-2</v>
      </c>
      <c r="OB12">
        <v>0.17967801280000001</v>
      </c>
      <c r="OC12">
        <v>0.47389385039999998</v>
      </c>
      <c r="OD12">
        <v>19.593100100000001</v>
      </c>
      <c r="OE12">
        <v>5.6462386469999997</v>
      </c>
      <c r="OF12">
        <v>0</v>
      </c>
      <c r="OG12">
        <v>29.474149359999998</v>
      </c>
      <c r="OH12">
        <v>6.6498317809999996</v>
      </c>
      <c r="OI12">
        <v>0.41722164070000001</v>
      </c>
      <c r="OJ12">
        <v>5.7909244830000004</v>
      </c>
      <c r="OK12">
        <v>10.86087655</v>
      </c>
      <c r="OL12">
        <v>0.20022883129999999</v>
      </c>
      <c r="OM12">
        <v>0.18916580920000001</v>
      </c>
      <c r="ON12">
        <v>3.7153706460000002</v>
      </c>
      <c r="OO12">
        <v>1.5399959999999999</v>
      </c>
      <c r="OP12">
        <v>1.2290570000000001</v>
      </c>
      <c r="OQ12">
        <v>2.769053</v>
      </c>
      <c r="OR12">
        <v>0.15625852730000001</v>
      </c>
      <c r="OS12" s="2">
        <v>1.1621526809999999E-5</v>
      </c>
      <c r="OT12">
        <v>2.5904201439999998E-4</v>
      </c>
      <c r="OU12" s="2">
        <v>1.1621526809999999E-5</v>
      </c>
      <c r="OV12">
        <v>1.7408430090000001E-4</v>
      </c>
      <c r="OW12">
        <v>2.3676469909999999E-4</v>
      </c>
      <c r="OX12" s="2">
        <v>2.2277315280000001E-5</v>
      </c>
      <c r="OY12">
        <v>0.4860754732</v>
      </c>
      <c r="OZ12">
        <v>0.23310832149999999</v>
      </c>
      <c r="PA12">
        <v>0.19334782249999999</v>
      </c>
      <c r="PB12">
        <v>10.511143690000001</v>
      </c>
      <c r="PC12">
        <v>89.477099370000005</v>
      </c>
      <c r="PD12">
        <v>0.19788505840000001</v>
      </c>
      <c r="PE12">
        <v>0.16660593409999999</v>
      </c>
      <c r="PF12">
        <v>3.4769314489999998</v>
      </c>
      <c r="PG12">
        <v>1.374423</v>
      </c>
      <c r="PH12">
        <v>1.1393660000000001</v>
      </c>
      <c r="PI12">
        <v>2.5137890000000001</v>
      </c>
      <c r="PJ12">
        <v>0.1554293145</v>
      </c>
      <c r="PK12" s="2">
        <v>1.105854069E-5</v>
      </c>
      <c r="PL12">
        <v>2.5835782989999998E-4</v>
      </c>
      <c r="PM12" s="2">
        <v>1.105854069E-5</v>
      </c>
      <c r="PN12">
        <v>1.7436281959999999E-4</v>
      </c>
      <c r="PO12">
        <v>2.3650618039999999E-4</v>
      </c>
      <c r="PP12" s="2">
        <v>2.1851649510000001E-5</v>
      </c>
      <c r="PQ12">
        <v>0.48730207920000002</v>
      </c>
      <c r="PR12">
        <v>0.22208608499999999</v>
      </c>
      <c r="PS12">
        <v>0.18515346529999999</v>
      </c>
      <c r="PT12">
        <v>10.431731490000001</v>
      </c>
      <c r="PU12">
        <v>89.498987130000003</v>
      </c>
      <c r="PV12">
        <v>0.95970685990000004</v>
      </c>
      <c r="PW12">
        <v>0.23261154840000001</v>
      </c>
      <c r="PX12">
        <v>0.36530103860000002</v>
      </c>
      <c r="PY12">
        <v>6.8545859790000003</v>
      </c>
      <c r="PZ12">
        <v>88.96982654</v>
      </c>
      <c r="QA12">
        <v>0.95968261779999997</v>
      </c>
      <c r="QB12">
        <v>0.21415834659999999</v>
      </c>
      <c r="QC12">
        <v>0.35317615899999999</v>
      </c>
      <c r="QD12">
        <v>6.8570361149999997</v>
      </c>
      <c r="QE12">
        <v>88.975816719999997</v>
      </c>
      <c r="QF12" s="2">
        <v>1.272849695E-5</v>
      </c>
      <c r="QG12">
        <v>3.3969967319999998E-4</v>
      </c>
      <c r="QH12">
        <v>4.1486532679999998E-4</v>
      </c>
      <c r="QI12" s="2">
        <v>4.2741213989999998E-5</v>
      </c>
      <c r="QJ12" s="2">
        <v>1.209929901E-5</v>
      </c>
      <c r="QK12">
        <v>3.3969833409999998E-4</v>
      </c>
      <c r="QL12">
        <v>4.1485566590000002E-4</v>
      </c>
      <c r="QM12" s="2">
        <v>4.205884236E-5</v>
      </c>
      <c r="QN12">
        <v>16.811732729999999</v>
      </c>
      <c r="QO12">
        <v>89.997204109999998</v>
      </c>
      <c r="QP12">
        <v>2.7951858390000001E-2</v>
      </c>
      <c r="QQ12">
        <v>105.748621</v>
      </c>
      <c r="QR12">
        <v>16.897911839999999</v>
      </c>
      <c r="QS12">
        <v>89.996812199999994</v>
      </c>
      <c r="QT12">
        <v>2.658726506E-2</v>
      </c>
      <c r="QU12">
        <v>105.74958700000001</v>
      </c>
    </row>
    <row r="13" spans="1:463" x14ac:dyDescent="0.2">
      <c r="A13" t="s">
        <v>285</v>
      </c>
      <c r="B13" s="2">
        <v>-4.8657537040000003E-12</v>
      </c>
      <c r="C13" s="2">
        <v>8.935175365E-12</v>
      </c>
      <c r="D13">
        <v>1.7920403879999999E-3</v>
      </c>
      <c r="E13">
        <v>6.5884621939999999E-2</v>
      </c>
      <c r="F13">
        <v>0.55232741500000004</v>
      </c>
      <c r="G13">
        <v>5.494208748E-3</v>
      </c>
      <c r="H13">
        <v>0.20199537279999999</v>
      </c>
      <c r="I13">
        <v>1.6933781939999999</v>
      </c>
      <c r="J13">
        <v>32.615104580000001</v>
      </c>
      <c r="K13">
        <v>32.616896619999999</v>
      </c>
      <c r="L13">
        <v>32.616896619999999</v>
      </c>
      <c r="M13">
        <v>32.616896619999999</v>
      </c>
      <c r="N13">
        <v>32.551012</v>
      </c>
      <c r="O13">
        <v>32.616896619999999</v>
      </c>
      <c r="P13">
        <v>32.064569210000002</v>
      </c>
      <c r="Q13">
        <v>32.616896619999999</v>
      </c>
      <c r="R13">
        <v>1.8492472419999999</v>
      </c>
      <c r="S13">
        <v>0.2327184212</v>
      </c>
      <c r="T13">
        <v>1.3445403840000001</v>
      </c>
      <c r="U13">
        <v>2.4371675279999998</v>
      </c>
      <c r="V13">
        <v>1.556881859</v>
      </c>
      <c r="W13">
        <v>0.14734894949999999</v>
      </c>
      <c r="X13">
        <v>1.2370853669999999</v>
      </c>
      <c r="Y13">
        <v>2.0462954290000002</v>
      </c>
      <c r="Z13">
        <v>3.4061291009999999</v>
      </c>
      <c r="AA13">
        <v>0.26648732939999997</v>
      </c>
      <c r="AB13">
        <v>2.6505782</v>
      </c>
      <c r="AC13">
        <v>3.9354594000000001</v>
      </c>
      <c r="AD13">
        <v>1.3773663949999999</v>
      </c>
      <c r="AE13">
        <v>0.2009941586</v>
      </c>
      <c r="AF13">
        <v>0.93040824160000002</v>
      </c>
      <c r="AG13">
        <v>1.9823803179999999</v>
      </c>
      <c r="AH13">
        <v>3.4061291009999999</v>
      </c>
      <c r="AI13">
        <v>0.26648732939999997</v>
      </c>
      <c r="AJ13">
        <v>2.6505782</v>
      </c>
      <c r="AK13">
        <v>3.9354594000000001</v>
      </c>
      <c r="AL13">
        <v>0.42248848680000001</v>
      </c>
      <c r="AM13">
        <v>6.7216317610000006E-2</v>
      </c>
      <c r="AN13">
        <v>0.2778302835</v>
      </c>
      <c r="AO13">
        <v>0.60894496139999998</v>
      </c>
      <c r="AP13">
        <v>0.52618548570000001</v>
      </c>
      <c r="AQ13">
        <v>7.4108961220000005E-2</v>
      </c>
      <c r="AR13">
        <v>0.35202008959999997</v>
      </c>
      <c r="AS13">
        <v>0.72766832550000005</v>
      </c>
      <c r="AT13">
        <v>0.11002674699999999</v>
      </c>
      <c r="AU13">
        <v>0.16389400209999999</v>
      </c>
      <c r="AV13">
        <v>-0.31519067360000003</v>
      </c>
      <c r="AW13">
        <v>0.55143804029999999</v>
      </c>
      <c r="AX13">
        <v>2.9637043680000001</v>
      </c>
      <c r="AY13">
        <v>0.36941124359999999</v>
      </c>
      <c r="AZ13">
        <v>2.2153035089999999</v>
      </c>
      <c r="BA13">
        <v>4.6307189170000003</v>
      </c>
      <c r="BB13">
        <v>4.472088749E-2</v>
      </c>
      <c r="BC13">
        <v>5.0122157870000003E-3</v>
      </c>
      <c r="BD13">
        <v>3.5565263040000003E-2</v>
      </c>
      <c r="BE13">
        <v>6.6704999769999995E-2</v>
      </c>
      <c r="BF13">
        <v>9.0325214690000006</v>
      </c>
      <c r="BG13">
        <v>1.90575279</v>
      </c>
      <c r="BH13">
        <v>4.5359051890000002</v>
      </c>
      <c r="BI13">
        <v>14.66783798</v>
      </c>
      <c r="BJ13">
        <v>6.9240400409999996</v>
      </c>
      <c r="BK13">
        <v>4.6829750450000001</v>
      </c>
      <c r="BL13">
        <v>0.72912063630000001</v>
      </c>
      <c r="BM13">
        <v>23.333592540000001</v>
      </c>
      <c r="BN13">
        <v>0.89836811400000005</v>
      </c>
      <c r="BO13">
        <v>0.1665432681</v>
      </c>
      <c r="BP13">
        <v>0.55381467569999998</v>
      </c>
      <c r="BQ13">
        <v>1.3597555830000001</v>
      </c>
      <c r="BR13">
        <v>226.2403908</v>
      </c>
      <c r="BS13">
        <v>23.868076330000001</v>
      </c>
      <c r="BT13">
        <v>149.9138001</v>
      </c>
      <c r="BU13">
        <v>281.17323329999999</v>
      </c>
      <c r="BV13">
        <v>1.5325922219999999</v>
      </c>
      <c r="BW13">
        <v>0.14437325779999999</v>
      </c>
      <c r="BX13">
        <v>1.0630168369999999</v>
      </c>
      <c r="BY13">
        <v>1.8100022339999999</v>
      </c>
      <c r="BZ13">
        <v>1.3414391109999999</v>
      </c>
      <c r="CA13">
        <v>0.13021666940000001</v>
      </c>
      <c r="CB13">
        <v>1.0868720679999999</v>
      </c>
      <c r="CC13">
        <v>1.829652974</v>
      </c>
      <c r="CD13">
        <v>2.874031333</v>
      </c>
      <c r="CE13">
        <v>9.4191112669999993E-2</v>
      </c>
      <c r="CF13">
        <v>2.5024617</v>
      </c>
      <c r="CG13">
        <v>3.0313636000000002</v>
      </c>
      <c r="CH13">
        <v>1.3129473730000001</v>
      </c>
      <c r="CI13">
        <v>0.16886595269999999</v>
      </c>
      <c r="CJ13">
        <v>0.905910734</v>
      </c>
      <c r="CK13">
        <v>1.792091189</v>
      </c>
      <c r="CL13">
        <v>2.874031333</v>
      </c>
      <c r="CM13">
        <v>9.4191112669999993E-2</v>
      </c>
      <c r="CN13">
        <v>2.5024617</v>
      </c>
      <c r="CO13">
        <v>3.0313636000000002</v>
      </c>
      <c r="CP13">
        <v>0.41515028970000001</v>
      </c>
      <c r="CQ13">
        <v>6.1515827039999998E-2</v>
      </c>
      <c r="CR13">
        <v>0.27674771139999998</v>
      </c>
      <c r="CS13">
        <v>0.58374781850000002</v>
      </c>
      <c r="CT13">
        <v>0.51334236119999999</v>
      </c>
      <c r="CU13">
        <v>6.6201681420000005E-2</v>
      </c>
      <c r="CV13">
        <v>0.34928628779999998</v>
      </c>
      <c r="CW13">
        <v>0.69007227680000005</v>
      </c>
      <c r="CX13">
        <v>9.9847026579999998E-2</v>
      </c>
      <c r="CY13">
        <v>0.1527910032</v>
      </c>
      <c r="CZ13">
        <v>-0.26774690010000002</v>
      </c>
      <c r="DA13">
        <v>0.51024891059999999</v>
      </c>
      <c r="DB13">
        <v>2.7644931060000002</v>
      </c>
      <c r="DC13">
        <v>0.31901511129999999</v>
      </c>
      <c r="DD13">
        <v>2.0797428459999998</v>
      </c>
      <c r="DE13">
        <v>4.0103324740000001</v>
      </c>
      <c r="DF13">
        <v>4.412463355E-2</v>
      </c>
      <c r="DG13">
        <v>4.8108970900000003E-3</v>
      </c>
      <c r="DH13">
        <v>3.4017376930000003E-2</v>
      </c>
      <c r="DI13">
        <v>6.4613052409999996E-2</v>
      </c>
      <c r="DJ13">
        <v>8.3700903259999997</v>
      </c>
      <c r="DK13">
        <v>1.551913594</v>
      </c>
      <c r="DL13">
        <v>4.2394619100000002</v>
      </c>
      <c r="DM13">
        <v>13.23297258</v>
      </c>
      <c r="DN13">
        <v>16.289181549999999</v>
      </c>
      <c r="DO13">
        <v>7.6715238929999998</v>
      </c>
      <c r="DP13">
        <v>4.9049933719999999</v>
      </c>
      <c r="DQ13">
        <v>48.093975790000002</v>
      </c>
      <c r="DR13">
        <v>0.89079789369999995</v>
      </c>
      <c r="DS13">
        <v>0.15773965549999999</v>
      </c>
      <c r="DT13">
        <v>0.55345881919999995</v>
      </c>
      <c r="DU13">
        <v>1.2929754630000001</v>
      </c>
      <c r="DV13">
        <v>229.16600600000001</v>
      </c>
      <c r="DW13">
        <v>23.609334539999999</v>
      </c>
      <c r="DX13">
        <v>154.76749090000001</v>
      </c>
      <c r="DY13">
        <v>293.96740440000002</v>
      </c>
      <c r="DZ13">
        <v>1.4556290249999999</v>
      </c>
      <c r="EA13">
        <v>0.20265968179999999</v>
      </c>
      <c r="EB13">
        <v>1.0135578080000001</v>
      </c>
      <c r="EC13">
        <v>1.9863536740000001</v>
      </c>
      <c r="ED13">
        <v>1.3013012479999999</v>
      </c>
      <c r="EE13">
        <v>0.1447851651</v>
      </c>
      <c r="EF13">
        <v>0.9547640812</v>
      </c>
      <c r="EG13">
        <v>1.7665508080000001</v>
      </c>
      <c r="EH13">
        <v>2.756930273</v>
      </c>
      <c r="EI13">
        <v>0.29312637809999997</v>
      </c>
      <c r="EJ13">
        <v>2.0090635429999999</v>
      </c>
      <c r="EK13">
        <v>3.5120856429999998</v>
      </c>
      <c r="EL13">
        <v>1.336219067</v>
      </c>
      <c r="EM13">
        <v>0.20363418220000001</v>
      </c>
      <c r="EN13">
        <v>0.8757861267</v>
      </c>
      <c r="EO13">
        <v>1.909888341</v>
      </c>
      <c r="EP13">
        <v>3.3788555429999998</v>
      </c>
      <c r="EQ13">
        <v>0.32478312520000002</v>
      </c>
      <c r="ER13">
        <v>2.5619277</v>
      </c>
      <c r="ES13">
        <v>4.1460051</v>
      </c>
      <c r="ET13">
        <v>0.39802881340000001</v>
      </c>
      <c r="EU13">
        <v>6.6661135139999994E-2</v>
      </c>
      <c r="EV13">
        <v>0.248758382</v>
      </c>
      <c r="EW13">
        <v>0.57419399469999999</v>
      </c>
      <c r="EX13">
        <v>0.49708886689999998</v>
      </c>
      <c r="EY13">
        <v>7.5493993049999999E-2</v>
      </c>
      <c r="EZ13">
        <v>0.31732067959999999</v>
      </c>
      <c r="FA13">
        <v>0.69248787359999997</v>
      </c>
      <c r="FB13">
        <v>0.1053710541</v>
      </c>
      <c r="FC13">
        <v>0.17919110150000001</v>
      </c>
      <c r="FD13">
        <v>-0.31881221040000002</v>
      </c>
      <c r="FE13">
        <v>0.57992433239999996</v>
      </c>
      <c r="FF13">
        <v>3.0686875900000001</v>
      </c>
      <c r="FG13">
        <v>0.38404039680000002</v>
      </c>
      <c r="FH13">
        <v>2.318639079</v>
      </c>
      <c r="FI13">
        <v>4.8876448549999996</v>
      </c>
      <c r="FJ13">
        <v>1.8201624569999999</v>
      </c>
      <c r="FK13">
        <v>0.2602619907</v>
      </c>
      <c r="FL13">
        <v>1.270454242</v>
      </c>
      <c r="FM13">
        <v>2.4579175289999999</v>
      </c>
      <c r="FN13">
        <v>1.5586930859999999</v>
      </c>
      <c r="FO13">
        <v>0.1776284222</v>
      </c>
      <c r="FP13">
        <v>1.1841217289999999</v>
      </c>
      <c r="FQ13">
        <v>2.147190223</v>
      </c>
      <c r="FR13">
        <v>3.2222463229999998</v>
      </c>
      <c r="FS13">
        <v>0.32163442330000003</v>
      </c>
      <c r="FT13">
        <v>2.4073926999999999</v>
      </c>
      <c r="FU13">
        <v>3.9572877000000002</v>
      </c>
      <c r="FV13">
        <v>2.7795250939999998</v>
      </c>
      <c r="FW13">
        <v>0.44008059529999999</v>
      </c>
      <c r="FX13">
        <v>1.3496119</v>
      </c>
      <c r="FY13">
        <v>3.7497326000000002</v>
      </c>
      <c r="FZ13">
        <v>4.1927788620000003E-2</v>
      </c>
      <c r="GA13">
        <v>4.0447745780000004E-3</v>
      </c>
      <c r="GB13">
        <v>3.3087337160000001E-2</v>
      </c>
      <c r="GC13">
        <v>6.0113406389999999E-2</v>
      </c>
      <c r="GD13">
        <v>8.9079861260000008</v>
      </c>
      <c r="GE13">
        <v>1.9170506860000001</v>
      </c>
      <c r="GF13">
        <v>4.4476785740000002</v>
      </c>
      <c r="GG13">
        <v>14.483543340000001</v>
      </c>
      <c r="GH13">
        <v>6.8515568580000004</v>
      </c>
      <c r="GI13">
        <v>4.5785491440000001</v>
      </c>
      <c r="GJ13">
        <v>0.2462447673</v>
      </c>
      <c r="GK13">
        <v>23.653977709999999</v>
      </c>
      <c r="GL13">
        <v>0.83746027379999999</v>
      </c>
      <c r="GM13">
        <v>0.1612773844</v>
      </c>
      <c r="GN13">
        <v>0.49846801439999999</v>
      </c>
      <c r="GO13">
        <v>1.286729727</v>
      </c>
      <c r="GP13">
        <v>8.5035705180000001</v>
      </c>
      <c r="GQ13">
        <v>1.895665025</v>
      </c>
      <c r="GR13">
        <v>4.7032750549999998</v>
      </c>
      <c r="GS13">
        <v>15.514942749999999</v>
      </c>
      <c r="GT13">
        <v>240.63140509999999</v>
      </c>
      <c r="GU13">
        <v>22.319556769999998</v>
      </c>
      <c r="GV13">
        <v>166.3522432</v>
      </c>
      <c r="GW13">
        <v>302.23042579999998</v>
      </c>
      <c r="GX13">
        <v>1.3163668369999999</v>
      </c>
      <c r="GY13">
        <v>0.13671785349999999</v>
      </c>
      <c r="GZ13">
        <v>1.0130845939999999</v>
      </c>
      <c r="HA13">
        <v>1.701332343</v>
      </c>
      <c r="HB13">
        <v>1.212511098</v>
      </c>
      <c r="HC13">
        <v>0.121391584</v>
      </c>
      <c r="HD13">
        <v>0.87994369670000006</v>
      </c>
      <c r="HE13">
        <v>1.619073035</v>
      </c>
      <c r="HF13">
        <v>2.5288779350000001</v>
      </c>
      <c r="HG13">
        <v>0.1964808361</v>
      </c>
      <c r="HH13">
        <v>1.934703343</v>
      </c>
      <c r="HI13">
        <v>2.945579414</v>
      </c>
      <c r="HJ13">
        <v>1.2772616990000001</v>
      </c>
      <c r="HK13">
        <v>0.17441236069999999</v>
      </c>
      <c r="HL13">
        <v>0.86405122249999999</v>
      </c>
      <c r="HM13">
        <v>1.8043840339999999</v>
      </c>
      <c r="HN13">
        <v>2.9649340149999999</v>
      </c>
      <c r="HO13">
        <v>0.18934570589999999</v>
      </c>
      <c r="HP13">
        <v>2.4207241000000002</v>
      </c>
      <c r="HQ13">
        <v>3.4220237999999998</v>
      </c>
      <c r="HR13">
        <v>0.39097593860000002</v>
      </c>
      <c r="HS13">
        <v>6.129168778E-2</v>
      </c>
      <c r="HT13">
        <v>0.24796654169999999</v>
      </c>
      <c r="HU13">
        <v>0.55087354730000004</v>
      </c>
      <c r="HV13">
        <v>0.48486482920000001</v>
      </c>
      <c r="HW13">
        <v>6.8026706290000002E-2</v>
      </c>
      <c r="HX13">
        <v>0.3149554457</v>
      </c>
      <c r="HY13">
        <v>0.65627843640000005</v>
      </c>
      <c r="HZ13">
        <v>8.5495252980000006E-2</v>
      </c>
      <c r="IA13">
        <v>0.1586224581</v>
      </c>
      <c r="IB13">
        <v>-0.26947913379999999</v>
      </c>
      <c r="IC13">
        <v>0.52721364020000006</v>
      </c>
      <c r="ID13">
        <v>2.8749098659999999</v>
      </c>
      <c r="IE13">
        <v>0.3177440097</v>
      </c>
      <c r="IF13">
        <v>2.1634542140000002</v>
      </c>
      <c r="IG13">
        <v>4.0212946199999999</v>
      </c>
      <c r="IH13">
        <v>1.547925671</v>
      </c>
      <c r="II13">
        <v>0.15100119470000001</v>
      </c>
      <c r="IJ13">
        <v>1.219286664</v>
      </c>
      <c r="IK13">
        <v>1.9626123289999999</v>
      </c>
      <c r="IL13">
        <v>1.4170083449999999</v>
      </c>
      <c r="IM13">
        <v>0.1462288699</v>
      </c>
      <c r="IN13">
        <v>1.020773325</v>
      </c>
      <c r="IO13">
        <v>1.909795578</v>
      </c>
      <c r="IP13">
        <v>2.8183889569999998</v>
      </c>
      <c r="IQ13">
        <v>0.1702734263</v>
      </c>
      <c r="IR13">
        <v>2.3579262000000001</v>
      </c>
      <c r="IS13">
        <v>3.1851482</v>
      </c>
      <c r="IT13">
        <v>2.5341864200000002</v>
      </c>
      <c r="IU13">
        <v>0.29006693420000002</v>
      </c>
      <c r="IV13">
        <v>1.349613</v>
      </c>
      <c r="IW13">
        <v>3.0439069999999999</v>
      </c>
      <c r="IX13">
        <v>4.152376294E-2</v>
      </c>
      <c r="IY13">
        <v>3.8044355079999998E-3</v>
      </c>
      <c r="IZ13">
        <v>3.2136551610000001E-2</v>
      </c>
      <c r="JA13">
        <v>5.5819591639999999E-2</v>
      </c>
      <c r="JB13">
        <v>8.2783932419999999</v>
      </c>
      <c r="JC13">
        <v>1.5689298389999999</v>
      </c>
      <c r="JD13">
        <v>4.2161845810000003</v>
      </c>
      <c r="JE13">
        <v>12.92169275</v>
      </c>
      <c r="JF13">
        <v>14.244284589999999</v>
      </c>
      <c r="JG13">
        <v>6.1841234419999997</v>
      </c>
      <c r="JH13">
        <v>2.954937208</v>
      </c>
      <c r="JI13">
        <v>38.882048760000004</v>
      </c>
      <c r="JJ13">
        <v>0.82985168990000002</v>
      </c>
      <c r="JK13">
        <v>0.1524322726</v>
      </c>
      <c r="JL13">
        <v>0.49862972519999998</v>
      </c>
      <c r="JM13">
        <v>1.2222539910000001</v>
      </c>
      <c r="JN13">
        <v>10.033939589999999</v>
      </c>
      <c r="JO13">
        <v>2.3519637750000002</v>
      </c>
      <c r="JP13">
        <v>5.4420093569999999</v>
      </c>
      <c r="JQ13">
        <v>18.542230979999999</v>
      </c>
      <c r="JR13">
        <v>242.77998830000001</v>
      </c>
      <c r="JS13">
        <v>21.55768801</v>
      </c>
      <c r="JT13">
        <v>179.1485696</v>
      </c>
      <c r="JU13">
        <v>311.17215440000001</v>
      </c>
      <c r="JV13">
        <v>0.2633020606</v>
      </c>
      <c r="JW13">
        <v>7.2464185819999999E-2</v>
      </c>
      <c r="JX13">
        <v>0.11840635150000001</v>
      </c>
      <c r="JY13">
        <v>0.46236876690000001</v>
      </c>
      <c r="JZ13">
        <v>0.29371533999999999</v>
      </c>
      <c r="KA13">
        <v>7.7564655519999998E-2</v>
      </c>
      <c r="KB13">
        <v>0.12861239099999999</v>
      </c>
      <c r="KC13">
        <v>0.54664074640000004</v>
      </c>
      <c r="KD13">
        <v>0.55701740050000004</v>
      </c>
      <c r="KE13">
        <v>0.1164457657</v>
      </c>
      <c r="KF13">
        <v>0.24960389999999999</v>
      </c>
      <c r="KG13">
        <v>0.86714360000000001</v>
      </c>
      <c r="KH13">
        <v>0.3313338207</v>
      </c>
      <c r="KI13">
        <v>9.0145357230000001E-2</v>
      </c>
      <c r="KJ13">
        <v>0.11733789999999999</v>
      </c>
      <c r="KK13">
        <v>0.62674750000000001</v>
      </c>
      <c r="KL13">
        <v>0.55701740050000004</v>
      </c>
      <c r="KM13">
        <v>0.1164457657</v>
      </c>
      <c r="KN13">
        <v>0.24960389999999999</v>
      </c>
      <c r="KO13">
        <v>0.86714360000000001</v>
      </c>
      <c r="KP13">
        <v>0.1134401262</v>
      </c>
      <c r="KQ13">
        <v>2.7626456359999999E-2</v>
      </c>
      <c r="KR13">
        <v>5.6414340469999998E-2</v>
      </c>
      <c r="KS13">
        <v>0.19626635370000001</v>
      </c>
      <c r="KT13">
        <v>0.13922884390000001</v>
      </c>
      <c r="KU13">
        <v>3.1840150909999997E-2</v>
      </c>
      <c r="KV13">
        <v>6.7714094449999998E-2</v>
      </c>
      <c r="KW13">
        <v>0.2318024762</v>
      </c>
      <c r="KX13">
        <v>-0.18417073649999999</v>
      </c>
      <c r="KY13">
        <v>0.51221708170000002</v>
      </c>
      <c r="KZ13">
        <v>-1.6198401069999999</v>
      </c>
      <c r="LA13">
        <v>1.12960339</v>
      </c>
      <c r="LB13">
        <v>2.6458229229999999</v>
      </c>
      <c r="LC13">
        <v>0.76185819659999998</v>
      </c>
      <c r="LD13">
        <v>1.640524307</v>
      </c>
      <c r="LE13">
        <v>5.7468912110000003</v>
      </c>
      <c r="LF13">
        <v>1.7065779999999999</v>
      </c>
      <c r="LG13">
        <v>0.57971453309999998</v>
      </c>
      <c r="LH13">
        <v>0.66377999769999996</v>
      </c>
      <c r="LI13">
        <v>3.5424599880000001</v>
      </c>
      <c r="LJ13">
        <v>2.6327608759999999E-2</v>
      </c>
      <c r="LK13">
        <v>5.2475643249999997E-3</v>
      </c>
      <c r="LL13">
        <v>1.383054169E-2</v>
      </c>
      <c r="LM13">
        <v>4.0575173460000002E-2</v>
      </c>
      <c r="LN13">
        <v>100</v>
      </c>
      <c r="LO13">
        <v>0</v>
      </c>
      <c r="LP13">
        <v>100</v>
      </c>
      <c r="LQ13">
        <v>100</v>
      </c>
      <c r="LR13">
        <v>0.24495299640000001</v>
      </c>
      <c r="LS13">
        <v>7.3106094410000003E-2</v>
      </c>
      <c r="LT13">
        <v>0.11933253219999999</v>
      </c>
      <c r="LU13">
        <v>0.49701202579999998</v>
      </c>
      <c r="LV13">
        <v>17.111229099999999</v>
      </c>
      <c r="LW13">
        <v>6.0460993079999996</v>
      </c>
      <c r="LX13">
        <v>1.5248087850000001</v>
      </c>
      <c r="LY13">
        <v>31.997556700000001</v>
      </c>
      <c r="LZ13">
        <v>6.4685296340000003</v>
      </c>
      <c r="MA13">
        <v>2.0270325470000001</v>
      </c>
      <c r="MB13">
        <v>2.8228970929999999</v>
      </c>
      <c r="MC13">
        <v>15.06523251</v>
      </c>
      <c r="MD13">
        <v>0.25962622439999999</v>
      </c>
      <c r="ME13">
        <v>7.0906800189999994E-2</v>
      </c>
      <c r="MF13">
        <v>0.1191061163</v>
      </c>
      <c r="MG13">
        <v>0.46019007830000003</v>
      </c>
      <c r="MH13">
        <v>0.2874819535</v>
      </c>
      <c r="MI13">
        <v>7.4128753480000004E-2</v>
      </c>
      <c r="MJ13">
        <v>0.1279597197</v>
      </c>
      <c r="MK13">
        <v>0.51442599720000004</v>
      </c>
      <c r="ML13">
        <v>0.54710817789999999</v>
      </c>
      <c r="MM13">
        <v>0.11174330790000001</v>
      </c>
      <c r="MN13">
        <v>0.24960389999999999</v>
      </c>
      <c r="MO13">
        <v>0.83774219999999999</v>
      </c>
      <c r="MP13">
        <v>0.32540822679999998</v>
      </c>
      <c r="MQ13">
        <v>8.8284390109999999E-2</v>
      </c>
      <c r="MR13">
        <v>0.12527486669999999</v>
      </c>
      <c r="MS13">
        <v>0.65179750000000003</v>
      </c>
      <c r="MT13">
        <v>0.54710817789999999</v>
      </c>
      <c r="MU13">
        <v>0.11174330790000001</v>
      </c>
      <c r="MV13">
        <v>0.24960389999999999</v>
      </c>
      <c r="MW13">
        <v>0.83774219999999999</v>
      </c>
      <c r="MX13">
        <v>0.11091212020000001</v>
      </c>
      <c r="MY13">
        <v>2.6600072459999999E-2</v>
      </c>
      <c r="MZ13">
        <v>5.6406299309999998E-2</v>
      </c>
      <c r="NA13">
        <v>0.18952278450000001</v>
      </c>
      <c r="NB13">
        <v>0.13619336160000001</v>
      </c>
      <c r="NC13">
        <v>3.0603233279999999E-2</v>
      </c>
      <c r="ND13">
        <v>6.7535873029999999E-2</v>
      </c>
      <c r="NE13">
        <v>0.22418552210000001</v>
      </c>
      <c r="NF13">
        <v>-0.17386281249999999</v>
      </c>
      <c r="NG13">
        <v>0.5099594985</v>
      </c>
      <c r="NH13">
        <v>-1.589111148</v>
      </c>
      <c r="NI13">
        <v>1.123121799</v>
      </c>
      <c r="NJ13">
        <v>2.6541752609999998</v>
      </c>
      <c r="NK13">
        <v>0.76490334370000002</v>
      </c>
      <c r="NL13">
        <v>1.612819046</v>
      </c>
      <c r="NM13">
        <v>5.855498957</v>
      </c>
      <c r="NN13">
        <v>1.7090811349999999</v>
      </c>
      <c r="NO13">
        <v>0.57479845880000002</v>
      </c>
      <c r="NP13">
        <v>0.66515999770000001</v>
      </c>
      <c r="NQ13">
        <v>3.8350199869999999</v>
      </c>
      <c r="NR13">
        <v>2.6141578160000001E-2</v>
      </c>
      <c r="NS13">
        <v>5.178778476E-3</v>
      </c>
      <c r="NT13">
        <v>1.379332367E-2</v>
      </c>
      <c r="NU13">
        <v>3.9688309890000002E-2</v>
      </c>
      <c r="NV13">
        <v>100</v>
      </c>
      <c r="NW13">
        <v>0</v>
      </c>
      <c r="NX13">
        <v>100</v>
      </c>
      <c r="NY13">
        <v>100</v>
      </c>
      <c r="NZ13">
        <v>0.239669787</v>
      </c>
      <c r="OA13">
        <v>7.0802541969999994E-2</v>
      </c>
      <c r="OB13">
        <v>0.11707426379999999</v>
      </c>
      <c r="OC13">
        <v>0.48819623979999999</v>
      </c>
      <c r="OD13">
        <v>17.028574769999999</v>
      </c>
      <c r="OE13">
        <v>6.0081933459999997</v>
      </c>
      <c r="OF13">
        <v>1.953980273</v>
      </c>
      <c r="OG13">
        <v>31.506849320000001</v>
      </c>
      <c r="OH13">
        <v>6.4498088899999999</v>
      </c>
      <c r="OI13">
        <v>2.0056262249999999</v>
      </c>
      <c r="OJ13">
        <v>2.6075483400000001</v>
      </c>
      <c r="OK13">
        <v>15.033976839999999</v>
      </c>
      <c r="OL13">
        <v>0.50947165920000004</v>
      </c>
      <c r="OM13">
        <v>0.13257179250000001</v>
      </c>
      <c r="ON13">
        <v>3.0774399629999998</v>
      </c>
      <c r="OO13">
        <v>2.6190326000000002</v>
      </c>
      <c r="OP13">
        <v>2.1149656000000001</v>
      </c>
      <c r="OQ13">
        <v>4.7339982000000003</v>
      </c>
      <c r="OR13">
        <v>0.40447128980000002</v>
      </c>
      <c r="OS13" s="2">
        <v>2.6625384150000001E-5</v>
      </c>
      <c r="OT13">
        <v>6.817742308E-4</v>
      </c>
      <c r="OU13" s="2">
        <v>2.6625384150000001E-5</v>
      </c>
      <c r="OV13">
        <v>4.5432454950000001E-4</v>
      </c>
      <c r="OW13">
        <v>6.2664085049999999E-4</v>
      </c>
      <c r="OX13" s="2">
        <v>5.513338031E-5</v>
      </c>
      <c r="OY13">
        <v>1.2863766190000001</v>
      </c>
      <c r="OZ13">
        <v>0.539180361</v>
      </c>
      <c r="PA13">
        <v>0.45622405030000002</v>
      </c>
      <c r="PB13">
        <v>10.696904</v>
      </c>
      <c r="PC13">
        <v>90.202107429999998</v>
      </c>
      <c r="PD13">
        <v>0.49712111240000001</v>
      </c>
      <c r="PE13">
        <v>0.1071993451</v>
      </c>
      <c r="PF13">
        <v>2.8407418660000001</v>
      </c>
      <c r="PG13">
        <v>1.9698388</v>
      </c>
      <c r="PH13">
        <v>1.8858286</v>
      </c>
      <c r="PI13">
        <v>3.8556674000000002</v>
      </c>
      <c r="PJ13">
        <v>0.39808212100000001</v>
      </c>
      <c r="PK13" s="2">
        <v>2.4379651670000001E-5</v>
      </c>
      <c r="PL13">
        <v>6.7431031399999995E-4</v>
      </c>
      <c r="PM13" s="2">
        <v>2.4379651670000001E-5</v>
      </c>
      <c r="PN13">
        <v>4.5150986659999999E-4</v>
      </c>
      <c r="PO13">
        <v>6.2138163340000004E-4</v>
      </c>
      <c r="PP13" s="2">
        <v>5.2928680569999999E-5</v>
      </c>
      <c r="PQ13">
        <v>1.280565467</v>
      </c>
      <c r="PR13">
        <v>0.49490428219999999</v>
      </c>
      <c r="PS13">
        <v>0.42082559289999999</v>
      </c>
      <c r="PT13">
        <v>10.628206799999999</v>
      </c>
      <c r="PU13">
        <v>90.332786429999999</v>
      </c>
      <c r="PV13">
        <v>1.415113337</v>
      </c>
      <c r="PW13">
        <v>0.61288963600000002</v>
      </c>
      <c r="PX13">
        <v>0.49226348920000002</v>
      </c>
      <c r="PY13">
        <v>10.869050400000001</v>
      </c>
      <c r="PZ13">
        <v>90.232115089999994</v>
      </c>
      <c r="QA13">
        <v>1.408153768</v>
      </c>
      <c r="QB13">
        <v>0.55306608499999999</v>
      </c>
      <c r="QC13">
        <v>0.44812070269999998</v>
      </c>
      <c r="QD13">
        <v>10.761576120000001</v>
      </c>
      <c r="QE13">
        <v>90.3412474</v>
      </c>
      <c r="QF13" s="2">
        <v>3.025026393E-5</v>
      </c>
      <c r="QG13">
        <v>5.0101583199999998E-4</v>
      </c>
      <c r="QH13">
        <v>6.9421546799999995E-4</v>
      </c>
      <c r="QI13" s="2">
        <v>6.0091780799999998E-5</v>
      </c>
      <c r="QJ13" s="2">
        <v>2.7162947850000001E-5</v>
      </c>
      <c r="QK13">
        <v>4.9744274619999997E-4</v>
      </c>
      <c r="QL13">
        <v>6.8721295380000001E-4</v>
      </c>
      <c r="QM13" s="2">
        <v>5.7461680509999999E-5</v>
      </c>
      <c r="QN13">
        <v>75.103891779999998</v>
      </c>
      <c r="QO13">
        <v>136.74595479999999</v>
      </c>
      <c r="QP13">
        <v>126.7481975</v>
      </c>
      <c r="QQ13">
        <v>93.789029790000001</v>
      </c>
      <c r="QR13">
        <v>81.977186660000001</v>
      </c>
      <c r="QS13">
        <v>136.7469179</v>
      </c>
      <c r="QT13">
        <v>94.247842320000004</v>
      </c>
      <c r="QU13">
        <v>127.7561869</v>
      </c>
    </row>
    <row r="14" spans="1:463" x14ac:dyDescent="0.2">
      <c r="A14" t="s">
        <v>286</v>
      </c>
      <c r="B14" s="2">
        <v>-2.0514847599999999E-11</v>
      </c>
      <c r="C14" s="2">
        <v>7.368226377E-11</v>
      </c>
      <c r="D14">
        <v>1.7806139880000001E-3</v>
      </c>
      <c r="E14">
        <v>6.1725412370000003E-2</v>
      </c>
      <c r="F14">
        <v>0.55592863540000004</v>
      </c>
      <c r="G14">
        <v>5.4591765990000003E-3</v>
      </c>
      <c r="H14">
        <v>0.18924367049999999</v>
      </c>
      <c r="I14">
        <v>1.70441916</v>
      </c>
      <c r="J14">
        <v>32.615116010000001</v>
      </c>
      <c r="K14">
        <v>32.616896619999999</v>
      </c>
      <c r="L14">
        <v>32.616896619999999</v>
      </c>
      <c r="M14">
        <v>32.616896619999999</v>
      </c>
      <c r="N14">
        <v>32.555171209999997</v>
      </c>
      <c r="O14">
        <v>32.616896619999999</v>
      </c>
      <c r="P14">
        <v>32.060967990000002</v>
      </c>
      <c r="Q14">
        <v>32.616896619999999</v>
      </c>
      <c r="R14">
        <v>1.8529773190000001</v>
      </c>
      <c r="S14">
        <v>0.22379511429999999</v>
      </c>
      <c r="T14">
        <v>1.3078335860000001</v>
      </c>
      <c r="U14">
        <v>2.404077987</v>
      </c>
      <c r="V14">
        <v>1.5757344179999999</v>
      </c>
      <c r="W14">
        <v>0.15646276770000001</v>
      </c>
      <c r="X14">
        <v>1.2389184689999999</v>
      </c>
      <c r="Y14">
        <v>2.092570217</v>
      </c>
      <c r="Z14">
        <v>3.428711737</v>
      </c>
      <c r="AA14">
        <v>0.26721073420000002</v>
      </c>
      <c r="AB14">
        <v>2.75536</v>
      </c>
      <c r="AC14">
        <v>3.90245</v>
      </c>
      <c r="AD14">
        <v>1.3865018499999999</v>
      </c>
      <c r="AE14">
        <v>0.2066969934</v>
      </c>
      <c r="AF14">
        <v>0.9017915447</v>
      </c>
      <c r="AG14">
        <v>1.9840478340000001</v>
      </c>
      <c r="AH14">
        <v>3.428711737</v>
      </c>
      <c r="AI14">
        <v>0.26721073420000002</v>
      </c>
      <c r="AJ14">
        <v>2.75536</v>
      </c>
      <c r="AK14">
        <v>3.90245</v>
      </c>
      <c r="AL14">
        <v>0.42414007749999999</v>
      </c>
      <c r="AM14">
        <v>6.9229377430000003E-2</v>
      </c>
      <c r="AN14">
        <v>0.26727271590000001</v>
      </c>
      <c r="AO14">
        <v>0.60019236139999999</v>
      </c>
      <c r="AP14">
        <v>0.52794054629999998</v>
      </c>
      <c r="AQ14">
        <v>7.6216407789999996E-2</v>
      </c>
      <c r="AR14">
        <v>0.34771568930000002</v>
      </c>
      <c r="AS14">
        <v>0.72286421570000003</v>
      </c>
      <c r="AT14">
        <v>0.1127535111</v>
      </c>
      <c r="AU14">
        <v>0.16319386180000001</v>
      </c>
      <c r="AV14">
        <v>-0.28558891079999998</v>
      </c>
      <c r="AW14">
        <v>0.5342867966</v>
      </c>
      <c r="AX14">
        <v>2.9577027349999998</v>
      </c>
      <c r="AY14">
        <v>0.37999498590000003</v>
      </c>
      <c r="AZ14">
        <v>2.203082534</v>
      </c>
      <c r="BA14">
        <v>4.6747219089999996</v>
      </c>
      <c r="BB14">
        <v>4.4028430889999998E-2</v>
      </c>
      <c r="BC14">
        <v>4.3973996550000002E-3</v>
      </c>
      <c r="BD14">
        <v>3.3468709559999997E-2</v>
      </c>
      <c r="BE14">
        <v>6.1879199789999999E-2</v>
      </c>
      <c r="BF14">
        <v>9.2166527889999994</v>
      </c>
      <c r="BG14">
        <v>1.918498136</v>
      </c>
      <c r="BH14">
        <v>4.7847242400000001</v>
      </c>
      <c r="BI14">
        <v>14.96540014</v>
      </c>
      <c r="BJ14">
        <v>6.9624165089999996</v>
      </c>
      <c r="BK14">
        <v>4.9705652499999999</v>
      </c>
      <c r="BL14">
        <v>0.68493150680000003</v>
      </c>
      <c r="BM14">
        <v>24.23773752</v>
      </c>
      <c r="BN14">
        <v>0.90425859070000003</v>
      </c>
      <c r="BO14">
        <v>0.17176389959999999</v>
      </c>
      <c r="BP14">
        <v>0.5256915378</v>
      </c>
      <c r="BQ14">
        <v>1.370760966</v>
      </c>
      <c r="BR14">
        <v>229.31799409999999</v>
      </c>
      <c r="BS14">
        <v>22.253851130000001</v>
      </c>
      <c r="BT14">
        <v>161.60519260000001</v>
      </c>
      <c r="BU14">
        <v>298.78654210000002</v>
      </c>
      <c r="BV14">
        <v>1.516224359</v>
      </c>
      <c r="BW14">
        <v>0.1445142931</v>
      </c>
      <c r="BX14">
        <v>1.106478665</v>
      </c>
      <c r="BY14">
        <v>1.812992422</v>
      </c>
      <c r="BZ14">
        <v>1.3416252200000001</v>
      </c>
      <c r="CA14">
        <v>0.13569038319999999</v>
      </c>
      <c r="CB14">
        <v>1.0643674750000001</v>
      </c>
      <c r="CC14">
        <v>1.818006834</v>
      </c>
      <c r="CD14">
        <v>2.8578495789999998</v>
      </c>
      <c r="CE14">
        <v>0.1117401697</v>
      </c>
      <c r="CF14">
        <v>2.4539300000000002</v>
      </c>
      <c r="CG14">
        <v>3.0428899999999999</v>
      </c>
      <c r="CH14">
        <v>1.319359245</v>
      </c>
      <c r="CI14">
        <v>0.17564800680000001</v>
      </c>
      <c r="CJ14">
        <v>0.89321201610000001</v>
      </c>
      <c r="CK14">
        <v>1.787181098</v>
      </c>
      <c r="CL14">
        <v>2.8578495789999998</v>
      </c>
      <c r="CM14">
        <v>0.1117401697</v>
      </c>
      <c r="CN14">
        <v>2.4539300000000002</v>
      </c>
      <c r="CO14">
        <v>3.0428899999999999</v>
      </c>
      <c r="CP14">
        <v>0.41660105479999998</v>
      </c>
      <c r="CQ14">
        <v>6.361283811E-2</v>
      </c>
      <c r="CR14">
        <v>0.26727271590000001</v>
      </c>
      <c r="CS14">
        <v>0.57196070799999998</v>
      </c>
      <c r="CT14">
        <v>0.51466626390000003</v>
      </c>
      <c r="CU14">
        <v>6.8429197339999998E-2</v>
      </c>
      <c r="CV14">
        <v>0.34771568930000002</v>
      </c>
      <c r="CW14">
        <v>0.67921923370000004</v>
      </c>
      <c r="CX14">
        <v>9.6311823010000006E-2</v>
      </c>
      <c r="CY14">
        <v>0.14756380969999999</v>
      </c>
      <c r="CZ14">
        <v>-0.2206616918</v>
      </c>
      <c r="DA14">
        <v>0.4942479212</v>
      </c>
      <c r="DB14">
        <v>2.7455725179999999</v>
      </c>
      <c r="DC14">
        <v>0.33226947299999998</v>
      </c>
      <c r="DD14">
        <v>2.0965229129999998</v>
      </c>
      <c r="DE14">
        <v>3.9829612010000002</v>
      </c>
      <c r="DF14">
        <v>4.3354152210000003E-2</v>
      </c>
      <c r="DG14">
        <v>4.1600136919999996E-3</v>
      </c>
      <c r="DH14">
        <v>3.276410515E-2</v>
      </c>
      <c r="DI14">
        <v>6.1879199789999999E-2</v>
      </c>
      <c r="DJ14">
        <v>8.5075814790000006</v>
      </c>
      <c r="DK14">
        <v>1.551509574</v>
      </c>
      <c r="DL14">
        <v>4.7847242400000001</v>
      </c>
      <c r="DM14">
        <v>12.97394568</v>
      </c>
      <c r="DN14">
        <v>17.240006279999999</v>
      </c>
      <c r="DO14">
        <v>7.5719249709999996</v>
      </c>
      <c r="DP14">
        <v>4.5072912059999997</v>
      </c>
      <c r="DQ14">
        <v>44.940344680000003</v>
      </c>
      <c r="DR14">
        <v>0.89648233180000003</v>
      </c>
      <c r="DS14">
        <v>0.16266134760000001</v>
      </c>
      <c r="DT14">
        <v>0.5256915378</v>
      </c>
      <c r="DU14">
        <v>1.294852377</v>
      </c>
      <c r="DV14">
        <v>232.70269260000001</v>
      </c>
      <c r="DW14">
        <v>21.593426539999999</v>
      </c>
      <c r="DX14">
        <v>161.60519260000001</v>
      </c>
      <c r="DY14">
        <v>305.2120592</v>
      </c>
      <c r="DZ14">
        <v>1.4674012890000001</v>
      </c>
      <c r="EA14">
        <v>0.19785869980000001</v>
      </c>
      <c r="EB14">
        <v>1.0328623180000001</v>
      </c>
      <c r="EC14">
        <v>1.9914743340000001</v>
      </c>
      <c r="ED14">
        <v>1.3104813129999999</v>
      </c>
      <c r="EE14">
        <v>0.14676613929999999</v>
      </c>
      <c r="EF14">
        <v>0.92180829559999999</v>
      </c>
      <c r="EG14">
        <v>1.792122658</v>
      </c>
      <c r="EH14">
        <v>2.777882602</v>
      </c>
      <c r="EI14">
        <v>0.28800863780000002</v>
      </c>
      <c r="EJ14">
        <v>1.9858199999999999</v>
      </c>
      <c r="EK14">
        <v>3.4888699999999999</v>
      </c>
      <c r="EL14">
        <v>1.3509689439999999</v>
      </c>
      <c r="EM14">
        <v>0.20329150139999999</v>
      </c>
      <c r="EN14">
        <v>0.88333106559999996</v>
      </c>
      <c r="EO14">
        <v>1.9221008719999999</v>
      </c>
      <c r="EP14">
        <v>3.4037358950000001</v>
      </c>
      <c r="EQ14">
        <v>0.31940622759999998</v>
      </c>
      <c r="ER14">
        <v>2.5807199999999999</v>
      </c>
      <c r="ES14">
        <v>4.1411699999999998</v>
      </c>
      <c r="ET14">
        <v>0.40253560040000003</v>
      </c>
      <c r="EU14">
        <v>6.6510180500000002E-2</v>
      </c>
      <c r="EV14">
        <v>0.25450304229999998</v>
      </c>
      <c r="EW14">
        <v>0.57729433019999998</v>
      </c>
      <c r="EX14">
        <v>0.50232250410000001</v>
      </c>
      <c r="EY14">
        <v>7.5259165899999994E-2</v>
      </c>
      <c r="EZ14">
        <v>0.32890335640000001</v>
      </c>
      <c r="FA14">
        <v>0.69162580549999997</v>
      </c>
      <c r="FB14">
        <v>0.1088656256</v>
      </c>
      <c r="FC14">
        <v>0.18350710379999999</v>
      </c>
      <c r="FD14">
        <v>-0.33568369079999999</v>
      </c>
      <c r="FE14">
        <v>0.54015177889999999</v>
      </c>
      <c r="FF14">
        <v>3.055201947</v>
      </c>
      <c r="FG14">
        <v>0.37656652829999998</v>
      </c>
      <c r="FH14">
        <v>2.3453436499999998</v>
      </c>
      <c r="FI14">
        <v>4.7127850770000004</v>
      </c>
      <c r="FJ14">
        <v>1.8298111459999999</v>
      </c>
      <c r="FK14">
        <v>0.23649653709999999</v>
      </c>
      <c r="FL14">
        <v>1.303275395</v>
      </c>
      <c r="FM14">
        <v>2.3689757619999998</v>
      </c>
      <c r="FN14">
        <v>1.5739247489999999</v>
      </c>
      <c r="FO14">
        <v>0.17758366780000001</v>
      </c>
      <c r="FP14">
        <v>1.2093088620000001</v>
      </c>
      <c r="FQ14">
        <v>2.082431079</v>
      </c>
      <c r="FR14">
        <v>3.2446923679999999</v>
      </c>
      <c r="FS14">
        <v>0.31561783799999998</v>
      </c>
      <c r="FT14">
        <v>2.38083</v>
      </c>
      <c r="FU14">
        <v>3.9456099999999998</v>
      </c>
      <c r="FV14">
        <v>2.770690895</v>
      </c>
      <c r="FW14">
        <v>0.44068499589999999</v>
      </c>
      <c r="FX14">
        <v>1.41469</v>
      </c>
      <c r="FY14">
        <v>3.80152</v>
      </c>
      <c r="FZ14">
        <v>4.1817717140000002E-2</v>
      </c>
      <c r="GA14">
        <v>3.9963290679999996E-3</v>
      </c>
      <c r="GB14">
        <v>3.0382499899999998E-2</v>
      </c>
      <c r="GC14">
        <v>5.690387735E-2</v>
      </c>
      <c r="GD14">
        <v>9.0719442610000005</v>
      </c>
      <c r="GE14">
        <v>1.925331731</v>
      </c>
      <c r="GF14">
        <v>4.6475629060000001</v>
      </c>
      <c r="GG14">
        <v>14.75257371</v>
      </c>
      <c r="GH14">
        <v>6.6063899629999998</v>
      </c>
      <c r="GI14">
        <v>4.5195774850000001</v>
      </c>
      <c r="GJ14">
        <v>0.51711401130000001</v>
      </c>
      <c r="GK14">
        <v>23.95265959</v>
      </c>
      <c r="GL14">
        <v>0.8475691943</v>
      </c>
      <c r="GM14">
        <v>0.15939404909999999</v>
      </c>
      <c r="GN14">
        <v>0.51189610949999997</v>
      </c>
      <c r="GO14">
        <v>1.293265796</v>
      </c>
      <c r="GP14">
        <v>8.5610350739999994</v>
      </c>
      <c r="GQ14">
        <v>1.851489393</v>
      </c>
      <c r="GR14">
        <v>4.3810034120000001</v>
      </c>
      <c r="GS14">
        <v>14.20893047</v>
      </c>
      <c r="GT14">
        <v>241.24610920000001</v>
      </c>
      <c r="GU14">
        <v>22.39908531</v>
      </c>
      <c r="GV14">
        <v>175.73494930000001</v>
      </c>
      <c r="GW14">
        <v>329.13683980000002</v>
      </c>
      <c r="GX14">
        <v>1.3204449709999999</v>
      </c>
      <c r="GY14">
        <v>0.1365513236</v>
      </c>
      <c r="GZ14">
        <v>1.026166624</v>
      </c>
      <c r="HA14">
        <v>1.7215316190000001</v>
      </c>
      <c r="HB14">
        <v>1.219084405</v>
      </c>
      <c r="HC14">
        <v>0.1229779112</v>
      </c>
      <c r="HD14">
        <v>0.88600842120000001</v>
      </c>
      <c r="HE14">
        <v>1.6795834270000001</v>
      </c>
      <c r="HF14">
        <v>2.5395293759999999</v>
      </c>
      <c r="HG14">
        <v>0.1957996122</v>
      </c>
      <c r="HH14">
        <v>1.9497285710000001</v>
      </c>
      <c r="HI14">
        <v>2.9474628570000001</v>
      </c>
      <c r="HJ14">
        <v>1.2887875200000001</v>
      </c>
      <c r="HK14">
        <v>0.173225133</v>
      </c>
      <c r="HL14">
        <v>0.87062322579999996</v>
      </c>
      <c r="HM14">
        <v>1.7800178230000001</v>
      </c>
      <c r="HN14">
        <v>2.9413911050000001</v>
      </c>
      <c r="HO14">
        <v>0.1831336143</v>
      </c>
      <c r="HP14">
        <v>2.3441999999999998</v>
      </c>
      <c r="HQ14">
        <v>3.3605700000000001</v>
      </c>
      <c r="HR14">
        <v>0.39515995840000001</v>
      </c>
      <c r="HS14">
        <v>6.1117165440000003E-2</v>
      </c>
      <c r="HT14">
        <v>0.25450304229999998</v>
      </c>
      <c r="HU14">
        <v>0.54984284579999998</v>
      </c>
      <c r="HV14">
        <v>0.48938941749999998</v>
      </c>
      <c r="HW14">
        <v>6.7611002680000004E-2</v>
      </c>
      <c r="HX14">
        <v>0.32890335640000001</v>
      </c>
      <c r="HY14">
        <v>0.65956725019999995</v>
      </c>
      <c r="HZ14">
        <v>8.2627983079999995E-2</v>
      </c>
      <c r="IA14">
        <v>0.1595222047</v>
      </c>
      <c r="IB14">
        <v>-0.25705748439999998</v>
      </c>
      <c r="IC14">
        <v>0.54585376760000004</v>
      </c>
      <c r="ID14">
        <v>2.8460954589999998</v>
      </c>
      <c r="IE14">
        <v>0.30784625609999999</v>
      </c>
      <c r="IF14">
        <v>2.214767734</v>
      </c>
      <c r="IG14">
        <v>3.8579011749999998</v>
      </c>
      <c r="IH14">
        <v>1.537606926</v>
      </c>
      <c r="II14">
        <v>0.1507794294</v>
      </c>
      <c r="IJ14">
        <v>1.210684718</v>
      </c>
      <c r="IK14">
        <v>2.0284059050000001</v>
      </c>
      <c r="IL14">
        <v>1.4037841790000001</v>
      </c>
      <c r="IM14">
        <v>0.1465004523</v>
      </c>
      <c r="IN14">
        <v>1.00999985</v>
      </c>
      <c r="IO14">
        <v>1.929956284</v>
      </c>
      <c r="IP14">
        <v>2.8291444210000001</v>
      </c>
      <c r="IQ14">
        <v>0.17470986259999999</v>
      </c>
      <c r="IR14">
        <v>2.3000600000000002</v>
      </c>
      <c r="IS14">
        <v>3.3020999999999998</v>
      </c>
      <c r="IT14">
        <v>2.536744632</v>
      </c>
      <c r="IU14">
        <v>0.29454347920000001</v>
      </c>
      <c r="IV14">
        <v>1.41469</v>
      </c>
      <c r="IW14">
        <v>3.1629299999999998</v>
      </c>
      <c r="IX14">
        <v>4.1328401760000001E-2</v>
      </c>
      <c r="IY14">
        <v>3.8222360439999999E-3</v>
      </c>
      <c r="IZ14">
        <v>3.0218270169999999E-2</v>
      </c>
      <c r="JA14">
        <v>5.690387735E-2</v>
      </c>
      <c r="JB14">
        <v>8.3986231549999992</v>
      </c>
      <c r="JC14">
        <v>1.5548720359999999</v>
      </c>
      <c r="JD14">
        <v>4.6475629060000001</v>
      </c>
      <c r="JE14">
        <v>12.78874281</v>
      </c>
      <c r="JF14">
        <v>14.99636488</v>
      </c>
      <c r="JG14">
        <v>6.4971556350000004</v>
      </c>
      <c r="JH14">
        <v>3.84141837</v>
      </c>
      <c r="JI14">
        <v>38.170369010000002</v>
      </c>
      <c r="JJ14">
        <v>0.83972755730000004</v>
      </c>
      <c r="JK14">
        <v>0.1514059885</v>
      </c>
      <c r="JL14">
        <v>0.51189610949999997</v>
      </c>
      <c r="JM14">
        <v>1.233404234</v>
      </c>
      <c r="JN14">
        <v>10.19053587</v>
      </c>
      <c r="JO14">
        <v>2.2746317949999999</v>
      </c>
      <c r="JP14">
        <v>5.5723159940000002</v>
      </c>
      <c r="JQ14">
        <v>17.55303932</v>
      </c>
      <c r="JR14">
        <v>243.9715717</v>
      </c>
      <c r="JS14">
        <v>21.974368389999999</v>
      </c>
      <c r="JT14">
        <v>175.73494930000001</v>
      </c>
      <c r="JU14">
        <v>330.92562700000002</v>
      </c>
      <c r="JV14">
        <v>0.238987004</v>
      </c>
      <c r="JW14">
        <v>5.8980318189999999E-2</v>
      </c>
      <c r="JX14">
        <v>0.1175550435</v>
      </c>
      <c r="JY14">
        <v>0.45835010380000002</v>
      </c>
      <c r="JZ14">
        <v>0.27528785909999998</v>
      </c>
      <c r="KA14">
        <v>7.2127879300000003E-2</v>
      </c>
      <c r="KB14">
        <v>0.11466108880000001</v>
      </c>
      <c r="KC14">
        <v>0.48420445649999999</v>
      </c>
      <c r="KD14">
        <v>0.51427486320000004</v>
      </c>
      <c r="KE14">
        <v>0.1051614671</v>
      </c>
      <c r="KF14">
        <v>0.25733099999999998</v>
      </c>
      <c r="KG14">
        <v>0.80232999999999999</v>
      </c>
      <c r="KH14">
        <v>0.3278263032</v>
      </c>
      <c r="KI14">
        <v>9.4196206190000006E-2</v>
      </c>
      <c r="KJ14">
        <v>0.13516500000000001</v>
      </c>
      <c r="KK14">
        <v>0.67545999999999995</v>
      </c>
      <c r="KL14">
        <v>0.51427486320000004</v>
      </c>
      <c r="KM14">
        <v>0.1051614671</v>
      </c>
      <c r="KN14">
        <v>0.25733099999999998</v>
      </c>
      <c r="KO14">
        <v>0.80232999999999999</v>
      </c>
      <c r="KP14">
        <v>0.1041323784</v>
      </c>
      <c r="KQ14">
        <v>2.444206258E-2</v>
      </c>
      <c r="KR14">
        <v>5.05357159E-2</v>
      </c>
      <c r="KS14">
        <v>0.16075051500000001</v>
      </c>
      <c r="KT14">
        <v>0.1272129075</v>
      </c>
      <c r="KU14">
        <v>2.7354737170000001E-2</v>
      </c>
      <c r="KV14">
        <v>6.8808419610000005E-2</v>
      </c>
      <c r="KW14">
        <v>0.19472872250000001</v>
      </c>
      <c r="KX14">
        <v>-0.21709512580000001</v>
      </c>
      <c r="KY14">
        <v>0.4585953841</v>
      </c>
      <c r="KZ14">
        <v>-1.7217257050000001</v>
      </c>
      <c r="LA14">
        <v>1.1872191059999999</v>
      </c>
      <c r="LB14">
        <v>2.619945038</v>
      </c>
      <c r="LC14">
        <v>0.71148134060000001</v>
      </c>
      <c r="LD14">
        <v>1.6072743359999999</v>
      </c>
      <c r="LE14">
        <v>6.3730874049999997</v>
      </c>
      <c r="LF14">
        <v>1.7073716750000001</v>
      </c>
      <c r="LG14">
        <v>0.56910406719999995</v>
      </c>
      <c r="LH14">
        <v>0.55958999809999999</v>
      </c>
      <c r="LI14">
        <v>4.2296999849999999</v>
      </c>
      <c r="LJ14">
        <v>2.6102586769999998E-2</v>
      </c>
      <c r="LK14">
        <v>5.3345595090000001E-3</v>
      </c>
      <c r="LL14">
        <v>1.3010362609999999E-2</v>
      </c>
      <c r="LM14">
        <v>4.0495150789999997E-2</v>
      </c>
      <c r="LN14">
        <v>100</v>
      </c>
      <c r="LO14">
        <v>0</v>
      </c>
      <c r="LP14">
        <v>100</v>
      </c>
      <c r="LQ14">
        <v>100</v>
      </c>
      <c r="LR14">
        <v>0.2244930859</v>
      </c>
      <c r="LS14">
        <v>6.2211596979999999E-2</v>
      </c>
      <c r="LT14">
        <v>0.1077665936</v>
      </c>
      <c r="LU14">
        <v>0.3955185906</v>
      </c>
      <c r="LV14">
        <v>16.9119761</v>
      </c>
      <c r="LW14">
        <v>5.9094921950000003</v>
      </c>
      <c r="LX14">
        <v>1.7896597439999999</v>
      </c>
      <c r="LY14">
        <v>32.876712329999997</v>
      </c>
      <c r="LZ14">
        <v>6.443967174</v>
      </c>
      <c r="MA14">
        <v>2.0299236999999999</v>
      </c>
      <c r="MB14">
        <v>2.3642338779999998</v>
      </c>
      <c r="MC14">
        <v>17.870226479999999</v>
      </c>
      <c r="MD14">
        <v>0.23636458120000001</v>
      </c>
      <c r="ME14">
        <v>5.7050807160000001E-2</v>
      </c>
      <c r="MF14">
        <v>0.11118409880000001</v>
      </c>
      <c r="MG14">
        <v>0.45807231549999999</v>
      </c>
      <c r="MH14">
        <v>0.27012106089999999</v>
      </c>
      <c r="MI14">
        <v>6.7872938250000001E-2</v>
      </c>
      <c r="MJ14">
        <v>0.1135724779</v>
      </c>
      <c r="MK14">
        <v>0.45951033359999999</v>
      </c>
      <c r="ML14">
        <v>0.50648564210000002</v>
      </c>
      <c r="MM14">
        <v>9.9286611319999996E-2</v>
      </c>
      <c r="MN14">
        <v>0.24030199999999999</v>
      </c>
      <c r="MO14">
        <v>0.73085999999999995</v>
      </c>
      <c r="MP14">
        <v>0.3226867189</v>
      </c>
      <c r="MQ14">
        <v>8.9197371159999997E-2</v>
      </c>
      <c r="MR14">
        <v>0.13779</v>
      </c>
      <c r="MS14">
        <v>0.58179000000000003</v>
      </c>
      <c r="MT14">
        <v>0.50648564210000002</v>
      </c>
      <c r="MU14">
        <v>9.9286611319999996E-2</v>
      </c>
      <c r="MV14">
        <v>0.24030199999999999</v>
      </c>
      <c r="MW14">
        <v>0.73085999999999995</v>
      </c>
      <c r="MX14">
        <v>0.10236885499999999</v>
      </c>
      <c r="MY14">
        <v>2.3535009240000002E-2</v>
      </c>
      <c r="MZ14">
        <v>4.5070745019999997E-2</v>
      </c>
      <c r="NA14">
        <v>0.15974564629999999</v>
      </c>
      <c r="NB14">
        <v>0.12492893989999999</v>
      </c>
      <c r="NC14">
        <v>2.5998917690000001E-2</v>
      </c>
      <c r="ND14">
        <v>6.4180609050000004E-2</v>
      </c>
      <c r="NE14">
        <v>0.18760842629999999</v>
      </c>
      <c r="NF14">
        <v>-0.2077914387</v>
      </c>
      <c r="NG14">
        <v>0.45188808089999999</v>
      </c>
      <c r="NH14">
        <v>-1.6052180309999999</v>
      </c>
      <c r="NI14">
        <v>1.16757198</v>
      </c>
      <c r="NJ14">
        <v>2.6119033850000002</v>
      </c>
      <c r="NK14">
        <v>0.72957432180000004</v>
      </c>
      <c r="NL14">
        <v>1.623651146</v>
      </c>
      <c r="NM14">
        <v>6.0179646</v>
      </c>
      <c r="NN14">
        <v>1.706871891</v>
      </c>
      <c r="NO14">
        <v>0.56156453340000001</v>
      </c>
      <c r="NP14">
        <v>0.55889999810000002</v>
      </c>
      <c r="NQ14">
        <v>4.2186599850000004</v>
      </c>
      <c r="NR14">
        <v>2.5908200020000001E-2</v>
      </c>
      <c r="NS14">
        <v>5.2310231089999996E-3</v>
      </c>
      <c r="NT14">
        <v>1.297764215E-2</v>
      </c>
      <c r="NU14">
        <v>3.8974835020000001E-2</v>
      </c>
      <c r="NV14">
        <v>100</v>
      </c>
      <c r="NW14">
        <v>0</v>
      </c>
      <c r="NX14">
        <v>100</v>
      </c>
      <c r="NY14">
        <v>100</v>
      </c>
      <c r="NZ14">
        <v>0.22134795069999999</v>
      </c>
      <c r="OA14">
        <v>6.0904265069999998E-2</v>
      </c>
      <c r="OB14">
        <v>8.154011404E-2</v>
      </c>
      <c r="OC14">
        <v>0.37197214560000003</v>
      </c>
      <c r="OD14">
        <v>16.844304489999999</v>
      </c>
      <c r="OE14">
        <v>5.9513549120000002</v>
      </c>
      <c r="OF14">
        <v>1.9664162620000001</v>
      </c>
      <c r="OG14">
        <v>32.677861249999999</v>
      </c>
      <c r="OH14">
        <v>6.4258751319999998</v>
      </c>
      <c r="OI14">
        <v>1.9810000329999999</v>
      </c>
      <c r="OJ14">
        <v>2.370420948</v>
      </c>
      <c r="OK14">
        <v>17.892288489999999</v>
      </c>
      <c r="OL14">
        <v>0.51479779930000003</v>
      </c>
      <c r="OM14">
        <v>0.1307224783</v>
      </c>
      <c r="ON14">
        <v>3.057293091</v>
      </c>
      <c r="OO14">
        <v>2.51857</v>
      </c>
      <c r="OP14">
        <v>2.1453500000000001</v>
      </c>
      <c r="OQ14">
        <v>4.6639200000000001</v>
      </c>
      <c r="OR14">
        <v>0.4091045573</v>
      </c>
      <c r="OS14" s="2">
        <v>2.6776158139999999E-5</v>
      </c>
      <c r="OT14">
        <v>6.8935120999999997E-4</v>
      </c>
      <c r="OU14" s="2">
        <v>2.6776158139999999E-5</v>
      </c>
      <c r="OV14">
        <v>4.6018062719999997E-4</v>
      </c>
      <c r="OW14">
        <v>6.339193728E-4</v>
      </c>
      <c r="OX14" s="2">
        <v>5.5431837210000001E-5</v>
      </c>
      <c r="OY14">
        <v>1.3034038189999999</v>
      </c>
      <c r="OZ14">
        <v>0.54154020530000002</v>
      </c>
      <c r="PA14">
        <v>0.45749420149999998</v>
      </c>
      <c r="PB14">
        <v>10.68000196</v>
      </c>
      <c r="PC14">
        <v>90.268573470000007</v>
      </c>
      <c r="PD14">
        <v>0.50205106089999996</v>
      </c>
      <c r="PE14">
        <v>0.1043911079</v>
      </c>
      <c r="PF14">
        <v>2.8145392870000001</v>
      </c>
      <c r="PG14">
        <v>1.9929600000000001</v>
      </c>
      <c r="PH14">
        <v>1.81304</v>
      </c>
      <c r="PI14">
        <v>3.806</v>
      </c>
      <c r="PJ14">
        <v>0.40251106869999997</v>
      </c>
      <c r="PK14" s="2">
        <v>2.4413087080000002E-5</v>
      </c>
      <c r="PL14">
        <v>6.818681707E-4</v>
      </c>
      <c r="PM14" s="2">
        <v>2.4413087080000002E-5</v>
      </c>
      <c r="PN14">
        <v>4.5721689580000002E-4</v>
      </c>
      <c r="PO14">
        <v>6.2864310419999999E-4</v>
      </c>
      <c r="PP14" s="2">
        <v>5.3225066519999998E-5</v>
      </c>
      <c r="PQ14">
        <v>1.2979423809999999</v>
      </c>
      <c r="PR14">
        <v>0.49499707120000003</v>
      </c>
      <c r="PS14">
        <v>0.42146049279999998</v>
      </c>
      <c r="PT14">
        <v>10.59045749</v>
      </c>
      <c r="PU14">
        <v>90.395009389999998</v>
      </c>
      <c r="PV14">
        <v>1.435092348</v>
      </c>
      <c r="PW14">
        <v>0.60236117659999999</v>
      </c>
      <c r="PX14">
        <v>0.48720153290000001</v>
      </c>
      <c r="PY14">
        <v>10.820956949999999</v>
      </c>
      <c r="PZ14">
        <v>90.482581300000007</v>
      </c>
      <c r="QA14">
        <v>1.4273215690000001</v>
      </c>
      <c r="QB14">
        <v>0.54343337579999995</v>
      </c>
      <c r="QC14">
        <v>0.44182755600000001</v>
      </c>
      <c r="QD14">
        <v>10.716758240000001</v>
      </c>
      <c r="QE14">
        <v>90.594986419999998</v>
      </c>
      <c r="QF14" s="2">
        <v>2.9727576010000001E-5</v>
      </c>
      <c r="QG14">
        <v>5.0539938259999998E-4</v>
      </c>
      <c r="QH14">
        <v>7.0108061740000002E-4</v>
      </c>
      <c r="QI14" s="2">
        <v>5.9839374419999997E-5</v>
      </c>
      <c r="QJ14" s="2">
        <v>2.6683858470000001E-5</v>
      </c>
      <c r="QK14">
        <v>5.0169768879999995E-4</v>
      </c>
      <c r="QL14">
        <v>6.9387231120000001E-4</v>
      </c>
      <c r="QM14" s="2">
        <v>5.7174959570000002E-5</v>
      </c>
      <c r="QN14">
        <v>75.013139670000001</v>
      </c>
      <c r="QO14">
        <v>136.741546</v>
      </c>
      <c r="QP14">
        <v>93.792752930000006</v>
      </c>
      <c r="QQ14">
        <v>127.7596716</v>
      </c>
      <c r="QR14">
        <v>81.630854850000006</v>
      </c>
      <c r="QS14">
        <v>136.74439340000001</v>
      </c>
      <c r="QT14">
        <v>96.513651969999998</v>
      </c>
      <c r="QU14">
        <v>84.737305980000002</v>
      </c>
    </row>
    <row r="15" spans="1:463" x14ac:dyDescent="0.2">
      <c r="A15" t="s">
        <v>287</v>
      </c>
      <c r="B15" s="2">
        <v>-7.0945950320000002E-12</v>
      </c>
      <c r="C15" s="2">
        <v>9.9950117289999995E-12</v>
      </c>
      <c r="D15">
        <v>1.7444303879999999E-3</v>
      </c>
      <c r="E15">
        <v>4.5964598080000002E-2</v>
      </c>
      <c r="F15">
        <v>0.39052959209999999</v>
      </c>
      <c r="G15">
        <v>5.3482414589999996E-3</v>
      </c>
      <c r="H15">
        <v>0.14092265919999999</v>
      </c>
      <c r="I15">
        <v>1.1973229599999999</v>
      </c>
      <c r="J15">
        <v>32.615152190000003</v>
      </c>
      <c r="K15">
        <v>32.616896619999999</v>
      </c>
      <c r="L15">
        <v>32.616896619999999</v>
      </c>
      <c r="M15">
        <v>32.616896619999999</v>
      </c>
      <c r="N15">
        <v>32.570932030000002</v>
      </c>
      <c r="O15">
        <v>32.616896619999999</v>
      </c>
      <c r="P15">
        <v>32.226367029999999</v>
      </c>
      <c r="Q15">
        <v>32.616896619999999</v>
      </c>
      <c r="R15">
        <v>0.35218390199999999</v>
      </c>
      <c r="S15">
        <v>5.6873857290000003E-2</v>
      </c>
      <c r="T15">
        <v>0.15117262619999999</v>
      </c>
      <c r="U15">
        <v>0.52122880230000002</v>
      </c>
      <c r="V15">
        <v>0.3606443822</v>
      </c>
      <c r="W15">
        <v>5.5857940090000002E-2</v>
      </c>
      <c r="X15">
        <v>0.25266797880000003</v>
      </c>
      <c r="Y15">
        <v>0.5263343573</v>
      </c>
      <c r="Z15">
        <v>0.7128282842</v>
      </c>
      <c r="AA15">
        <v>8.6336373509999995E-2</v>
      </c>
      <c r="AB15">
        <v>0.47040599999999999</v>
      </c>
      <c r="AC15">
        <v>0.97905900000000001</v>
      </c>
      <c r="AD15">
        <v>0.2163169083</v>
      </c>
      <c r="AE15">
        <v>1.6635485660000001E-2</v>
      </c>
      <c r="AF15">
        <v>0.1744605484</v>
      </c>
      <c r="AG15">
        <v>0.26822782499999998</v>
      </c>
      <c r="AH15">
        <v>0.7128282842</v>
      </c>
      <c r="AI15">
        <v>8.6336373509999995E-2</v>
      </c>
      <c r="AJ15">
        <v>0.47040599999999999</v>
      </c>
      <c r="AK15">
        <v>0.97905900000000001</v>
      </c>
      <c r="AL15">
        <v>9.066794517E-2</v>
      </c>
      <c r="AM15">
        <v>1.0868366609999999E-2</v>
      </c>
      <c r="AN15">
        <v>7.2001906990000003E-2</v>
      </c>
      <c r="AO15">
        <v>0.1157547407</v>
      </c>
      <c r="AP15">
        <v>0.11321210180000001</v>
      </c>
      <c r="AQ15">
        <v>1.268953317E-2</v>
      </c>
      <c r="AR15">
        <v>8.8695675119999998E-2</v>
      </c>
      <c r="AS15">
        <v>0.1416718552</v>
      </c>
      <c r="AT15">
        <v>-7.4240248549999999E-2</v>
      </c>
      <c r="AU15">
        <v>0.21256362870000001</v>
      </c>
      <c r="AV15">
        <v>-0.80475993869999995</v>
      </c>
      <c r="AW15">
        <v>0.53344409169999996</v>
      </c>
      <c r="AX15">
        <v>2.9414494160000002</v>
      </c>
      <c r="AY15">
        <v>0.35643387269999999</v>
      </c>
      <c r="AZ15">
        <v>2.374706749</v>
      </c>
      <c r="BA15">
        <v>4.2326999269999996</v>
      </c>
      <c r="BB15">
        <v>0.1080079483</v>
      </c>
      <c r="BC15">
        <v>1.7489901259999999E-2</v>
      </c>
      <c r="BD15">
        <v>7.2165882099999995E-2</v>
      </c>
      <c r="BE15">
        <v>0.16305562439999999</v>
      </c>
      <c r="BF15">
        <v>0.59745786290000003</v>
      </c>
      <c r="BG15">
        <v>5.1301435649999998E-2</v>
      </c>
      <c r="BH15">
        <v>0.47380530879999999</v>
      </c>
      <c r="BI15">
        <v>0.74582302739999995</v>
      </c>
      <c r="BJ15">
        <v>100</v>
      </c>
      <c r="BK15">
        <v>0</v>
      </c>
      <c r="BL15">
        <v>100</v>
      </c>
      <c r="BM15">
        <v>100</v>
      </c>
      <c r="BN15">
        <v>0.19258839259999999</v>
      </c>
      <c r="BO15">
        <v>2.6033515109999999E-2</v>
      </c>
      <c r="BP15">
        <v>0.1477709864</v>
      </c>
      <c r="BQ15">
        <v>0.25900752960000001</v>
      </c>
      <c r="BR15">
        <v>95.027650429999994</v>
      </c>
      <c r="BS15">
        <v>15.374647660000001</v>
      </c>
      <c r="BT15">
        <v>61.328764550000002</v>
      </c>
      <c r="BU15">
        <v>138.56963579999999</v>
      </c>
      <c r="BV15">
        <v>343.6753918</v>
      </c>
      <c r="BW15">
        <v>64.877404799999994</v>
      </c>
      <c r="BX15">
        <v>58.653343130000003</v>
      </c>
      <c r="BY15">
        <v>521.22880229999998</v>
      </c>
      <c r="BZ15">
        <v>337.47169769999999</v>
      </c>
      <c r="CA15">
        <v>67.021894979999999</v>
      </c>
      <c r="CB15">
        <v>166.35712369999999</v>
      </c>
      <c r="CC15">
        <v>460.41125890000001</v>
      </c>
      <c r="CD15">
        <v>681.14708949999999</v>
      </c>
      <c r="CE15">
        <v>96.295730969999994</v>
      </c>
      <c r="CF15">
        <v>347.79899999999998</v>
      </c>
      <c r="CG15">
        <v>919.07399999999996</v>
      </c>
      <c r="CH15">
        <v>212.277794</v>
      </c>
      <c r="CI15">
        <v>18.359212750000001</v>
      </c>
      <c r="CJ15">
        <v>138.4003472</v>
      </c>
      <c r="CK15">
        <v>268.227825</v>
      </c>
      <c r="CL15">
        <v>681.14708949999999</v>
      </c>
      <c r="CM15">
        <v>96.295730969999994</v>
      </c>
      <c r="CN15">
        <v>347.79899999999998</v>
      </c>
      <c r="CO15">
        <v>919.07399999999996</v>
      </c>
      <c r="CP15">
        <v>90.056832689999993</v>
      </c>
      <c r="CQ15">
        <v>11.50276317</v>
      </c>
      <c r="CR15">
        <v>54.834739759999998</v>
      </c>
      <c r="CS15">
        <v>115.7547407</v>
      </c>
      <c r="CT15">
        <v>112.1846817</v>
      </c>
      <c r="CU15">
        <v>13.67386956</v>
      </c>
      <c r="CV15">
        <v>67.671032929999996</v>
      </c>
      <c r="CW15">
        <v>141.59992890000001</v>
      </c>
      <c r="CX15">
        <v>-6.6742979280000003E-2</v>
      </c>
      <c r="CY15">
        <v>0.25688283140000001</v>
      </c>
      <c r="CZ15">
        <v>-1.3348161549999999</v>
      </c>
      <c r="DA15">
        <v>0.53344409169999996</v>
      </c>
      <c r="DB15">
        <v>2.902613171</v>
      </c>
      <c r="DC15">
        <v>0.37892335780000003</v>
      </c>
      <c r="DD15">
        <v>2.2452111779999999</v>
      </c>
      <c r="DE15">
        <v>4.2326999269999996</v>
      </c>
      <c r="DF15">
        <v>0.1065505933</v>
      </c>
      <c r="DG15">
        <v>1.759034713E-2</v>
      </c>
      <c r="DH15">
        <v>7.2165882099999995E-2</v>
      </c>
      <c r="DI15">
        <v>0.16305562439999999</v>
      </c>
      <c r="DJ15">
        <v>0.59103971730000004</v>
      </c>
      <c r="DK15">
        <v>5.0311931310000002E-2</v>
      </c>
      <c r="DL15">
        <v>0.47328095840000001</v>
      </c>
      <c r="DM15">
        <v>0.73225426230000001</v>
      </c>
      <c r="DN15">
        <v>100</v>
      </c>
      <c r="DO15">
        <v>0</v>
      </c>
      <c r="DP15">
        <v>100</v>
      </c>
      <c r="DQ15">
        <v>100</v>
      </c>
      <c r="DR15">
        <v>191.921853</v>
      </c>
      <c r="DS15">
        <v>27.108554940000001</v>
      </c>
      <c r="DT15">
        <v>108.5103069</v>
      </c>
      <c r="DU15">
        <v>259.0075296</v>
      </c>
      <c r="DV15">
        <v>96.412876690000004</v>
      </c>
      <c r="DW15">
        <v>15.810978820000001</v>
      </c>
      <c r="DX15">
        <v>61.328764550000002</v>
      </c>
      <c r="DY15">
        <v>138.56963579999999</v>
      </c>
      <c r="DZ15">
        <v>0.21002776170000001</v>
      </c>
      <c r="EA15">
        <v>2.0526711730000001E-2</v>
      </c>
      <c r="EB15">
        <v>0.1424076091</v>
      </c>
      <c r="EC15">
        <v>0.2697310248</v>
      </c>
      <c r="ED15">
        <v>0.19818407369999999</v>
      </c>
      <c r="EE15">
        <v>2.229765044E-2</v>
      </c>
      <c r="EF15">
        <v>0.1529281197</v>
      </c>
      <c r="EG15">
        <v>0.2877982113</v>
      </c>
      <c r="EH15">
        <v>0.40821183529999999</v>
      </c>
      <c r="EI15">
        <v>3.3341788109999999E-2</v>
      </c>
      <c r="EJ15">
        <v>0.33491742860000001</v>
      </c>
      <c r="EK15">
        <v>0.52425028569999998</v>
      </c>
      <c r="EL15">
        <v>0.1829456606</v>
      </c>
      <c r="EM15">
        <v>1.3545173779999999E-2</v>
      </c>
      <c r="EN15">
        <v>0.1520126289</v>
      </c>
      <c r="EO15">
        <v>0.21449007349999999</v>
      </c>
      <c r="EP15">
        <v>0.55668525260000001</v>
      </c>
      <c r="EQ15">
        <v>8.7414329530000001E-2</v>
      </c>
      <c r="ER15">
        <v>0.41193099999999999</v>
      </c>
      <c r="ES15">
        <v>0.88630600000000004</v>
      </c>
      <c r="ET15">
        <v>5.9598750630000003E-2</v>
      </c>
      <c r="EU15">
        <v>3.7000382040000002E-3</v>
      </c>
      <c r="EV15">
        <v>5.027373249E-2</v>
      </c>
      <c r="EW15">
        <v>7.0820304220000005E-2</v>
      </c>
      <c r="EX15">
        <v>7.4758895160000005E-2</v>
      </c>
      <c r="EY15">
        <v>4.5125784099999998E-3</v>
      </c>
      <c r="EZ15">
        <v>6.3327937099999995E-2</v>
      </c>
      <c r="FA15">
        <v>8.6199267600000004E-2</v>
      </c>
      <c r="FB15">
        <v>7.0218532759999994E-2</v>
      </c>
      <c r="FC15">
        <v>0.1386204328</v>
      </c>
      <c r="FD15">
        <v>-0.29004074400000002</v>
      </c>
      <c r="FE15">
        <v>0.47559756739999998</v>
      </c>
      <c r="FF15">
        <v>3.1042212880000002</v>
      </c>
      <c r="FG15">
        <v>0.31928997009999999</v>
      </c>
      <c r="FH15">
        <v>2.3679703480000001</v>
      </c>
      <c r="FI15">
        <v>4.3955950650000002</v>
      </c>
      <c r="FJ15">
        <v>0.28429212329999998</v>
      </c>
      <c r="FK15">
        <v>5.4783835420000003E-2</v>
      </c>
      <c r="FL15">
        <v>0.19157118049999999</v>
      </c>
      <c r="FM15">
        <v>0.53940044180000002</v>
      </c>
      <c r="FN15">
        <v>0.2723349135</v>
      </c>
      <c r="FO15">
        <v>6.5198688039999994E-2</v>
      </c>
      <c r="FP15">
        <v>0.1897651628</v>
      </c>
      <c r="FQ15">
        <v>0.54223574190000001</v>
      </c>
      <c r="FR15">
        <v>0.52476262630000003</v>
      </c>
      <c r="FS15">
        <v>8.1639886480000007E-2</v>
      </c>
      <c r="FT15">
        <v>0.38736700000000002</v>
      </c>
      <c r="FU15">
        <v>0.87197199999999997</v>
      </c>
      <c r="FV15">
        <v>0.46881784739999999</v>
      </c>
      <c r="FW15">
        <v>7.5526334119999997E-2</v>
      </c>
      <c r="FX15">
        <v>0.30438100000000001</v>
      </c>
      <c r="FY15">
        <v>0.790265</v>
      </c>
      <c r="FZ15">
        <v>6.6517962139999998E-2</v>
      </c>
      <c r="GA15">
        <v>6.5484655569999998E-3</v>
      </c>
      <c r="GB15">
        <v>5.0895412670000001E-2</v>
      </c>
      <c r="GC15">
        <v>8.6874285410000002E-2</v>
      </c>
      <c r="GD15">
        <v>0.59695465110000001</v>
      </c>
      <c r="GE15">
        <v>5.1362270520000003E-2</v>
      </c>
      <c r="GF15">
        <v>0.47297685680000001</v>
      </c>
      <c r="GG15">
        <v>0.7329126695</v>
      </c>
      <c r="GH15">
        <v>100</v>
      </c>
      <c r="GI15">
        <v>0</v>
      </c>
      <c r="GJ15">
        <v>100</v>
      </c>
      <c r="GK15">
        <v>100</v>
      </c>
      <c r="GL15">
        <v>0.1247022708</v>
      </c>
      <c r="GM15">
        <v>8.7063287980000004E-3</v>
      </c>
      <c r="GN15">
        <v>0.10526783119999999</v>
      </c>
      <c r="GO15">
        <v>0.15280045540000001</v>
      </c>
      <c r="GP15">
        <v>8.7659591769999992</v>
      </c>
      <c r="GQ15">
        <v>1.678654767</v>
      </c>
      <c r="GR15">
        <v>4.4570302880000003</v>
      </c>
      <c r="GS15">
        <v>14.201451779999999</v>
      </c>
      <c r="GT15">
        <v>151.7723038</v>
      </c>
      <c r="GU15">
        <v>14.71638971</v>
      </c>
      <c r="GV15">
        <v>115.10886050000001</v>
      </c>
      <c r="GW15">
        <v>196.48136199999999</v>
      </c>
      <c r="GX15">
        <v>206.8160178</v>
      </c>
      <c r="GY15">
        <v>25.802303380000001</v>
      </c>
      <c r="GZ15">
        <v>65.601599010000001</v>
      </c>
      <c r="HA15">
        <v>266.29272959999997</v>
      </c>
      <c r="HB15">
        <v>193.46137540000001</v>
      </c>
      <c r="HC15">
        <v>23.046764830000001</v>
      </c>
      <c r="HD15">
        <v>146.03362480000001</v>
      </c>
      <c r="HE15">
        <v>287.43435269999998</v>
      </c>
      <c r="HF15">
        <v>400.27739320000001</v>
      </c>
      <c r="HG15">
        <v>37.473931759999999</v>
      </c>
      <c r="HH15">
        <v>233.27871429999999</v>
      </c>
      <c r="HI15">
        <v>508.07057140000001</v>
      </c>
      <c r="HJ15">
        <v>180.17879740000001</v>
      </c>
      <c r="HK15">
        <v>15.061679939999999</v>
      </c>
      <c r="HL15">
        <v>114.7729082</v>
      </c>
      <c r="HM15">
        <v>209.3552206</v>
      </c>
      <c r="HN15">
        <v>541.01826840000001</v>
      </c>
      <c r="HO15">
        <v>76.609893369999995</v>
      </c>
      <c r="HP15">
        <v>327.26</v>
      </c>
      <c r="HQ15">
        <v>802.47900000000004</v>
      </c>
      <c r="HR15">
        <v>59.070001769999998</v>
      </c>
      <c r="HS15">
        <v>4.2571575079999997</v>
      </c>
      <c r="HT15">
        <v>38.387442620000002</v>
      </c>
      <c r="HU15">
        <v>70.820304219999997</v>
      </c>
      <c r="HV15">
        <v>73.985590439999996</v>
      </c>
      <c r="HW15">
        <v>5.2576016540000001</v>
      </c>
      <c r="HX15">
        <v>48.464983400000001</v>
      </c>
      <c r="HY15">
        <v>85.92210335</v>
      </c>
      <c r="HZ15">
        <v>6.7716193399999999E-2</v>
      </c>
      <c r="IA15">
        <v>0.20131472959999999</v>
      </c>
      <c r="IB15">
        <v>-1.2962790470000001</v>
      </c>
      <c r="IC15">
        <v>0.45988300560000001</v>
      </c>
      <c r="ID15">
        <v>3.0867414329999998</v>
      </c>
      <c r="IE15">
        <v>0.31856551979999997</v>
      </c>
      <c r="IF15">
        <v>2.5390953390000002</v>
      </c>
      <c r="IG15">
        <v>4.8434355130000002</v>
      </c>
      <c r="IH15">
        <v>278.77845769999999</v>
      </c>
      <c r="II15">
        <v>53.11837027</v>
      </c>
      <c r="IJ15">
        <v>112.99602760000001</v>
      </c>
      <c r="IK15">
        <v>530.62891460000003</v>
      </c>
      <c r="IL15">
        <v>262.18160019999999</v>
      </c>
      <c r="IM15">
        <v>55.445589169999998</v>
      </c>
      <c r="IN15">
        <v>175.95045970000001</v>
      </c>
      <c r="IO15">
        <v>505.67892419999998</v>
      </c>
      <c r="IP15">
        <v>510.96497369999997</v>
      </c>
      <c r="IQ15">
        <v>72.236790970000001</v>
      </c>
      <c r="IR15">
        <v>305.93700000000001</v>
      </c>
      <c r="IS15">
        <v>748.42700000000002</v>
      </c>
      <c r="IT15">
        <v>456.81591049999997</v>
      </c>
      <c r="IU15">
        <v>72.229279309999995</v>
      </c>
      <c r="IV15">
        <v>304.38099999999997</v>
      </c>
      <c r="IW15">
        <v>737.61699999999996</v>
      </c>
      <c r="IX15">
        <v>6.6261935110000003E-2</v>
      </c>
      <c r="IY15">
        <v>6.5067708139999996E-3</v>
      </c>
      <c r="IZ15">
        <v>5.0895412670000001E-2</v>
      </c>
      <c r="JA15">
        <v>8.6874285410000002E-2</v>
      </c>
      <c r="JB15">
        <v>0.59055664220000004</v>
      </c>
      <c r="JC15">
        <v>5.20416618E-2</v>
      </c>
      <c r="JD15">
        <v>0.43945726709999999</v>
      </c>
      <c r="JE15">
        <v>0.72460572519999999</v>
      </c>
      <c r="JF15">
        <v>100</v>
      </c>
      <c r="JG15">
        <v>0</v>
      </c>
      <c r="JH15">
        <v>100</v>
      </c>
      <c r="JI15">
        <v>100</v>
      </c>
      <c r="JJ15">
        <v>123.5027587</v>
      </c>
      <c r="JK15">
        <v>10.337745809999999</v>
      </c>
      <c r="JL15">
        <v>69.732168900000005</v>
      </c>
      <c r="JM15">
        <v>152.8004554</v>
      </c>
      <c r="JN15">
        <v>8.9768953410000005</v>
      </c>
      <c r="JO15">
        <v>1.647770636</v>
      </c>
      <c r="JP15">
        <v>4.4570302880000003</v>
      </c>
      <c r="JQ15">
        <v>12.78010342</v>
      </c>
      <c r="JR15">
        <v>152.3503394</v>
      </c>
      <c r="JS15">
        <v>14.721528259999999</v>
      </c>
      <c r="JT15">
        <v>115.10886050000001</v>
      </c>
      <c r="JU15">
        <v>196.48136199999999</v>
      </c>
      <c r="JV15">
        <v>0.13940366679999999</v>
      </c>
      <c r="JW15">
        <v>3.3286235730000002E-2</v>
      </c>
      <c r="JX15">
        <v>7.254902077E-2</v>
      </c>
      <c r="JY15">
        <v>0.19455258040000001</v>
      </c>
      <c r="JZ15">
        <v>0.16374325419999999</v>
      </c>
      <c r="KA15">
        <v>4.1067298080000002E-2</v>
      </c>
      <c r="KB15">
        <v>8.8001394390000001E-2</v>
      </c>
      <c r="KC15">
        <v>0.26238662260000001</v>
      </c>
      <c r="KD15">
        <v>0.30314692110000002</v>
      </c>
      <c r="KE15">
        <v>6.0117418300000003E-2</v>
      </c>
      <c r="KF15">
        <v>0.16974500000000001</v>
      </c>
      <c r="KG15">
        <v>0.43893399999999999</v>
      </c>
      <c r="KH15">
        <v>0.19244795910000001</v>
      </c>
      <c r="KI15">
        <v>5.9659328460000001E-2</v>
      </c>
      <c r="KJ15">
        <v>8.2879666670000005E-2</v>
      </c>
      <c r="KK15">
        <v>0.33096399999999998</v>
      </c>
      <c r="KL15">
        <v>0.30314692110000002</v>
      </c>
      <c r="KM15">
        <v>6.0117418300000003E-2</v>
      </c>
      <c r="KN15">
        <v>0.16974500000000001</v>
      </c>
      <c r="KO15">
        <v>0.43893399999999999</v>
      </c>
      <c r="KP15">
        <v>6.3417368900000007E-2</v>
      </c>
      <c r="KQ15">
        <v>1.441262821E-2</v>
      </c>
      <c r="KR15">
        <v>4.0583073499999997E-2</v>
      </c>
      <c r="KS15">
        <v>9.7628529739999997E-2</v>
      </c>
      <c r="KT15">
        <v>7.7919926050000005E-2</v>
      </c>
      <c r="KU15">
        <v>1.6608868650000001E-2</v>
      </c>
      <c r="KV15">
        <v>5.1886045509999999E-2</v>
      </c>
      <c r="KW15">
        <v>0.1132946856</v>
      </c>
      <c r="KX15">
        <v>-0.19336932100000001</v>
      </c>
      <c r="KY15">
        <v>0.53518068669999996</v>
      </c>
      <c r="KZ15">
        <v>-1.560581904</v>
      </c>
      <c r="LA15">
        <v>0.89925573410000004</v>
      </c>
      <c r="LB15">
        <v>2.6253060019999999</v>
      </c>
      <c r="LC15">
        <v>0.62629487189999999</v>
      </c>
      <c r="LD15">
        <v>1.6431759800000001</v>
      </c>
      <c r="LE15">
        <v>4.993947768</v>
      </c>
      <c r="LF15">
        <v>2.3560469980000001</v>
      </c>
      <c r="LG15">
        <v>0.81648045759999999</v>
      </c>
      <c r="LH15">
        <v>0.62375999780000002</v>
      </c>
      <c r="LI15">
        <v>4.261439985</v>
      </c>
      <c r="LJ15">
        <v>1.073369266E-2</v>
      </c>
      <c r="LK15">
        <v>1.9202594990000001E-3</v>
      </c>
      <c r="LL15">
        <v>7.0772829259999996E-3</v>
      </c>
      <c r="LM15">
        <v>1.513972502E-2</v>
      </c>
      <c r="LN15">
        <v>100</v>
      </c>
      <c r="LO15">
        <v>0</v>
      </c>
      <c r="LP15">
        <v>100</v>
      </c>
      <c r="LQ15">
        <v>100</v>
      </c>
      <c r="LR15">
        <v>0.13380342810000001</v>
      </c>
      <c r="LS15">
        <v>3.3442273090000002E-2</v>
      </c>
      <c r="LT15">
        <v>7.1734249129999997E-2</v>
      </c>
      <c r="LU15">
        <v>0.21968016269999999</v>
      </c>
      <c r="LV15">
        <v>17.679624969999999</v>
      </c>
      <c r="LW15">
        <v>5.6674223880000003</v>
      </c>
      <c r="LX15">
        <v>2.4745912510000001</v>
      </c>
      <c r="LY15">
        <v>31.595227569999999</v>
      </c>
      <c r="LZ15">
        <v>4.9339467319999999</v>
      </c>
      <c r="MA15">
        <v>2.2988439660000002</v>
      </c>
      <c r="MB15">
        <v>2.3466246229999999</v>
      </c>
      <c r="MC15">
        <v>16.03180716</v>
      </c>
      <c r="MD15">
        <v>138.55436900000001</v>
      </c>
      <c r="ME15">
        <v>34.478951410000001</v>
      </c>
      <c r="MF15">
        <v>46.392992270000001</v>
      </c>
      <c r="MG15">
        <v>194.55258040000001</v>
      </c>
      <c r="MH15">
        <v>161.39916790000001</v>
      </c>
      <c r="MI15">
        <v>41.719827199999997</v>
      </c>
      <c r="MJ15">
        <v>84.046833190000001</v>
      </c>
      <c r="MK15">
        <v>262.44341359999999</v>
      </c>
      <c r="ML15">
        <v>299.95353679999999</v>
      </c>
      <c r="MM15">
        <v>62.620991240000002</v>
      </c>
      <c r="MN15">
        <v>130.89599999999999</v>
      </c>
      <c r="MO15">
        <v>438.93400000000003</v>
      </c>
      <c r="MP15">
        <v>191.3801727</v>
      </c>
      <c r="MQ15">
        <v>56.918030870000003</v>
      </c>
      <c r="MR15">
        <v>84.584000000000003</v>
      </c>
      <c r="MS15">
        <v>322.96300000000002</v>
      </c>
      <c r="MT15">
        <v>299.95353679999999</v>
      </c>
      <c r="MU15">
        <v>62.620991240000002</v>
      </c>
      <c r="MV15">
        <v>130.89599999999999</v>
      </c>
      <c r="MW15">
        <v>438.93400000000003</v>
      </c>
      <c r="MX15">
        <v>62.927574960000001</v>
      </c>
      <c r="MY15">
        <v>14.804492809999999</v>
      </c>
      <c r="MZ15">
        <v>32.358627329999997</v>
      </c>
      <c r="NA15">
        <v>97.628529740000005</v>
      </c>
      <c r="NB15">
        <v>77.24173184</v>
      </c>
      <c r="NC15">
        <v>17.147538470000001</v>
      </c>
      <c r="ND15">
        <v>37.119504190000001</v>
      </c>
      <c r="NE15">
        <v>113.29468559999999</v>
      </c>
      <c r="NF15">
        <v>-0.18403780780000001</v>
      </c>
      <c r="NG15">
        <v>0.53070356500000004</v>
      </c>
      <c r="NH15">
        <v>-1.560581904</v>
      </c>
      <c r="NI15">
        <v>0.89925573410000004</v>
      </c>
      <c r="NJ15">
        <v>2.6081025320000002</v>
      </c>
      <c r="NK15">
        <v>0.622516175</v>
      </c>
      <c r="NL15">
        <v>1.643261987</v>
      </c>
      <c r="NM15">
        <v>4.993947768</v>
      </c>
      <c r="NN15">
        <v>2.3581328400000001</v>
      </c>
      <c r="NO15">
        <v>0.82247285449999996</v>
      </c>
      <c r="NP15">
        <v>0.62375999780000002</v>
      </c>
      <c r="NQ15">
        <v>4.261439985</v>
      </c>
      <c r="NR15">
        <v>1.063978898E-2</v>
      </c>
      <c r="NS15">
        <v>1.9965192700000002E-3</v>
      </c>
      <c r="NT15">
        <v>5.2171503230000003E-3</v>
      </c>
      <c r="NU15">
        <v>1.513972502E-2</v>
      </c>
      <c r="NV15">
        <v>100</v>
      </c>
      <c r="NW15">
        <v>0</v>
      </c>
      <c r="NX15">
        <v>100</v>
      </c>
      <c r="NY15">
        <v>100</v>
      </c>
      <c r="NZ15">
        <v>132.88606669999999</v>
      </c>
      <c r="OA15">
        <v>33.925469990000003</v>
      </c>
      <c r="OB15">
        <v>71.734249129999995</v>
      </c>
      <c r="OC15">
        <v>219.68016270000001</v>
      </c>
      <c r="OD15">
        <v>17.825659099999999</v>
      </c>
      <c r="OE15">
        <v>5.6386000110000003</v>
      </c>
      <c r="OF15">
        <v>2.4745912510000001</v>
      </c>
      <c r="OG15">
        <v>31.595227569999999</v>
      </c>
      <c r="OH15">
        <v>4.9382489730000003</v>
      </c>
      <c r="OI15">
        <v>2.3087066959999998</v>
      </c>
      <c r="OJ15">
        <v>2.3466246229999999</v>
      </c>
      <c r="OK15">
        <v>16.03180716</v>
      </c>
      <c r="OL15">
        <v>7.9947581200000006E-2</v>
      </c>
      <c r="OM15">
        <v>6.6060482059999995E-2</v>
      </c>
      <c r="ON15">
        <v>3.3413847529999998</v>
      </c>
      <c r="OO15">
        <v>0.647787</v>
      </c>
      <c r="OP15">
        <v>0.65430999999999995</v>
      </c>
      <c r="OQ15">
        <v>1.3020970000000001</v>
      </c>
      <c r="OR15">
        <v>6.3129138560000006E-2</v>
      </c>
      <c r="OS15" s="2">
        <v>4.1126629299999996E-6</v>
      </c>
      <c r="OT15">
        <v>1.058451756E-4</v>
      </c>
      <c r="OU15" s="2">
        <v>4.1126629299999996E-6</v>
      </c>
      <c r="OV15" s="2">
        <v>7.0762085190000004E-5</v>
      </c>
      <c r="OW15" s="2">
        <v>9.6956914809999994E-5</v>
      </c>
      <c r="OX15" s="2">
        <v>8.8882608259999992E-6</v>
      </c>
      <c r="OY15">
        <v>0.20009699689999999</v>
      </c>
      <c r="OZ15">
        <v>8.3092727640000003E-2</v>
      </c>
      <c r="PA15">
        <v>7.7537689519999994E-2</v>
      </c>
      <c r="PB15">
        <v>10.5449933</v>
      </c>
      <c r="PC15">
        <v>90.134322429999997</v>
      </c>
      <c r="PD15">
        <v>7.9152657949999997E-2</v>
      </c>
      <c r="PE15">
        <v>5.7158790469999998E-2</v>
      </c>
      <c r="PF15">
        <v>3.1949698990000002</v>
      </c>
      <c r="PG15">
        <v>0.64424199999999998</v>
      </c>
      <c r="PH15">
        <v>0.60990900000000003</v>
      </c>
      <c r="PI15">
        <v>1.254151</v>
      </c>
      <c r="PJ15">
        <v>6.2818118480000004E-2</v>
      </c>
      <c r="PK15" s="2">
        <v>3.9156666089999999E-6</v>
      </c>
      <c r="PL15">
        <v>1.055147034E-4</v>
      </c>
      <c r="PM15" s="2">
        <v>3.9156666089999999E-6</v>
      </c>
      <c r="PN15" s="2">
        <v>7.0853234979999997E-5</v>
      </c>
      <c r="PO15" s="2">
        <v>9.6831765019999994E-5</v>
      </c>
      <c r="PP15" s="2">
        <v>8.6829383559999993E-6</v>
      </c>
      <c r="PQ15">
        <v>0.2007091956</v>
      </c>
      <c r="PR15">
        <v>7.9044258359999994E-2</v>
      </c>
      <c r="PS15">
        <v>7.5077948919999998E-2</v>
      </c>
      <c r="PT15">
        <v>10.47977496</v>
      </c>
      <c r="PU15">
        <v>90.335380330000007</v>
      </c>
      <c r="PV15">
        <v>0.42706472200000001</v>
      </c>
      <c r="PW15">
        <v>0.20375179469999999</v>
      </c>
      <c r="PX15">
        <v>0.1450438205</v>
      </c>
      <c r="PY15">
        <v>9.5218906360000002</v>
      </c>
      <c r="PZ15">
        <v>90.308998119999998</v>
      </c>
      <c r="QA15">
        <v>427.05899210000001</v>
      </c>
      <c r="QB15">
        <v>197.19413159999999</v>
      </c>
      <c r="QC15">
        <v>139.57247559999999</v>
      </c>
      <c r="QD15">
        <v>9.5191141419999994</v>
      </c>
      <c r="QE15">
        <v>90.310793430000004</v>
      </c>
      <c r="QF15" s="2">
        <v>1.0162782990000001E-5</v>
      </c>
      <c r="QG15">
        <v>1.500897567E-4</v>
      </c>
      <c r="QH15">
        <v>1.995612433E-4</v>
      </c>
      <c r="QI15" s="2">
        <v>1.7565182140000001E-5</v>
      </c>
      <c r="QJ15" s="2">
        <v>9.8473248390000006E-6</v>
      </c>
      <c r="QK15">
        <v>1.5008806890000001E-4</v>
      </c>
      <c r="QL15">
        <v>1.9956093109999999E-4</v>
      </c>
      <c r="QM15" s="2">
        <v>1.729882882E-5</v>
      </c>
      <c r="QN15" t="s">
        <v>244</v>
      </c>
      <c r="QO15">
        <v>89.988928360000003</v>
      </c>
      <c r="QP15">
        <v>68.284085880000006</v>
      </c>
      <c r="QQ15">
        <v>81.764858270000005</v>
      </c>
      <c r="QR15" t="s">
        <v>244</v>
      </c>
      <c r="QS15">
        <v>89.989006450000005</v>
      </c>
      <c r="QT15">
        <v>68.284578629999999</v>
      </c>
      <c r="QU15">
        <v>81.764588329999995</v>
      </c>
    </row>
    <row r="16" spans="1:463" x14ac:dyDescent="0.2">
      <c r="A16" t="s">
        <v>288</v>
      </c>
      <c r="B16" s="2">
        <v>-6.1270750350000002E-12</v>
      </c>
      <c r="C16" s="2">
        <v>5.8373558860000002E-12</v>
      </c>
      <c r="D16">
        <v>1.49114519E-3</v>
      </c>
      <c r="E16">
        <v>5.1908230440000001E-2</v>
      </c>
      <c r="F16">
        <v>0.45644849320000003</v>
      </c>
      <c r="G16">
        <v>4.571695483E-3</v>
      </c>
      <c r="H16">
        <v>0.1591452156</v>
      </c>
      <c r="I16">
        <v>1.3994234290000001</v>
      </c>
      <c r="J16">
        <v>32.61540548</v>
      </c>
      <c r="K16">
        <v>32.616896619999999</v>
      </c>
      <c r="L16">
        <v>32.616896619999999</v>
      </c>
      <c r="M16">
        <v>32.616896619999999</v>
      </c>
      <c r="N16">
        <v>32.564988390000003</v>
      </c>
      <c r="O16">
        <v>32.616896619999999</v>
      </c>
      <c r="P16">
        <v>32.160448129999999</v>
      </c>
      <c r="Q16">
        <v>32.616896619999999</v>
      </c>
      <c r="R16">
        <v>0.58416418059999997</v>
      </c>
      <c r="S16">
        <v>8.0109248770000002E-2</v>
      </c>
      <c r="T16">
        <v>0.37957486810000002</v>
      </c>
      <c r="U16">
        <v>0.80287143989999998</v>
      </c>
      <c r="V16">
        <v>0.57225968780000003</v>
      </c>
      <c r="W16">
        <v>7.5223056610000005E-2</v>
      </c>
      <c r="X16">
        <v>0.39178089240000002</v>
      </c>
      <c r="Y16">
        <v>0.82643155369999999</v>
      </c>
      <c r="Z16">
        <v>1.1564238680000001</v>
      </c>
      <c r="AA16">
        <v>0.1229828062</v>
      </c>
      <c r="AB16">
        <v>0.83404599999999995</v>
      </c>
      <c r="AC16">
        <v>1.5142850000000001</v>
      </c>
      <c r="AD16">
        <v>0.37688638219999998</v>
      </c>
      <c r="AE16">
        <v>3.9542575400000002E-2</v>
      </c>
      <c r="AF16">
        <v>0.25829283520000001</v>
      </c>
      <c r="AG16">
        <v>0.50849627080000004</v>
      </c>
      <c r="AH16">
        <v>1.1564238680000001</v>
      </c>
      <c r="AI16">
        <v>0.1229828062</v>
      </c>
      <c r="AJ16">
        <v>0.83404599999999995</v>
      </c>
      <c r="AK16">
        <v>1.5142850000000001</v>
      </c>
      <c r="AL16">
        <v>0.14828652270000001</v>
      </c>
      <c r="AM16">
        <v>1.544238176E-2</v>
      </c>
      <c r="AN16">
        <v>9.313582863E-2</v>
      </c>
      <c r="AO16">
        <v>0.1883540997</v>
      </c>
      <c r="AP16">
        <v>0.1847567769</v>
      </c>
      <c r="AQ16">
        <v>1.8468933E-2</v>
      </c>
      <c r="AR16">
        <v>0.119519498</v>
      </c>
      <c r="AS16">
        <v>0.23104326510000001</v>
      </c>
      <c r="AT16">
        <v>-6.1677161310000001E-3</v>
      </c>
      <c r="AU16">
        <v>0.1972105368</v>
      </c>
      <c r="AV16">
        <v>-0.54374883419999998</v>
      </c>
      <c r="AW16">
        <v>0.63054753259999996</v>
      </c>
      <c r="AX16">
        <v>2.8946611689999999</v>
      </c>
      <c r="AY16">
        <v>0.29279076230000001</v>
      </c>
      <c r="AZ16">
        <v>2.3862245999999998</v>
      </c>
      <c r="BA16">
        <v>4.1986391830000001</v>
      </c>
      <c r="BB16">
        <v>7.8232903029999995E-2</v>
      </c>
      <c r="BC16">
        <v>1.374831365E-2</v>
      </c>
      <c r="BD16">
        <v>5.24283049E-2</v>
      </c>
      <c r="BE16">
        <v>0.1294324996</v>
      </c>
      <c r="BF16">
        <v>1.8261272230000001</v>
      </c>
      <c r="BG16">
        <v>0.23734306620000001</v>
      </c>
      <c r="BH16">
        <v>1.2456663960000001</v>
      </c>
      <c r="BI16">
        <v>2.4709817589999998</v>
      </c>
      <c r="BJ16">
        <v>97.868911679999997</v>
      </c>
      <c r="BK16">
        <v>2.6493323019999999</v>
      </c>
      <c r="BL16">
        <v>84.45569467</v>
      </c>
      <c r="BM16">
        <v>100</v>
      </c>
      <c r="BN16">
        <v>0.31452882669999999</v>
      </c>
      <c r="BO16">
        <v>3.5860294760000001E-2</v>
      </c>
      <c r="BP16">
        <v>0.19211928580000001</v>
      </c>
      <c r="BQ16">
        <v>0.40603971280000001</v>
      </c>
      <c r="BR16">
        <v>131.61122810000001</v>
      </c>
      <c r="BS16">
        <v>22.071156949999999</v>
      </c>
      <c r="BT16">
        <v>77.260348320000006</v>
      </c>
      <c r="BU16">
        <v>190.7366644</v>
      </c>
      <c r="BV16">
        <v>0.53800404570000004</v>
      </c>
      <c r="BW16">
        <v>8.6502811939999993E-2</v>
      </c>
      <c r="BX16">
        <v>0.21401586189999999</v>
      </c>
      <c r="BY16">
        <v>0.79036212149999996</v>
      </c>
      <c r="BZ16">
        <v>0.51059123849999999</v>
      </c>
      <c r="CA16">
        <v>7.8980417639999995E-2</v>
      </c>
      <c r="CB16">
        <v>0.32589345380000001</v>
      </c>
      <c r="CC16">
        <v>0.71691483649999999</v>
      </c>
      <c r="CD16">
        <v>1.0485952839999999</v>
      </c>
      <c r="CE16">
        <v>0.1002507388</v>
      </c>
      <c r="CF16">
        <v>0.73898399999999997</v>
      </c>
      <c r="CG16">
        <v>1.2053499999999999</v>
      </c>
      <c r="CH16">
        <v>0.36524474779999999</v>
      </c>
      <c r="CI16">
        <v>3.6734280209999998E-2</v>
      </c>
      <c r="CJ16">
        <v>0.25829283520000001</v>
      </c>
      <c r="CK16">
        <v>0.48831006249999998</v>
      </c>
      <c r="CL16">
        <v>1.0485952839999999</v>
      </c>
      <c r="CM16">
        <v>0.1002507388</v>
      </c>
      <c r="CN16">
        <v>0.73898399999999997</v>
      </c>
      <c r="CO16">
        <v>1.2053499999999999</v>
      </c>
      <c r="CP16">
        <v>0.1464841409</v>
      </c>
      <c r="CQ16">
        <v>1.519055421E-2</v>
      </c>
      <c r="CR16">
        <v>9.313582863E-2</v>
      </c>
      <c r="CS16">
        <v>0.18384077539999999</v>
      </c>
      <c r="CT16">
        <v>0.18151397729999999</v>
      </c>
      <c r="CU16">
        <v>1.7983740889999999E-2</v>
      </c>
      <c r="CV16">
        <v>0.119519498</v>
      </c>
      <c r="CW16">
        <v>0.22284361480000001</v>
      </c>
      <c r="CX16">
        <v>-2.3550865330000002E-3</v>
      </c>
      <c r="CY16">
        <v>0.212841795</v>
      </c>
      <c r="CZ16">
        <v>-0.73125707230000003</v>
      </c>
      <c r="DA16">
        <v>0.62702139040000004</v>
      </c>
      <c r="DB16">
        <v>2.777982127</v>
      </c>
      <c r="DC16">
        <v>0.27595988729999998</v>
      </c>
      <c r="DD16">
        <v>2.1067707649999998</v>
      </c>
      <c r="DE16">
        <v>3.708453724</v>
      </c>
      <c r="DF16">
        <v>7.6678359909999994E-2</v>
      </c>
      <c r="DG16">
        <v>1.3487914639999999E-2</v>
      </c>
      <c r="DH16">
        <v>5.1987730910000002E-2</v>
      </c>
      <c r="DI16">
        <v>0.12946124959999999</v>
      </c>
      <c r="DJ16">
        <v>1.7756161150000001</v>
      </c>
      <c r="DK16">
        <v>0.21337999190000001</v>
      </c>
      <c r="DL16">
        <v>1.2456663960000001</v>
      </c>
      <c r="DM16">
        <v>2.3332183450000001</v>
      </c>
      <c r="DN16">
        <v>99.024965809999998</v>
      </c>
      <c r="DO16">
        <v>1.72409488</v>
      </c>
      <c r="DP16">
        <v>86.036235090000005</v>
      </c>
      <c r="DQ16">
        <v>100</v>
      </c>
      <c r="DR16">
        <v>0.31319283860000002</v>
      </c>
      <c r="DS16">
        <v>3.5671938180000001E-2</v>
      </c>
      <c r="DT16">
        <v>0.19211928580000001</v>
      </c>
      <c r="DU16">
        <v>0.40491148020000001</v>
      </c>
      <c r="DV16">
        <v>134.27019609999999</v>
      </c>
      <c r="DW16">
        <v>22.464284060000001</v>
      </c>
      <c r="DX16">
        <v>77.243190799999994</v>
      </c>
      <c r="DY16">
        <v>192.35307689999999</v>
      </c>
      <c r="DZ16">
        <v>0.37451779559999998</v>
      </c>
      <c r="EA16">
        <v>4.1529623219999999E-2</v>
      </c>
      <c r="EB16">
        <v>0.27324371089999999</v>
      </c>
      <c r="EC16">
        <v>0.49632466870000003</v>
      </c>
      <c r="ED16">
        <v>0.3630061202</v>
      </c>
      <c r="EE16">
        <v>3.9921342899999997E-2</v>
      </c>
      <c r="EF16">
        <v>0.24988294999999999</v>
      </c>
      <c r="EG16">
        <v>0.4819066279</v>
      </c>
      <c r="EH16">
        <v>0.73752391579999999</v>
      </c>
      <c r="EI16">
        <v>6.679173829E-2</v>
      </c>
      <c r="EJ16">
        <v>0.52862042860000003</v>
      </c>
      <c r="EK16">
        <v>0.95076828570000005</v>
      </c>
      <c r="EL16">
        <v>0.31704270950000002</v>
      </c>
      <c r="EM16">
        <v>2.9368454620000001E-2</v>
      </c>
      <c r="EN16">
        <v>0.22266567230000001</v>
      </c>
      <c r="EO16">
        <v>0.41387052210000003</v>
      </c>
      <c r="EP16">
        <v>1.0497308999999999</v>
      </c>
      <c r="EQ16">
        <v>0.1512665591</v>
      </c>
      <c r="ER16">
        <v>0.64599499999999999</v>
      </c>
      <c r="ES16">
        <v>1.560063</v>
      </c>
      <c r="ET16">
        <v>9.9190926629999995E-2</v>
      </c>
      <c r="EU16">
        <v>7.7330170699999997E-3</v>
      </c>
      <c r="EV16">
        <v>7.7245694170000004E-2</v>
      </c>
      <c r="EW16">
        <v>0.1293140485</v>
      </c>
      <c r="EX16">
        <v>0.1271804943</v>
      </c>
      <c r="EY16">
        <v>9.9845119310000008E-3</v>
      </c>
      <c r="EZ16">
        <v>9.7411289119999994E-2</v>
      </c>
      <c r="FA16">
        <v>0.1678440648</v>
      </c>
      <c r="FB16">
        <v>6.3335077929999997E-2</v>
      </c>
      <c r="FC16">
        <v>0.1464141004</v>
      </c>
      <c r="FD16">
        <v>-0.34257096590000002</v>
      </c>
      <c r="FE16">
        <v>0.45138655680000001</v>
      </c>
      <c r="FF16">
        <v>3.5125658080000002</v>
      </c>
      <c r="FG16">
        <v>0.3901060543</v>
      </c>
      <c r="FH16">
        <v>2.7664329410000001</v>
      </c>
      <c r="FI16">
        <v>5.2905250219999997</v>
      </c>
      <c r="FJ16">
        <v>0.53860906180000001</v>
      </c>
      <c r="FK16">
        <v>0.1034610903</v>
      </c>
      <c r="FL16">
        <v>0.3160287121</v>
      </c>
      <c r="FM16">
        <v>0.85436931130000004</v>
      </c>
      <c r="FN16">
        <v>0.51108604879999997</v>
      </c>
      <c r="FO16">
        <v>8.5198191480000005E-2</v>
      </c>
      <c r="FP16">
        <v>0.30484309279999999</v>
      </c>
      <c r="FQ16">
        <v>0.7989811349</v>
      </c>
      <c r="FR16">
        <v>0.99584581579999998</v>
      </c>
      <c r="FS16">
        <v>0.1389986175</v>
      </c>
      <c r="FT16">
        <v>0.64012199999999997</v>
      </c>
      <c r="FU16">
        <v>1.357035</v>
      </c>
      <c r="FV16">
        <v>0.76439489469999999</v>
      </c>
      <c r="FW16">
        <v>0.189511075</v>
      </c>
      <c r="FX16">
        <v>0.39600099999999999</v>
      </c>
      <c r="FY16">
        <v>1.3491820000000001</v>
      </c>
      <c r="FZ16">
        <v>5.113793782E-2</v>
      </c>
      <c r="GA16">
        <v>5.1469759540000003E-3</v>
      </c>
      <c r="GB16">
        <v>4.1586766769999998E-2</v>
      </c>
      <c r="GC16">
        <v>6.5977142629999999E-2</v>
      </c>
      <c r="GD16">
        <v>1.7559067500000001</v>
      </c>
      <c r="GE16">
        <v>0.21673853109999999</v>
      </c>
      <c r="GF16">
        <v>1.226018981</v>
      </c>
      <c r="GG16">
        <v>2.372349764</v>
      </c>
      <c r="GH16">
        <v>99.43624629</v>
      </c>
      <c r="GI16">
        <v>1.342619977</v>
      </c>
      <c r="GJ16">
        <v>88.697365180000006</v>
      </c>
      <c r="GK16">
        <v>100</v>
      </c>
      <c r="GL16">
        <v>0.1966535878</v>
      </c>
      <c r="GM16">
        <v>1.5531487890000001E-2</v>
      </c>
      <c r="GN16">
        <v>0.15616088589999999</v>
      </c>
      <c r="GO16">
        <v>0.25362760769999998</v>
      </c>
      <c r="GP16">
        <v>7.4065115749999997</v>
      </c>
      <c r="GQ16">
        <v>1.2052954870000001</v>
      </c>
      <c r="GR16">
        <v>4.6057198169999998</v>
      </c>
      <c r="GS16">
        <v>10.94936407</v>
      </c>
      <c r="GT16">
        <v>197.47908939999999</v>
      </c>
      <c r="GU16">
        <v>19.321218179999999</v>
      </c>
      <c r="GV16">
        <v>151.567643</v>
      </c>
      <c r="GW16">
        <v>240.46110759999999</v>
      </c>
      <c r="GX16">
        <v>0.36127450529999999</v>
      </c>
      <c r="GY16">
        <v>3.9790850609999998E-2</v>
      </c>
      <c r="GZ16">
        <v>0.24640761259999999</v>
      </c>
      <c r="HA16">
        <v>0.46582873470000002</v>
      </c>
      <c r="HB16">
        <v>0.35095568040000003</v>
      </c>
      <c r="HC16">
        <v>3.9080909730000002E-2</v>
      </c>
      <c r="HD16">
        <v>0.24988294999999999</v>
      </c>
      <c r="HE16">
        <v>0.47178699460000001</v>
      </c>
      <c r="HF16">
        <v>0.71223018569999996</v>
      </c>
      <c r="HG16">
        <v>5.8767089580000001E-2</v>
      </c>
      <c r="HH16">
        <v>0.52862042860000003</v>
      </c>
      <c r="HI16">
        <v>0.86281442860000002</v>
      </c>
      <c r="HJ16">
        <v>0.3091941695</v>
      </c>
      <c r="HK16">
        <v>2.6829690329999999E-2</v>
      </c>
      <c r="HL16">
        <v>0.22266567230000001</v>
      </c>
      <c r="HM16">
        <v>0.3790314957</v>
      </c>
      <c r="HN16">
        <v>0.99483551579999996</v>
      </c>
      <c r="HO16">
        <v>0.1264521881</v>
      </c>
      <c r="HP16">
        <v>0.64599499999999999</v>
      </c>
      <c r="HQ16">
        <v>1.476507</v>
      </c>
      <c r="HR16">
        <v>9.7760364249999995E-2</v>
      </c>
      <c r="HS16">
        <v>7.2632510659999998E-3</v>
      </c>
      <c r="HT16">
        <v>7.7245694170000004E-2</v>
      </c>
      <c r="HU16">
        <v>0.11952589819999999</v>
      </c>
      <c r="HV16">
        <v>0.12480889520000001</v>
      </c>
      <c r="HW16">
        <v>9.1516012060000006E-3</v>
      </c>
      <c r="HX16">
        <v>9.7411289119999994E-2</v>
      </c>
      <c r="HY16">
        <v>0.1500617501</v>
      </c>
      <c r="HZ16">
        <v>5.5576132649999999E-2</v>
      </c>
      <c r="IA16">
        <v>0.1763752784</v>
      </c>
      <c r="IB16">
        <v>-0.71857399919999998</v>
      </c>
      <c r="IC16">
        <v>0.45138655680000001</v>
      </c>
      <c r="ID16">
        <v>3.4332451819999998</v>
      </c>
      <c r="IE16">
        <v>0.36057108500000001</v>
      </c>
      <c r="IF16">
        <v>2.7193980419999999</v>
      </c>
      <c r="IG16">
        <v>4.9028015759999999</v>
      </c>
      <c r="IH16">
        <v>0.50880565870000005</v>
      </c>
      <c r="II16">
        <v>9.0960509889999999E-2</v>
      </c>
      <c r="IJ16">
        <v>0.3160287121</v>
      </c>
      <c r="IK16">
        <v>0.77497681190000001</v>
      </c>
      <c r="IL16">
        <v>0.48599431500000001</v>
      </c>
      <c r="IM16">
        <v>7.9452836939999993E-2</v>
      </c>
      <c r="IN16">
        <v>0.30484309279999999</v>
      </c>
      <c r="IO16">
        <v>0.70208116180000002</v>
      </c>
      <c r="IP16">
        <v>0.93464458949999996</v>
      </c>
      <c r="IQ16">
        <v>0.1088208324</v>
      </c>
      <c r="IR16">
        <v>0.64012199999999997</v>
      </c>
      <c r="IS16">
        <v>1.232936</v>
      </c>
      <c r="IT16">
        <v>0.74171667890000004</v>
      </c>
      <c r="IU16">
        <v>0.16932884949999999</v>
      </c>
      <c r="IV16">
        <v>0.39600099999999999</v>
      </c>
      <c r="IW16">
        <v>1.232936</v>
      </c>
      <c r="IX16">
        <v>5.0664592949999997E-2</v>
      </c>
      <c r="IY16">
        <v>5.003491996E-3</v>
      </c>
      <c r="IZ16">
        <v>4.1586766769999998E-2</v>
      </c>
      <c r="JA16">
        <v>6.5184705659999995E-2</v>
      </c>
      <c r="JB16">
        <v>1.7125098569999999</v>
      </c>
      <c r="JC16">
        <v>0.19488435670000001</v>
      </c>
      <c r="JD16">
        <v>1.226018981</v>
      </c>
      <c r="JE16">
        <v>2.2665259830000002</v>
      </c>
      <c r="JF16">
        <v>99.764856269999996</v>
      </c>
      <c r="JG16">
        <v>0.66147227350000004</v>
      </c>
      <c r="JH16">
        <v>94.354625499999997</v>
      </c>
      <c r="JI16">
        <v>100</v>
      </c>
      <c r="JJ16">
        <v>0.19510062019999999</v>
      </c>
      <c r="JK16">
        <v>1.5459620320000001E-2</v>
      </c>
      <c r="JL16">
        <v>0.15617065890000001</v>
      </c>
      <c r="JM16">
        <v>0.24916637699999999</v>
      </c>
      <c r="JN16">
        <v>7.7372068509999998</v>
      </c>
      <c r="JO16">
        <v>1.2523094450000001</v>
      </c>
      <c r="JP16">
        <v>4.9741442989999998</v>
      </c>
      <c r="JQ16">
        <v>11.15488796</v>
      </c>
      <c r="JR16">
        <v>199.2541525</v>
      </c>
      <c r="JS16">
        <v>19.155302939999999</v>
      </c>
      <c r="JT16">
        <v>153.41021950000001</v>
      </c>
      <c r="JU16">
        <v>240.46110759999999</v>
      </c>
      <c r="JV16">
        <v>0.2149339565</v>
      </c>
      <c r="JW16">
        <v>4.7706155889999997E-2</v>
      </c>
      <c r="JX16">
        <v>8.363102519E-2</v>
      </c>
      <c r="JY16">
        <v>0.36414007269999998</v>
      </c>
      <c r="JZ16">
        <v>0.23687043299999999</v>
      </c>
      <c r="KA16">
        <v>5.9271209460000002E-2</v>
      </c>
      <c r="KB16">
        <v>9.8268049709999999E-2</v>
      </c>
      <c r="KC16">
        <v>0.47834376360000003</v>
      </c>
      <c r="KD16">
        <v>0.45180438950000001</v>
      </c>
      <c r="KE16">
        <v>8.3263588400000005E-2</v>
      </c>
      <c r="KF16">
        <v>0.19841800000000001</v>
      </c>
      <c r="KG16">
        <v>0.70532300000000003</v>
      </c>
      <c r="KH16">
        <v>0.30509302690000001</v>
      </c>
      <c r="KI16">
        <v>8.1213196870000004E-2</v>
      </c>
      <c r="KJ16">
        <v>0.1063945</v>
      </c>
      <c r="KK16">
        <v>0.52015599999999995</v>
      </c>
      <c r="KL16">
        <v>0.45180438950000001</v>
      </c>
      <c r="KM16">
        <v>8.3263588400000005E-2</v>
      </c>
      <c r="KN16">
        <v>0.19841800000000001</v>
      </c>
      <c r="KO16">
        <v>0.70532300000000003</v>
      </c>
      <c r="KP16">
        <v>9.4426059679999994E-2</v>
      </c>
      <c r="KQ16">
        <v>1.7730948819999998E-2</v>
      </c>
      <c r="KR16">
        <v>4.2582403169999998E-2</v>
      </c>
      <c r="KS16">
        <v>0.1359591577</v>
      </c>
      <c r="KT16">
        <v>0.11501905649999999</v>
      </c>
      <c r="KU16">
        <v>2.0358823559999999E-2</v>
      </c>
      <c r="KV16">
        <v>5.2621043960000002E-2</v>
      </c>
      <c r="KW16">
        <v>0.16253433</v>
      </c>
      <c r="KX16">
        <v>-0.1106640765</v>
      </c>
      <c r="KY16">
        <v>0.45379879179999999</v>
      </c>
      <c r="KZ16">
        <v>-1.314120339</v>
      </c>
      <c r="LA16">
        <v>1.0407116300000001</v>
      </c>
      <c r="LB16">
        <v>2.4812297550000002</v>
      </c>
      <c r="LC16">
        <v>0.52013707929999997</v>
      </c>
      <c r="LD16">
        <v>1.536832381</v>
      </c>
      <c r="LE16">
        <v>4.137374146</v>
      </c>
      <c r="LF16">
        <v>1.8880409339999999</v>
      </c>
      <c r="LG16">
        <v>0.44089787629999999</v>
      </c>
      <c r="LH16">
        <v>0.82109999720000004</v>
      </c>
      <c r="LI16">
        <v>4.1206799859999999</v>
      </c>
      <c r="LJ16">
        <v>2.106193038E-2</v>
      </c>
      <c r="LK16">
        <v>3.6347394080000002E-3</v>
      </c>
      <c r="LL16">
        <v>1.013771984E-2</v>
      </c>
      <c r="LM16">
        <v>3.1680458619999997E-2</v>
      </c>
      <c r="LN16">
        <v>100</v>
      </c>
      <c r="LO16">
        <v>0</v>
      </c>
      <c r="LP16">
        <v>100</v>
      </c>
      <c r="LQ16">
        <v>100</v>
      </c>
      <c r="LR16">
        <v>0.2056374057</v>
      </c>
      <c r="LS16">
        <v>4.6560697249999998E-2</v>
      </c>
      <c r="LT16">
        <v>8.3718506740000004E-2</v>
      </c>
      <c r="LU16">
        <v>0.33063303599999999</v>
      </c>
      <c r="LV16">
        <v>18.212861239999999</v>
      </c>
      <c r="LW16">
        <v>4.7994533649999997</v>
      </c>
      <c r="LX16">
        <v>7.1304953959999997</v>
      </c>
      <c r="LY16">
        <v>31.93225309</v>
      </c>
      <c r="LZ16">
        <v>5.6171938519999998</v>
      </c>
      <c r="MA16">
        <v>1.4879365739999999</v>
      </c>
      <c r="MB16">
        <v>2.4267839370000002</v>
      </c>
      <c r="MC16">
        <v>12.1787846</v>
      </c>
      <c r="MD16">
        <v>0.2114699267</v>
      </c>
      <c r="ME16">
        <v>4.767195062E-2</v>
      </c>
      <c r="MF16">
        <v>8.363102519E-2</v>
      </c>
      <c r="MG16">
        <v>0.35727829210000001</v>
      </c>
      <c r="MH16">
        <v>0.2318674523</v>
      </c>
      <c r="MI16">
        <v>5.7209055219999999E-2</v>
      </c>
      <c r="MJ16">
        <v>9.8268049709999999E-2</v>
      </c>
      <c r="MK16">
        <v>0.4737368045</v>
      </c>
      <c r="ML16">
        <v>0.44333737890000002</v>
      </c>
      <c r="MM16">
        <v>8.2542827159999999E-2</v>
      </c>
      <c r="MN16">
        <v>0.19841800000000001</v>
      </c>
      <c r="MO16">
        <v>0.70230300000000001</v>
      </c>
      <c r="MP16">
        <v>0.29876453759999999</v>
      </c>
      <c r="MQ16">
        <v>7.8764387729999996E-2</v>
      </c>
      <c r="MR16">
        <v>0.1063945</v>
      </c>
      <c r="MS16">
        <v>0.51439400000000002</v>
      </c>
      <c r="MT16">
        <v>0.44333737890000002</v>
      </c>
      <c r="MU16">
        <v>8.2542827159999999E-2</v>
      </c>
      <c r="MV16">
        <v>0.19841800000000001</v>
      </c>
      <c r="MW16">
        <v>0.70230300000000001</v>
      </c>
      <c r="MX16">
        <v>9.3137439589999996E-2</v>
      </c>
      <c r="MY16">
        <v>1.776361659E-2</v>
      </c>
      <c r="MZ16">
        <v>4.2582403169999998E-2</v>
      </c>
      <c r="NA16">
        <v>0.13497014900000001</v>
      </c>
      <c r="NB16">
        <v>0.1132835116</v>
      </c>
      <c r="NC16">
        <v>2.0370487060000001E-2</v>
      </c>
      <c r="ND16">
        <v>5.2621043960000002E-2</v>
      </c>
      <c r="NE16">
        <v>0.16066538629999999</v>
      </c>
      <c r="NF16">
        <v>-0.1015982128</v>
      </c>
      <c r="NG16">
        <v>0.43996065569999998</v>
      </c>
      <c r="NH16">
        <v>-1.184457487</v>
      </c>
      <c r="NI16">
        <v>1.0404064420000001</v>
      </c>
      <c r="NJ16">
        <v>2.455147905</v>
      </c>
      <c r="NK16">
        <v>0.49147121690000001</v>
      </c>
      <c r="NL16">
        <v>1.536832381</v>
      </c>
      <c r="NM16">
        <v>4.079878259</v>
      </c>
      <c r="NN16">
        <v>1.881974993</v>
      </c>
      <c r="NO16">
        <v>0.43669736850000002</v>
      </c>
      <c r="NP16">
        <v>0.81971999719999999</v>
      </c>
      <c r="NQ16">
        <v>4.1096399860000004</v>
      </c>
      <c r="NR16">
        <v>2.0788596909999998E-2</v>
      </c>
      <c r="NS16">
        <v>3.5843999669999999E-3</v>
      </c>
      <c r="NT16">
        <v>1.013771984E-2</v>
      </c>
      <c r="NU16">
        <v>3.1476786749999999E-2</v>
      </c>
      <c r="NV16">
        <v>100</v>
      </c>
      <c r="NW16">
        <v>0</v>
      </c>
      <c r="NX16">
        <v>100</v>
      </c>
      <c r="NY16">
        <v>100</v>
      </c>
      <c r="NZ16">
        <v>0.2036599224</v>
      </c>
      <c r="OA16">
        <v>4.6329663290000003E-2</v>
      </c>
      <c r="OB16">
        <v>8.3718506740000004E-2</v>
      </c>
      <c r="OC16">
        <v>0.32781106100000001</v>
      </c>
      <c r="OD16">
        <v>18.406307129999998</v>
      </c>
      <c r="OE16">
        <v>4.6830817969999998</v>
      </c>
      <c r="OF16">
        <v>7.3574900569999997</v>
      </c>
      <c r="OG16">
        <v>31.860362349999999</v>
      </c>
      <c r="OH16">
        <v>5.6313717969999999</v>
      </c>
      <c r="OI16">
        <v>1.482810975</v>
      </c>
      <c r="OJ16">
        <v>2.4333031690000002</v>
      </c>
      <c r="OK16">
        <v>12.1992876</v>
      </c>
      <c r="OL16">
        <v>0.16498016090000001</v>
      </c>
      <c r="OM16">
        <v>3.2983250499999998E-2</v>
      </c>
      <c r="ON16">
        <v>3.0781483810000001</v>
      </c>
      <c r="OO16">
        <v>1.003414</v>
      </c>
      <c r="OP16">
        <v>0.82752099999999995</v>
      </c>
      <c r="OQ16">
        <v>1.830935</v>
      </c>
      <c r="OR16">
        <v>0.13103645959999999</v>
      </c>
      <c r="OS16" s="2">
        <v>8.1399663700000006E-6</v>
      </c>
      <c r="OT16">
        <v>2.1924205210000001E-4</v>
      </c>
      <c r="OU16" s="2">
        <v>8.1399663700000006E-6</v>
      </c>
      <c r="OV16">
        <v>1.4779565090000001E-4</v>
      </c>
      <c r="OW16">
        <v>2.0077034910000001E-4</v>
      </c>
      <c r="OX16" s="2">
        <v>1.8471703049999999E-5</v>
      </c>
      <c r="OY16">
        <v>0.4182475672</v>
      </c>
      <c r="OZ16">
        <v>0.16394200310000001</v>
      </c>
      <c r="PA16">
        <v>0.15757996730000001</v>
      </c>
      <c r="PB16">
        <v>10.28796533</v>
      </c>
      <c r="PC16">
        <v>89.983382759999998</v>
      </c>
      <c r="PD16">
        <v>0.16211290989999999</v>
      </c>
      <c r="PE16">
        <v>2.6663108729999999E-2</v>
      </c>
      <c r="PF16">
        <v>2.9219664390000002</v>
      </c>
      <c r="PG16">
        <v>0.796736</v>
      </c>
      <c r="PH16">
        <v>0.76932699999999998</v>
      </c>
      <c r="PI16">
        <v>1.566063</v>
      </c>
      <c r="PJ16">
        <v>0.1295945963</v>
      </c>
      <c r="PK16" s="2">
        <v>7.6176311080000003E-6</v>
      </c>
      <c r="PL16">
        <v>2.1753738210000001E-4</v>
      </c>
      <c r="PM16" s="2">
        <v>7.6176311080000003E-6</v>
      </c>
      <c r="PN16">
        <v>1.4735211600000001E-4</v>
      </c>
      <c r="PO16">
        <v>1.99692884E-4</v>
      </c>
      <c r="PP16" s="2">
        <v>1.7844498049999999E-5</v>
      </c>
      <c r="PQ16">
        <v>0.41777244229999999</v>
      </c>
      <c r="PR16">
        <v>0.15325077549999999</v>
      </c>
      <c r="PS16">
        <v>0.14769992949999999</v>
      </c>
      <c r="PT16">
        <v>10.19168348</v>
      </c>
      <c r="PU16">
        <v>90.120295729999995</v>
      </c>
      <c r="PV16">
        <v>0.57957302759999996</v>
      </c>
      <c r="PW16">
        <v>0.239965172</v>
      </c>
      <c r="PX16">
        <v>0.2029461913</v>
      </c>
      <c r="PY16">
        <v>10.162846589999999</v>
      </c>
      <c r="PZ16">
        <v>90.340983460000004</v>
      </c>
      <c r="QA16">
        <v>0.57930132680000002</v>
      </c>
      <c r="QB16">
        <v>0.22300768630000001</v>
      </c>
      <c r="QC16">
        <v>0.18691390229999999</v>
      </c>
      <c r="QD16">
        <v>10.144858640000001</v>
      </c>
      <c r="QE16">
        <v>90.374684119999998</v>
      </c>
      <c r="QF16" s="2">
        <v>1.1975075599999999E-5</v>
      </c>
      <c r="QG16">
        <v>2.0357366599999999E-4</v>
      </c>
      <c r="QH16">
        <v>2.76767334E-4</v>
      </c>
      <c r="QI16" s="2">
        <v>2.4402291360000001E-5</v>
      </c>
      <c r="QJ16" s="2">
        <v>1.112223329E-5</v>
      </c>
      <c r="QK16">
        <v>2.034240684E-4</v>
      </c>
      <c r="QL16">
        <v>2.763499316E-4</v>
      </c>
      <c r="QM16" s="2">
        <v>2.3585222979999999E-5</v>
      </c>
      <c r="QN16" t="s">
        <v>244</v>
      </c>
      <c r="QO16">
        <v>176.196506</v>
      </c>
      <c r="QP16">
        <v>171.3122802</v>
      </c>
      <c r="QQ16">
        <v>89.982852309999998</v>
      </c>
      <c r="QR16" t="s">
        <v>244</v>
      </c>
      <c r="QS16">
        <v>176.19441269999999</v>
      </c>
      <c r="QT16">
        <v>171.31299329999999</v>
      </c>
      <c r="QU16">
        <v>89.983356229999998</v>
      </c>
    </row>
    <row r="17" spans="1:463" x14ac:dyDescent="0.2">
      <c r="A17" t="s">
        <v>289</v>
      </c>
      <c r="B17" s="2">
        <v>-3.209044475E-12</v>
      </c>
      <c r="C17" s="2">
        <v>7.5414541529999998E-12</v>
      </c>
      <c r="D17">
        <v>1.881547187E-3</v>
      </c>
      <c r="E17">
        <v>4.4096381699999999E-2</v>
      </c>
      <c r="F17">
        <v>0.3813008698</v>
      </c>
      <c r="G17">
        <v>5.7686272510000004E-3</v>
      </c>
      <c r="H17">
        <v>0.13519490279999999</v>
      </c>
      <c r="I17">
        <v>1.169028661</v>
      </c>
      <c r="J17">
        <v>32.615015079999999</v>
      </c>
      <c r="K17">
        <v>32.616896619999999</v>
      </c>
      <c r="L17">
        <v>32.616896619999999</v>
      </c>
      <c r="M17">
        <v>32.616896619999999</v>
      </c>
      <c r="N17">
        <v>32.572800239999999</v>
      </c>
      <c r="O17">
        <v>32.616896619999999</v>
      </c>
      <c r="P17">
        <v>32.235595750000002</v>
      </c>
      <c r="Q17">
        <v>32.616896619999999</v>
      </c>
      <c r="R17">
        <v>0.35120181420000002</v>
      </c>
      <c r="S17">
        <v>5.9188948030000001E-2</v>
      </c>
      <c r="T17">
        <v>0.1524741631</v>
      </c>
      <c r="U17">
        <v>0.60586607449999996</v>
      </c>
      <c r="V17">
        <v>0.34374826469999997</v>
      </c>
      <c r="W17">
        <v>5.9726393920000002E-2</v>
      </c>
      <c r="X17">
        <v>0.2470045424</v>
      </c>
      <c r="Y17">
        <v>0.54527393749999997</v>
      </c>
      <c r="Z17">
        <v>0.69495007890000005</v>
      </c>
      <c r="AA17">
        <v>9.3988251019999997E-2</v>
      </c>
      <c r="AB17">
        <v>0.46273599999999998</v>
      </c>
      <c r="AC17">
        <v>1.012321</v>
      </c>
      <c r="AD17">
        <v>0.2124827289</v>
      </c>
      <c r="AE17">
        <v>1.8011334770000002E-2</v>
      </c>
      <c r="AF17">
        <v>0.17130844070000001</v>
      </c>
      <c r="AG17">
        <v>0.2747050217</v>
      </c>
      <c r="AH17">
        <v>0.69495007890000005</v>
      </c>
      <c r="AI17">
        <v>9.3988251019999997E-2</v>
      </c>
      <c r="AJ17">
        <v>0.46273599999999998</v>
      </c>
      <c r="AK17">
        <v>1.012321</v>
      </c>
      <c r="AL17">
        <v>8.956559301E-2</v>
      </c>
      <c r="AM17">
        <v>1.089754194E-2</v>
      </c>
      <c r="AN17">
        <v>7.0264463750000006E-2</v>
      </c>
      <c r="AO17">
        <v>0.1137593502</v>
      </c>
      <c r="AP17">
        <v>0.1118375573</v>
      </c>
      <c r="AQ17">
        <v>1.278990948E-2</v>
      </c>
      <c r="AR17">
        <v>8.6495699849999996E-2</v>
      </c>
      <c r="AS17">
        <v>0.13827668230000001</v>
      </c>
      <c r="AT17">
        <v>-8.2723057479999994E-3</v>
      </c>
      <c r="AU17">
        <v>0.20726337980000001</v>
      </c>
      <c r="AV17">
        <v>-0.73504491230000002</v>
      </c>
      <c r="AW17">
        <v>0.54140053899999996</v>
      </c>
      <c r="AX17">
        <v>2.9269152049999998</v>
      </c>
      <c r="AY17">
        <v>0.33080638540000001</v>
      </c>
      <c r="AZ17">
        <v>2.3581720860000002</v>
      </c>
      <c r="BA17">
        <v>4.0995803110000004</v>
      </c>
      <c r="BB17">
        <v>0.1127109253</v>
      </c>
      <c r="BC17">
        <v>2.0878148940000001E-2</v>
      </c>
      <c r="BD17">
        <v>7.8219166399999998E-2</v>
      </c>
      <c r="BE17">
        <v>0.1911731243</v>
      </c>
      <c r="BF17">
        <v>0.52590717099999995</v>
      </c>
      <c r="BG17">
        <v>4.1980992209999998E-2</v>
      </c>
      <c r="BH17">
        <v>0.40434800720000003</v>
      </c>
      <c r="BI17">
        <v>0.64693859679999999</v>
      </c>
      <c r="BJ17">
        <v>99.999767430000006</v>
      </c>
      <c r="BK17">
        <v>3.1973694750000001E-3</v>
      </c>
      <c r="BL17">
        <v>99.955810869999993</v>
      </c>
      <c r="BM17">
        <v>100</v>
      </c>
      <c r="BN17">
        <v>0.19008542740000001</v>
      </c>
      <c r="BO17">
        <v>2.5797797809999998E-2</v>
      </c>
      <c r="BP17">
        <v>0.1444426067</v>
      </c>
      <c r="BQ17">
        <v>0.26021201129999999</v>
      </c>
      <c r="BR17">
        <v>91.599363749999995</v>
      </c>
      <c r="BS17">
        <v>15.89659544</v>
      </c>
      <c r="BT17">
        <v>52.308607889999998</v>
      </c>
      <c r="BU17">
        <v>127.84590350000001</v>
      </c>
      <c r="BV17">
        <v>339.70146210000001</v>
      </c>
      <c r="BW17">
        <v>61.519221450000003</v>
      </c>
      <c r="BX17">
        <v>53.912655989999998</v>
      </c>
      <c r="BY17">
        <v>519.60817789999999</v>
      </c>
      <c r="BZ17">
        <v>322.75328530000002</v>
      </c>
      <c r="CA17">
        <v>64.424265289999994</v>
      </c>
      <c r="CB17">
        <v>174.06052560000001</v>
      </c>
      <c r="CC17">
        <v>448.3014101</v>
      </c>
      <c r="CD17">
        <v>662.45474739999997</v>
      </c>
      <c r="CE17">
        <v>95.876913779999995</v>
      </c>
      <c r="CF17">
        <v>333.32799999999997</v>
      </c>
      <c r="CG17">
        <v>841.79899999999998</v>
      </c>
      <c r="CH17">
        <v>209.0261098</v>
      </c>
      <c r="CI17">
        <v>19.5694169</v>
      </c>
      <c r="CJ17">
        <v>133.19869489999999</v>
      </c>
      <c r="CK17">
        <v>266.70042549999999</v>
      </c>
      <c r="CL17">
        <v>662.45474739999997</v>
      </c>
      <c r="CM17">
        <v>95.876913779999995</v>
      </c>
      <c r="CN17">
        <v>333.32799999999997</v>
      </c>
      <c r="CO17">
        <v>841.79899999999998</v>
      </c>
      <c r="CP17">
        <v>88.941012909999998</v>
      </c>
      <c r="CQ17">
        <v>11.5075278</v>
      </c>
      <c r="CR17">
        <v>52.19728138</v>
      </c>
      <c r="CS17">
        <v>113.7593502</v>
      </c>
      <c r="CT17">
        <v>110.7801106</v>
      </c>
      <c r="CU17">
        <v>13.71647529</v>
      </c>
      <c r="CV17">
        <v>64.914835940000003</v>
      </c>
      <c r="CW17">
        <v>138.2766823</v>
      </c>
      <c r="CX17">
        <v>-5.1473545540000002E-3</v>
      </c>
      <c r="CY17">
        <v>0.25611585100000001</v>
      </c>
      <c r="CZ17">
        <v>-1.4315510709999999</v>
      </c>
      <c r="DA17">
        <v>0.53333209439999996</v>
      </c>
      <c r="DB17">
        <v>2.8799440660000002</v>
      </c>
      <c r="DC17">
        <v>0.32657597599999999</v>
      </c>
      <c r="DD17">
        <v>2.1985738769999998</v>
      </c>
      <c r="DE17">
        <v>4.4947239090000002</v>
      </c>
      <c r="DF17">
        <v>0.1116430673</v>
      </c>
      <c r="DG17">
        <v>2.1125082069999999E-2</v>
      </c>
      <c r="DH17">
        <v>7.6745249730000006E-2</v>
      </c>
      <c r="DI17">
        <v>0.1911731243</v>
      </c>
      <c r="DJ17">
        <v>0.52089569660000001</v>
      </c>
      <c r="DK17">
        <v>4.2254450800000003E-2</v>
      </c>
      <c r="DL17">
        <v>0.40078871560000001</v>
      </c>
      <c r="DM17">
        <v>0.64347849680000002</v>
      </c>
      <c r="DN17">
        <v>100</v>
      </c>
      <c r="DO17">
        <v>0</v>
      </c>
      <c r="DP17">
        <v>100</v>
      </c>
      <c r="DQ17">
        <v>100</v>
      </c>
      <c r="DR17">
        <v>189.39527939999999</v>
      </c>
      <c r="DS17">
        <v>26.947048120000002</v>
      </c>
      <c r="DT17">
        <v>102.9951216</v>
      </c>
      <c r="DU17">
        <v>260.21201129999997</v>
      </c>
      <c r="DV17">
        <v>92.610167029999999</v>
      </c>
      <c r="DW17">
        <v>16.464351099999998</v>
      </c>
      <c r="DX17">
        <v>52.308607889999998</v>
      </c>
      <c r="DY17">
        <v>130.3012243</v>
      </c>
      <c r="DZ17">
        <v>0.1992708343</v>
      </c>
      <c r="EA17">
        <v>2.2941312469999999E-2</v>
      </c>
      <c r="EB17">
        <v>0.14753037869999999</v>
      </c>
      <c r="EC17">
        <v>0.30165890379999999</v>
      </c>
      <c r="ED17">
        <v>0.19346009049999999</v>
      </c>
      <c r="EE17">
        <v>2.0802570119999999E-2</v>
      </c>
      <c r="EF17">
        <v>0.1489969569</v>
      </c>
      <c r="EG17">
        <v>0.27219336989999998</v>
      </c>
      <c r="EH17">
        <v>0.39273092479999999</v>
      </c>
      <c r="EI17">
        <v>3.2649089790000002E-2</v>
      </c>
      <c r="EJ17">
        <v>0.3124087143</v>
      </c>
      <c r="EK17">
        <v>0.50124085709999999</v>
      </c>
      <c r="EL17">
        <v>0.1787498743</v>
      </c>
      <c r="EM17">
        <v>1.2564463180000001E-2</v>
      </c>
      <c r="EN17">
        <v>0.14971478669999999</v>
      </c>
      <c r="EO17">
        <v>0.21269282859999999</v>
      </c>
      <c r="EP17">
        <v>0.53534530000000002</v>
      </c>
      <c r="EQ17">
        <v>8.7375955460000002E-2</v>
      </c>
      <c r="ER17">
        <v>0.37980700000000001</v>
      </c>
      <c r="ES17">
        <v>0.91956400000000005</v>
      </c>
      <c r="ET17">
        <v>5.8625806449999998E-2</v>
      </c>
      <c r="EU17">
        <v>3.498752535E-3</v>
      </c>
      <c r="EV17">
        <v>5.1516180910000001E-2</v>
      </c>
      <c r="EW17">
        <v>7.0022156520000003E-2</v>
      </c>
      <c r="EX17">
        <v>7.3439970509999994E-2</v>
      </c>
      <c r="EY17">
        <v>4.4165623979999999E-3</v>
      </c>
      <c r="EZ17">
        <v>6.3617194289999998E-2</v>
      </c>
      <c r="FA17">
        <v>8.6855437539999997E-2</v>
      </c>
      <c r="FB17">
        <v>8.5146823590000004E-2</v>
      </c>
      <c r="FC17">
        <v>0.14667190299999999</v>
      </c>
      <c r="FD17">
        <v>-0.45686161279999998</v>
      </c>
      <c r="FE17">
        <v>0.6757357718</v>
      </c>
      <c r="FF17">
        <v>3.07532425</v>
      </c>
      <c r="FG17">
        <v>0.38173837189999998</v>
      </c>
      <c r="FH17">
        <v>2.4733850670000002</v>
      </c>
      <c r="FI17">
        <v>5.2044382230000004</v>
      </c>
      <c r="FJ17">
        <v>0.2704009644</v>
      </c>
      <c r="FK17">
        <v>6.0282903089999999E-2</v>
      </c>
      <c r="FL17">
        <v>0.1828326331</v>
      </c>
      <c r="FM17">
        <v>0.57531576090000003</v>
      </c>
      <c r="FN17">
        <v>0.26494433560000002</v>
      </c>
      <c r="FO17">
        <v>6.2360303829999998E-2</v>
      </c>
      <c r="FP17">
        <v>0.18488357450000001</v>
      </c>
      <c r="FQ17">
        <v>0.60600035529999996</v>
      </c>
      <c r="FR17">
        <v>0.49884250530000002</v>
      </c>
      <c r="FS17">
        <v>8.1434950759999999E-2</v>
      </c>
      <c r="FT17">
        <v>0.36113499999999998</v>
      </c>
      <c r="FU17">
        <v>0.78654800000000002</v>
      </c>
      <c r="FV17">
        <v>0.3995378</v>
      </c>
      <c r="FW17">
        <v>6.6907634179999995E-2</v>
      </c>
      <c r="FX17">
        <v>0.26005200000000001</v>
      </c>
      <c r="FY17">
        <v>0.68288700000000002</v>
      </c>
      <c r="FZ17">
        <v>7.0384320180000001E-2</v>
      </c>
      <c r="GA17">
        <v>5.6226422139999998E-3</v>
      </c>
      <c r="GB17">
        <v>5.8620638099999997E-2</v>
      </c>
      <c r="GC17">
        <v>8.5064062209999999E-2</v>
      </c>
      <c r="GD17">
        <v>0.52264505139999995</v>
      </c>
      <c r="GE17">
        <v>4.198543943E-2</v>
      </c>
      <c r="GF17">
        <v>0.40077965630000001</v>
      </c>
      <c r="GG17">
        <v>0.64045858079999995</v>
      </c>
      <c r="GH17">
        <v>100</v>
      </c>
      <c r="GI17">
        <v>0</v>
      </c>
      <c r="GJ17">
        <v>100</v>
      </c>
      <c r="GK17">
        <v>100</v>
      </c>
      <c r="GL17">
        <v>0.1230919093</v>
      </c>
      <c r="GM17">
        <v>8.0790321910000004E-3</v>
      </c>
      <c r="GN17">
        <v>0.10646469930000001</v>
      </c>
      <c r="GO17">
        <v>0.15112948030000001</v>
      </c>
      <c r="GP17">
        <v>9.3392712650000007</v>
      </c>
      <c r="GQ17">
        <v>1.555134614</v>
      </c>
      <c r="GR17">
        <v>5.0233932530000001</v>
      </c>
      <c r="GS17">
        <v>13.420339820000001</v>
      </c>
      <c r="GT17">
        <v>142.96724259999999</v>
      </c>
      <c r="GU17">
        <v>11.197683039999999</v>
      </c>
      <c r="GV17">
        <v>117.5584582</v>
      </c>
      <c r="GW17">
        <v>170.5883853</v>
      </c>
      <c r="GX17">
        <v>195.3518431</v>
      </c>
      <c r="GY17">
        <v>25.64712913</v>
      </c>
      <c r="GZ17">
        <v>62.332764449999999</v>
      </c>
      <c r="HA17">
        <v>282.72719410000002</v>
      </c>
      <c r="HB17">
        <v>189.35275540000001</v>
      </c>
      <c r="HC17">
        <v>21.130835260000001</v>
      </c>
      <c r="HD17">
        <v>148.99695689999999</v>
      </c>
      <c r="HE17">
        <v>272.15150979999999</v>
      </c>
      <c r="HF17">
        <v>384.70459849999997</v>
      </c>
      <c r="HG17">
        <v>35.375428589999999</v>
      </c>
      <c r="HH17">
        <v>230.0858571</v>
      </c>
      <c r="HI17">
        <v>491.60528570000002</v>
      </c>
      <c r="HJ17">
        <v>176.15440659999999</v>
      </c>
      <c r="HK17">
        <v>13.90143217</v>
      </c>
      <c r="HL17">
        <v>108.5328841</v>
      </c>
      <c r="HM17">
        <v>210.4855714</v>
      </c>
      <c r="HN17">
        <v>516.31291050000004</v>
      </c>
      <c r="HO17">
        <v>71.946162029999996</v>
      </c>
      <c r="HP17">
        <v>324.57299999999998</v>
      </c>
      <c r="HQ17">
        <v>786.303</v>
      </c>
      <c r="HR17">
        <v>58.075513860000001</v>
      </c>
      <c r="HS17">
        <v>4.0922494790000004</v>
      </c>
      <c r="HT17">
        <v>33.992255790000002</v>
      </c>
      <c r="HU17">
        <v>70.022156519999996</v>
      </c>
      <c r="HV17">
        <v>72.635669649999997</v>
      </c>
      <c r="HW17">
        <v>5.1318369820000003</v>
      </c>
      <c r="HX17">
        <v>43.406689219999997</v>
      </c>
      <c r="HY17">
        <v>86.855437539999997</v>
      </c>
      <c r="HZ17">
        <v>7.9236723209999999E-2</v>
      </c>
      <c r="IA17">
        <v>0.20011916469999999</v>
      </c>
      <c r="IB17">
        <v>-1.3859766520000001</v>
      </c>
      <c r="IC17">
        <v>0.57254726079999996</v>
      </c>
      <c r="ID17">
        <v>3.0448349139999999</v>
      </c>
      <c r="IE17">
        <v>0.33876962980000003</v>
      </c>
      <c r="IF17">
        <v>2.5208402599999999</v>
      </c>
      <c r="IG17">
        <v>5.5292477199999999</v>
      </c>
      <c r="IH17">
        <v>260.9532198</v>
      </c>
      <c r="II17">
        <v>51.485128359999997</v>
      </c>
      <c r="IJ17">
        <v>105.4273359</v>
      </c>
      <c r="IK17">
        <v>497.81919579999999</v>
      </c>
      <c r="IL17">
        <v>255.35969069999999</v>
      </c>
      <c r="IM17">
        <v>52.334481179999997</v>
      </c>
      <c r="IN17">
        <v>177.91749519999999</v>
      </c>
      <c r="IO17">
        <v>458.62536690000002</v>
      </c>
      <c r="IP17">
        <v>481.0409947</v>
      </c>
      <c r="IQ17">
        <v>66.386605950000003</v>
      </c>
      <c r="IR17">
        <v>324.57299999999998</v>
      </c>
      <c r="IS17">
        <v>719.35599999999999</v>
      </c>
      <c r="IT17">
        <v>392.87444740000001</v>
      </c>
      <c r="IU17">
        <v>63.344674560000001</v>
      </c>
      <c r="IV17">
        <v>260.05200000000002</v>
      </c>
      <c r="IW17">
        <v>633.36900000000003</v>
      </c>
      <c r="IX17">
        <v>7.0153391090000003E-2</v>
      </c>
      <c r="IY17">
        <v>5.6206813930000004E-3</v>
      </c>
      <c r="IZ17">
        <v>5.8620638099999997E-2</v>
      </c>
      <c r="JA17">
        <v>8.4455999709999993E-2</v>
      </c>
      <c r="JB17">
        <v>0.51759057549999998</v>
      </c>
      <c r="JC17">
        <v>4.363948283E-2</v>
      </c>
      <c r="JD17">
        <v>0.3581459092</v>
      </c>
      <c r="JE17">
        <v>0.63815408330000001</v>
      </c>
      <c r="JF17">
        <v>100</v>
      </c>
      <c r="JG17">
        <v>0</v>
      </c>
      <c r="JH17">
        <v>100</v>
      </c>
      <c r="JI17">
        <v>100</v>
      </c>
      <c r="JJ17">
        <v>121.7898881</v>
      </c>
      <c r="JK17">
        <v>9.8289502199999994</v>
      </c>
      <c r="JL17">
        <v>63.480774279999999</v>
      </c>
      <c r="JM17">
        <v>151.12948030000001</v>
      </c>
      <c r="JN17">
        <v>9.5592934609999993</v>
      </c>
      <c r="JO17">
        <v>1.5343938269999999</v>
      </c>
      <c r="JP17">
        <v>5.2696380200000004</v>
      </c>
      <c r="JQ17">
        <v>13.420339820000001</v>
      </c>
      <c r="JR17">
        <v>143.44602219999999</v>
      </c>
      <c r="JS17">
        <v>11.302087220000001</v>
      </c>
      <c r="JT17">
        <v>118.40485030000001</v>
      </c>
      <c r="JU17">
        <v>170.5883853</v>
      </c>
      <c r="JV17">
        <v>0.14077689309999999</v>
      </c>
      <c r="JW17">
        <v>3.4635855450000003E-2</v>
      </c>
      <c r="JX17">
        <v>7.5673273969999996E-2</v>
      </c>
      <c r="JY17">
        <v>0.2198821748</v>
      </c>
      <c r="JZ17">
        <v>0.15964353319999999</v>
      </c>
      <c r="KA17">
        <v>3.9172493199999998E-2</v>
      </c>
      <c r="KB17">
        <v>7.7550515469999998E-2</v>
      </c>
      <c r="KC17">
        <v>0.25368462460000002</v>
      </c>
      <c r="KD17">
        <v>0.30042042629999999</v>
      </c>
      <c r="KE17">
        <v>6.0727766209999999E-2</v>
      </c>
      <c r="KF17">
        <v>0.155524</v>
      </c>
      <c r="KG17">
        <v>0.45483800000000002</v>
      </c>
      <c r="KH17">
        <v>0.19512421660000001</v>
      </c>
      <c r="KI17">
        <v>6.1106665640000002E-2</v>
      </c>
      <c r="KJ17">
        <v>6.6613500000000006E-2</v>
      </c>
      <c r="KK17">
        <v>0.36074800000000001</v>
      </c>
      <c r="KL17">
        <v>0.30042042629999999</v>
      </c>
      <c r="KM17">
        <v>6.0727766209999999E-2</v>
      </c>
      <c r="KN17">
        <v>0.155524</v>
      </c>
      <c r="KO17">
        <v>0.45483800000000002</v>
      </c>
      <c r="KP17">
        <v>6.2326516229999997E-2</v>
      </c>
      <c r="KQ17">
        <v>1.439337139E-2</v>
      </c>
      <c r="KR17">
        <v>4.1893850089999997E-2</v>
      </c>
      <c r="KS17">
        <v>9.4622817740000004E-2</v>
      </c>
      <c r="KT17">
        <v>7.6959389409999995E-2</v>
      </c>
      <c r="KU17">
        <v>1.650889987E-2</v>
      </c>
      <c r="KV17">
        <v>5.0749874590000001E-2</v>
      </c>
      <c r="KW17">
        <v>0.11023015429999999</v>
      </c>
      <c r="KX17">
        <v>-0.16659162129999999</v>
      </c>
      <c r="KY17">
        <v>0.52495097310000005</v>
      </c>
      <c r="KZ17">
        <v>-1.585078593</v>
      </c>
      <c r="LA17">
        <v>0.99531796419999996</v>
      </c>
      <c r="LB17">
        <v>2.6301239079999998</v>
      </c>
      <c r="LC17">
        <v>0.66092882070000003</v>
      </c>
      <c r="LD17">
        <v>1.5402469590000001</v>
      </c>
      <c r="LE17">
        <v>4.9463248420000001</v>
      </c>
      <c r="LF17">
        <v>2.3926704999999999</v>
      </c>
      <c r="LG17">
        <v>0.84630059290000004</v>
      </c>
      <c r="LH17">
        <v>0.45263999840000002</v>
      </c>
      <c r="LI17">
        <v>4.0806599859999997</v>
      </c>
      <c r="LJ17">
        <v>1.074785243E-2</v>
      </c>
      <c r="LK17">
        <v>1.9710227720000002E-3</v>
      </c>
      <c r="LL17">
        <v>6.9470930440000004E-3</v>
      </c>
      <c r="LM17">
        <v>1.498615989E-2</v>
      </c>
      <c r="LN17">
        <v>100</v>
      </c>
      <c r="LO17">
        <v>0</v>
      </c>
      <c r="LP17">
        <v>100</v>
      </c>
      <c r="LQ17">
        <v>100</v>
      </c>
      <c r="LR17">
        <v>0.13103604499999999</v>
      </c>
      <c r="LS17">
        <v>3.3105488109999998E-2</v>
      </c>
      <c r="LT17">
        <v>7.2885420349999994E-2</v>
      </c>
      <c r="LU17">
        <v>0.2156897897</v>
      </c>
      <c r="LV17">
        <v>17.85154352</v>
      </c>
      <c r="LW17">
        <v>5.1533109450000003</v>
      </c>
      <c r="LX17">
        <v>4.4541632240000002</v>
      </c>
      <c r="LY17">
        <v>34.666372070000001</v>
      </c>
      <c r="LZ17">
        <v>4.842916572</v>
      </c>
      <c r="MA17">
        <v>2.2521144789999998</v>
      </c>
      <c r="MB17">
        <v>2.450583983</v>
      </c>
      <c r="MC17">
        <v>22.09261231</v>
      </c>
      <c r="MD17">
        <v>139.8421931</v>
      </c>
      <c r="ME17">
        <v>35.823573510000003</v>
      </c>
      <c r="MF17">
        <v>45.306078659999997</v>
      </c>
      <c r="MG17">
        <v>219.8821748</v>
      </c>
      <c r="MH17">
        <v>157.35444899999999</v>
      </c>
      <c r="MI17">
        <v>39.680550510000003</v>
      </c>
      <c r="MJ17">
        <v>77.45843327</v>
      </c>
      <c r="MK17">
        <v>253.69790459999999</v>
      </c>
      <c r="ML17">
        <v>297.19664210000002</v>
      </c>
      <c r="MM17">
        <v>62.731312590000002</v>
      </c>
      <c r="MN17">
        <v>130.78800000000001</v>
      </c>
      <c r="MO17">
        <v>454.83800000000002</v>
      </c>
      <c r="MP17">
        <v>192.5204876</v>
      </c>
      <c r="MQ17">
        <v>57.357814529999999</v>
      </c>
      <c r="MR17">
        <v>66.613500000000002</v>
      </c>
      <c r="MS17">
        <v>323.02999999999997</v>
      </c>
      <c r="MT17">
        <v>297.19664210000002</v>
      </c>
      <c r="MU17">
        <v>62.731312590000002</v>
      </c>
      <c r="MV17">
        <v>130.78800000000001</v>
      </c>
      <c r="MW17">
        <v>454.83800000000002</v>
      </c>
      <c r="MX17">
        <v>61.831698590000002</v>
      </c>
      <c r="MY17">
        <v>14.747376559999999</v>
      </c>
      <c r="MZ17">
        <v>33.218129060000003</v>
      </c>
      <c r="NA17">
        <v>94.622817740000002</v>
      </c>
      <c r="NB17">
        <v>76.274934979999998</v>
      </c>
      <c r="NC17">
        <v>16.968586070000001</v>
      </c>
      <c r="ND17">
        <v>38.177085060000003</v>
      </c>
      <c r="NE17">
        <v>110.2301543</v>
      </c>
      <c r="NF17">
        <v>-0.15803099949999999</v>
      </c>
      <c r="NG17">
        <v>0.52379699869999996</v>
      </c>
      <c r="NH17">
        <v>-1.585078593</v>
      </c>
      <c r="NI17">
        <v>0.99531796419999996</v>
      </c>
      <c r="NJ17">
        <v>2.6182620719999998</v>
      </c>
      <c r="NK17">
        <v>0.65980278749999999</v>
      </c>
      <c r="NL17">
        <v>1.54283803</v>
      </c>
      <c r="NM17">
        <v>4.9463248420000001</v>
      </c>
      <c r="NN17">
        <v>2.3850303350000002</v>
      </c>
      <c r="NO17">
        <v>0.84164591440000003</v>
      </c>
      <c r="NP17">
        <v>0.45953999839999998</v>
      </c>
      <c r="NQ17">
        <v>4.0806599859999997</v>
      </c>
      <c r="NR17">
        <v>1.06528357E-2</v>
      </c>
      <c r="NS17">
        <v>2.0643515880000001E-3</v>
      </c>
      <c r="NT17">
        <v>5.1437002220000002E-3</v>
      </c>
      <c r="NU17">
        <v>1.498615989E-2</v>
      </c>
      <c r="NV17">
        <v>100</v>
      </c>
      <c r="NW17">
        <v>0</v>
      </c>
      <c r="NX17">
        <v>100</v>
      </c>
      <c r="NY17">
        <v>100</v>
      </c>
      <c r="NZ17">
        <v>130.1087919</v>
      </c>
      <c r="OA17">
        <v>33.623577439999998</v>
      </c>
      <c r="OB17">
        <v>72.885420350000004</v>
      </c>
      <c r="OC17">
        <v>215.68978970000001</v>
      </c>
      <c r="OD17">
        <v>17.969932060000001</v>
      </c>
      <c r="OE17">
        <v>5.1603328450000001</v>
      </c>
      <c r="OF17">
        <v>4.505533411</v>
      </c>
      <c r="OG17">
        <v>34.555899250000003</v>
      </c>
      <c r="OH17">
        <v>4.8542984179999999</v>
      </c>
      <c r="OI17">
        <v>2.2427134149999999</v>
      </c>
      <c r="OJ17">
        <v>2.450583983</v>
      </c>
      <c r="OK17">
        <v>21.760891399999998</v>
      </c>
      <c r="OL17">
        <v>7.9057705529999994E-2</v>
      </c>
      <c r="OM17">
        <v>0.10519235909999999</v>
      </c>
      <c r="ON17">
        <v>3.38033911</v>
      </c>
      <c r="OO17">
        <v>0.60575100000000004</v>
      </c>
      <c r="OP17">
        <v>0.62495500000000004</v>
      </c>
      <c r="OQ17">
        <v>1.2307060000000001</v>
      </c>
      <c r="OR17">
        <v>6.2478782199999999E-2</v>
      </c>
      <c r="OS17" s="2">
        <v>4.1197521110000004E-6</v>
      </c>
      <c r="OT17">
        <v>1.050227185E-4</v>
      </c>
      <c r="OU17" s="2">
        <v>4.1197521110000004E-6</v>
      </c>
      <c r="OV17" s="2">
        <v>7.0096730209999998E-5</v>
      </c>
      <c r="OW17" s="2">
        <v>9.6431269790000004E-5</v>
      </c>
      <c r="OX17" s="2">
        <v>8.5914487560000007E-6</v>
      </c>
      <c r="OY17">
        <v>0.19891454010000001</v>
      </c>
      <c r="OZ17">
        <v>8.3176429420000003E-2</v>
      </c>
      <c r="PA17">
        <v>7.3938232270000001E-2</v>
      </c>
      <c r="PB17">
        <v>10.582253959999999</v>
      </c>
      <c r="PC17">
        <v>90.376911239999998</v>
      </c>
      <c r="PD17">
        <v>7.8214453310000001E-2</v>
      </c>
      <c r="PE17">
        <v>8.8521526830000002E-2</v>
      </c>
      <c r="PF17">
        <v>3.1711833120000001</v>
      </c>
      <c r="PG17">
        <v>0.60544399999999998</v>
      </c>
      <c r="PH17">
        <v>0.53354800000000002</v>
      </c>
      <c r="PI17">
        <v>1.138992</v>
      </c>
      <c r="PJ17">
        <v>6.2171284790000003E-2</v>
      </c>
      <c r="PK17" s="2">
        <v>3.8835963699999997E-6</v>
      </c>
      <c r="PL17">
        <v>1.049743934E-4</v>
      </c>
      <c r="PM17" s="2">
        <v>3.8835963699999997E-6</v>
      </c>
      <c r="PN17" s="2">
        <v>7.0206689169999997E-5</v>
      </c>
      <c r="PO17" s="2">
        <v>9.657831083E-5</v>
      </c>
      <c r="PP17" s="2">
        <v>8.3960826059999998E-6</v>
      </c>
      <c r="PQ17">
        <v>0.19943235670000001</v>
      </c>
      <c r="PR17">
        <v>7.8573659779999999E-2</v>
      </c>
      <c r="PS17">
        <v>7.1593113240000006E-2</v>
      </c>
      <c r="PT17">
        <v>10.595029070000001</v>
      </c>
      <c r="PU17">
        <v>90.586578410000001</v>
      </c>
      <c r="PV17">
        <v>0.3978498493</v>
      </c>
      <c r="PW17">
        <v>0.17879554380000001</v>
      </c>
      <c r="PX17">
        <v>0.1567565528</v>
      </c>
      <c r="PY17">
        <v>9.5866826819999993</v>
      </c>
      <c r="PZ17">
        <v>88.814523149999999</v>
      </c>
      <c r="QA17">
        <v>397.84126700000002</v>
      </c>
      <c r="QB17">
        <v>172.08251540000001</v>
      </c>
      <c r="QC17">
        <v>152.15844290000001</v>
      </c>
      <c r="QD17">
        <v>9.5861319490000003</v>
      </c>
      <c r="QE17">
        <v>88.822942519999998</v>
      </c>
      <c r="QF17" s="2">
        <v>8.9412755850000001E-6</v>
      </c>
      <c r="QG17">
        <v>1.432114012E-4</v>
      </c>
      <c r="QH17">
        <v>1.874395988E-4</v>
      </c>
      <c r="QI17" s="2">
        <v>1.8484149840000001E-5</v>
      </c>
      <c r="QJ17" s="2">
        <v>8.6187006219999992E-6</v>
      </c>
      <c r="QK17">
        <v>1.432106017E-4</v>
      </c>
      <c r="QL17">
        <v>1.874383983E-4</v>
      </c>
      <c r="QM17" s="2">
        <v>1.82201254E-5</v>
      </c>
      <c r="QN17" t="s">
        <v>244</v>
      </c>
      <c r="QO17">
        <v>89.983039070000004</v>
      </c>
      <c r="QP17">
        <v>81.771789859999998</v>
      </c>
      <c r="QQ17">
        <v>68.272912289999994</v>
      </c>
      <c r="QR17" t="s">
        <v>244</v>
      </c>
      <c r="QS17">
        <v>89.983397859999997</v>
      </c>
      <c r="QT17">
        <v>68.27297987</v>
      </c>
      <c r="QU17">
        <v>81.772032400000001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9"/>
  <sheetViews>
    <sheetView workbookViewId="0">
      <selection activeCell="B15" sqref="B15"/>
    </sheetView>
  </sheetViews>
  <sheetFormatPr baseColWidth="10" defaultColWidth="8.83203125" defaultRowHeight="15" x14ac:dyDescent="0.2"/>
  <cols>
    <col min="2" max="2" width="12" bestFit="1" customWidth="1"/>
    <col min="3" max="3" width="12.6640625" bestFit="1" customWidth="1"/>
    <col min="4" max="4" width="12" bestFit="1" customWidth="1"/>
    <col min="5" max="7" width="10" bestFit="1" customWidth="1"/>
    <col min="8" max="10" width="12" bestFit="1" customWidth="1"/>
    <col min="11" max="11" width="12.5" bestFit="1" customWidth="1"/>
    <col min="12" max="12" width="19.83203125" bestFit="1" customWidth="1"/>
    <col min="13" max="13" width="19.33203125" bestFit="1" customWidth="1"/>
    <col min="14" max="19" width="12" bestFit="1" customWidth="1"/>
  </cols>
  <sheetData>
    <row r="1" spans="1:19" x14ac:dyDescent="0.2">
      <c r="B1" t="str">
        <f>B4</f>
        <v>Sq</v>
      </c>
      <c r="C1" t="str">
        <f t="shared" ref="C1:S1" si="0">C4</f>
        <v>Ssk</v>
      </c>
      <c r="D1" t="str">
        <f t="shared" si="0"/>
        <v>Sku</v>
      </c>
      <c r="E1" t="str">
        <f t="shared" si="0"/>
        <v>Sp</v>
      </c>
      <c r="F1" t="str">
        <f t="shared" si="0"/>
        <v>Sv</v>
      </c>
      <c r="G1" t="str">
        <f t="shared" si="0"/>
        <v>Sz</v>
      </c>
      <c r="H1" t="str">
        <f t="shared" si="0"/>
        <v>Sa</v>
      </c>
      <c r="I1" t="str">
        <f t="shared" si="0"/>
        <v>Vm (p = 10%)</v>
      </c>
      <c r="J1" t="str">
        <f t="shared" si="0"/>
        <v>Vv (p = 10%)</v>
      </c>
      <c r="K1" t="str">
        <f t="shared" si="0"/>
        <v>Vmp (p = 10%)</v>
      </c>
      <c r="L1" t="str">
        <f t="shared" si="0"/>
        <v>Vmc (p = 10%, q = 80%)</v>
      </c>
      <c r="M1" t="str">
        <f t="shared" si="0"/>
        <v>Vvc (p = 10%, q = 80%)</v>
      </c>
      <c r="N1" t="str">
        <f t="shared" si="0"/>
        <v>Vvv (p = 80%)</v>
      </c>
      <c r="O1" t="str">
        <f t="shared" si="0"/>
        <v>Sk</v>
      </c>
      <c r="P1" t="str">
        <f t="shared" si="0"/>
        <v>Spk</v>
      </c>
      <c r="Q1" t="str">
        <f t="shared" si="0"/>
        <v>Svk</v>
      </c>
      <c r="R1" t="str">
        <f t="shared" si="0"/>
        <v>Smrk1</v>
      </c>
      <c r="S1" t="str">
        <f t="shared" si="0"/>
        <v>Smrk2</v>
      </c>
    </row>
    <row r="3" spans="1:19" x14ac:dyDescent="0.2">
      <c r="B3">
        <f>Baza!OL1</f>
        <v>70</v>
      </c>
      <c r="C3">
        <f>Baza!OM1</f>
        <v>70</v>
      </c>
      <c r="D3">
        <f>Baza!ON1</f>
        <v>70</v>
      </c>
      <c r="E3">
        <f>Baza!OO1</f>
        <v>70</v>
      </c>
      <c r="F3">
        <f>Baza!OP1</f>
        <v>70</v>
      </c>
      <c r="G3">
        <f>Baza!OQ1</f>
        <v>70</v>
      </c>
      <c r="H3">
        <f>Baza!OR1</f>
        <v>70</v>
      </c>
      <c r="I3">
        <f>Baza!OS1</f>
        <v>70</v>
      </c>
      <c r="J3">
        <f>Baza!OT1</f>
        <v>70</v>
      </c>
      <c r="K3">
        <f>Baza!OU1</f>
        <v>70</v>
      </c>
      <c r="L3">
        <f>Baza!OV1</f>
        <v>70</v>
      </c>
      <c r="M3">
        <f>Baza!OW1</f>
        <v>70</v>
      </c>
      <c r="N3">
        <f>Baza!OX1</f>
        <v>70</v>
      </c>
      <c r="O3">
        <f>Baza!OY1</f>
        <v>70</v>
      </c>
      <c r="P3">
        <f>Baza!OZ1</f>
        <v>70</v>
      </c>
      <c r="Q3">
        <f>Baza!PA1</f>
        <v>70</v>
      </c>
      <c r="R3">
        <f>Baza!PB1</f>
        <v>70</v>
      </c>
      <c r="S3">
        <f>Baza!PC1</f>
        <v>70</v>
      </c>
    </row>
    <row r="4" spans="1:19" x14ac:dyDescent="0.2">
      <c r="B4" t="str">
        <f>Baza!OL2</f>
        <v>Sq</v>
      </c>
      <c r="C4" t="str">
        <f>Baza!OM2</f>
        <v>Ssk</v>
      </c>
      <c r="D4" t="str">
        <f>Baza!ON2</f>
        <v>Sku</v>
      </c>
      <c r="E4" t="str">
        <f>Baza!OO2</f>
        <v>Sp</v>
      </c>
      <c r="F4" t="str">
        <f>Baza!OP2</f>
        <v>Sv</v>
      </c>
      <c r="G4" t="str">
        <f>Baza!OQ2</f>
        <v>Sz</v>
      </c>
      <c r="H4" t="str">
        <f>Baza!OR2</f>
        <v>Sa</v>
      </c>
      <c r="I4" t="str">
        <f>Baza!OS2</f>
        <v>Vm (p = 10%)</v>
      </c>
      <c r="J4" t="str">
        <f>Baza!OT2</f>
        <v>Vv (p = 10%)</v>
      </c>
      <c r="K4" t="str">
        <f>Baza!OU2</f>
        <v>Vmp (p = 10%)</v>
      </c>
      <c r="L4" t="str">
        <f>Baza!OV2</f>
        <v>Vmc (p = 10%, q = 80%)</v>
      </c>
      <c r="M4" t="str">
        <f>Baza!OW2</f>
        <v>Vvc (p = 10%, q = 80%)</v>
      </c>
      <c r="N4" t="str">
        <f>Baza!OX2</f>
        <v>Vvv (p = 80%)</v>
      </c>
      <c r="O4" t="str">
        <f>Baza!OY2</f>
        <v>Sk</v>
      </c>
      <c r="P4" t="str">
        <f>Baza!OZ2</f>
        <v>Spk</v>
      </c>
      <c r="Q4" t="str">
        <f>Baza!PA2</f>
        <v>Svk</v>
      </c>
      <c r="R4" t="str">
        <f>Baza!PB2</f>
        <v>Smrk1</v>
      </c>
      <c r="S4" t="str">
        <f>Baza!PC2</f>
        <v>Smrk2</v>
      </c>
    </row>
    <row r="5" spans="1:19" x14ac:dyDescent="0.2">
      <c r="B5" t="str">
        <f>Baza!OL3</f>
        <v>µm</v>
      </c>
      <c r="C5" t="str">
        <f>Baza!OM3</f>
        <v>&lt;no unit&gt;</v>
      </c>
      <c r="D5" t="str">
        <f>Baza!ON3</f>
        <v>&lt;no unit&gt;</v>
      </c>
      <c r="E5" t="str">
        <f>Baza!OO3</f>
        <v>µm</v>
      </c>
      <c r="F5" t="str">
        <f>Baza!OP3</f>
        <v>µm</v>
      </c>
      <c r="G5" t="str">
        <f>Baza!OQ3</f>
        <v>µm</v>
      </c>
      <c r="H5" t="str">
        <f>Baza!OR3</f>
        <v>µm</v>
      </c>
      <c r="I5" t="str">
        <f>Baza!OS3</f>
        <v>mm³/mm²</v>
      </c>
      <c r="J5" t="str">
        <f>Baza!OT3</f>
        <v>mm³/mm²</v>
      </c>
      <c r="K5" t="str">
        <f>Baza!OU3</f>
        <v>mm³/mm²</v>
      </c>
      <c r="L5" t="str">
        <f>Baza!OV3</f>
        <v>mm³/mm²</v>
      </c>
      <c r="M5" t="str">
        <f>Baza!OW3</f>
        <v>mm³/mm²</v>
      </c>
      <c r="N5" t="str">
        <f>Baza!OX3</f>
        <v>mm³/mm²</v>
      </c>
      <c r="O5" t="str">
        <f>Baza!OY3</f>
        <v>µm</v>
      </c>
      <c r="P5" t="str">
        <f>Baza!OZ3</f>
        <v>µm</v>
      </c>
      <c r="Q5" t="str">
        <f>Baza!PA3</f>
        <v>µm</v>
      </c>
      <c r="R5" t="str">
        <f>Baza!PB3</f>
        <v>%</v>
      </c>
      <c r="S5" t="str">
        <f>Baza!PC3</f>
        <v>%</v>
      </c>
    </row>
    <row r="6" spans="1:19" x14ac:dyDescent="0.2">
      <c r="A6" s="1" t="s">
        <v>245</v>
      </c>
      <c r="B6">
        <f>Baza!OL4</f>
        <v>0.17793513759999999</v>
      </c>
      <c r="C6">
        <f>Baza!OM4</f>
        <v>-0.23820774920000001</v>
      </c>
      <c r="D6">
        <f>Baza!ON4</f>
        <v>4.0549581530000003</v>
      </c>
      <c r="E6">
        <f>Baza!OO4</f>
        <v>1.2527870000000001</v>
      </c>
      <c r="F6">
        <f>Baza!OP4</f>
        <v>1.1107315</v>
      </c>
      <c r="G6">
        <f>Baza!OQ4</f>
        <v>2.3635185000000001</v>
      </c>
      <c r="H6">
        <f>Baza!OR4</f>
        <v>0.1369107104</v>
      </c>
      <c r="I6">
        <f>Baza!OS4</f>
        <v>8.8426988609999992E-6</v>
      </c>
      <c r="J6">
        <f>Baza!OT4</f>
        <v>2.215884385E-4</v>
      </c>
      <c r="K6">
        <f>Baza!OU4</f>
        <v>8.8426988609999992E-6</v>
      </c>
      <c r="L6">
        <f>Baza!OV4</f>
        <v>1.505017219E-4</v>
      </c>
      <c r="M6">
        <f>Baza!OW4</f>
        <v>1.9804097809999999E-4</v>
      </c>
      <c r="N6">
        <f>Baza!OX4</f>
        <v>2.3547460400000001E-5</v>
      </c>
      <c r="O6">
        <f>Baza!OY4</f>
        <v>0.41459509249999998</v>
      </c>
      <c r="P6">
        <f>Baza!OZ4</f>
        <v>0.1769509926</v>
      </c>
      <c r="Q6">
        <f>Baza!PA4</f>
        <v>0.22402383179999999</v>
      </c>
      <c r="R6">
        <f>Baza!PB4</f>
        <v>9.9428702510000004</v>
      </c>
      <c r="S6">
        <f>Baza!PC4</f>
        <v>88.116489209999997</v>
      </c>
    </row>
    <row r="7" spans="1:19" x14ac:dyDescent="0.2">
      <c r="A7" s="1" t="s">
        <v>246</v>
      </c>
      <c r="B7">
        <f>Baza!OL5</f>
        <v>0.20173094599999999</v>
      </c>
      <c r="C7">
        <f>Baza!OM5</f>
        <v>-0.32811210120000001</v>
      </c>
      <c r="D7">
        <f>Baza!ON5</f>
        <v>4.3109941420000002</v>
      </c>
      <c r="E7">
        <f>Baza!OO5</f>
        <v>1.2244159999999999</v>
      </c>
      <c r="F7">
        <f>Baza!OP5</f>
        <v>1.4538279999999999</v>
      </c>
      <c r="G7">
        <f>Baza!OQ5</f>
        <v>2.6782439999999998</v>
      </c>
      <c r="H7">
        <f>Baza!OR5</f>
        <v>0.1539425817</v>
      </c>
      <c r="I7">
        <f>Baza!OS5</f>
        <v>1.015199405E-5</v>
      </c>
      <c r="J7">
        <f>Baza!OT5</f>
        <v>2.4944150730000001E-4</v>
      </c>
      <c r="K7">
        <f>Baza!OU5</f>
        <v>1.015199405E-5</v>
      </c>
      <c r="L7">
        <f>Baza!OV5</f>
        <v>1.6783058669999999E-4</v>
      </c>
      <c r="M7">
        <f>Baza!OW5</f>
        <v>2.2209141329999999E-4</v>
      </c>
      <c r="N7">
        <f>Baza!OX5</f>
        <v>2.7350094010000001E-5</v>
      </c>
      <c r="O7">
        <f>Baza!OY5</f>
        <v>0.45858519739999998</v>
      </c>
      <c r="P7">
        <f>Baza!OZ5</f>
        <v>0.20361886279999999</v>
      </c>
      <c r="Q7">
        <f>Baza!PA5</f>
        <v>0.26701121410000001</v>
      </c>
      <c r="R7">
        <f>Baza!PB5</f>
        <v>10.21354657</v>
      </c>
      <c r="S7">
        <f>Baza!PC5</f>
        <v>87.888386190000006</v>
      </c>
    </row>
    <row r="8" spans="1:19" x14ac:dyDescent="0.2">
      <c r="A8" s="1" t="s">
        <v>247</v>
      </c>
      <c r="B8">
        <f>Baza!OL6</f>
        <v>0.24641308540000001</v>
      </c>
      <c r="C8">
        <f>Baza!OM6</f>
        <v>-0.29068415339999998</v>
      </c>
      <c r="D8">
        <f>Baza!ON6</f>
        <v>4.5588478400000003</v>
      </c>
      <c r="E8">
        <f>Baza!OO6</f>
        <v>1.3990990000000001</v>
      </c>
      <c r="F8">
        <f>Baza!OP6</f>
        <v>1.810168</v>
      </c>
      <c r="G8">
        <f>Baza!OQ6</f>
        <v>3.2092670000000001</v>
      </c>
      <c r="H8">
        <f>Baza!OR6</f>
        <v>0.186223526</v>
      </c>
      <c r="I8">
        <f>Baza!OS6</f>
        <v>1.317801541E-5</v>
      </c>
      <c r="J8">
        <f>Baza!OT6</f>
        <v>3.0573330089999999E-4</v>
      </c>
      <c r="K8">
        <f>Baza!OU6</f>
        <v>1.317801541E-5</v>
      </c>
      <c r="L8">
        <f>Baza!OV6</f>
        <v>1.998320157E-4</v>
      </c>
      <c r="M8">
        <f>Baza!OW6</f>
        <v>2.7250698430000001E-4</v>
      </c>
      <c r="N8">
        <f>Baza!OX6</f>
        <v>3.3226316619999997E-5</v>
      </c>
      <c r="O8">
        <f>Baza!OY6</f>
        <v>0.54712693739999996</v>
      </c>
      <c r="P8">
        <f>Baza!OZ6</f>
        <v>0.26575057460000001</v>
      </c>
      <c r="Q8">
        <f>Baza!PA6</f>
        <v>0.33141718250000002</v>
      </c>
      <c r="R8">
        <f>Baza!PB6</f>
        <v>10.96427901</v>
      </c>
      <c r="S8">
        <f>Baza!PC6</f>
        <v>88.204900789999996</v>
      </c>
    </row>
    <row r="9" spans="1:19" x14ac:dyDescent="0.2">
      <c r="A9" s="1" t="s">
        <v>248</v>
      </c>
      <c r="B9">
        <f>Baza!OL7</f>
        <v>0.2149207669</v>
      </c>
      <c r="C9">
        <f>Baza!OM7</f>
        <v>-0.17070955339999999</v>
      </c>
      <c r="D9">
        <f>Baza!ON7</f>
        <v>4.5086553479999996</v>
      </c>
      <c r="E9">
        <f>Baza!OO7</f>
        <v>1.470893</v>
      </c>
      <c r="F9">
        <f>Baza!OP7</f>
        <v>1.3717459999999999</v>
      </c>
      <c r="G9">
        <f>Baza!OQ7</f>
        <v>2.8426390000000001</v>
      </c>
      <c r="H9">
        <f>Baza!OR7</f>
        <v>0.1634328981</v>
      </c>
      <c r="I9">
        <f>Baza!OS7</f>
        <v>1.172203567E-5</v>
      </c>
      <c r="J9">
        <f>Baza!OT7</f>
        <v>2.6163965149999998E-4</v>
      </c>
      <c r="K9">
        <f>Baza!OU7</f>
        <v>1.172203567E-5</v>
      </c>
      <c r="L9">
        <f>Baza!OV7</f>
        <v>1.7792596769999999E-4</v>
      </c>
      <c r="M9">
        <f>Baza!OW7</f>
        <v>2.331930323E-4</v>
      </c>
      <c r="N9">
        <f>Baza!OX7</f>
        <v>2.8446619179999999E-5</v>
      </c>
      <c r="O9">
        <f>Baza!OY7</f>
        <v>0.48929127300000003</v>
      </c>
      <c r="P9">
        <f>Baza!OZ7</f>
        <v>0.2348317748</v>
      </c>
      <c r="Q9">
        <f>Baza!PA7</f>
        <v>0.27647614679999999</v>
      </c>
      <c r="R9">
        <f>Baza!PB7</f>
        <v>9.8278330129999993</v>
      </c>
      <c r="S9">
        <f>Baza!PC7</f>
        <v>88.062581129999998</v>
      </c>
    </row>
    <row r="10" spans="1:19" x14ac:dyDescent="0.2">
      <c r="A10" s="1" t="s">
        <v>249</v>
      </c>
      <c r="B10">
        <f>Baza!OL8</f>
        <v>0.2329776402</v>
      </c>
      <c r="C10">
        <f>Baza!OM8</f>
        <v>-0.45146752690000003</v>
      </c>
      <c r="D10">
        <f>Baza!ON8</f>
        <v>4.8755333590000003</v>
      </c>
      <c r="E10">
        <f>Baza!OO8</f>
        <v>1.4813689999999999</v>
      </c>
      <c r="F10">
        <f>Baza!OP8</f>
        <v>1.677249</v>
      </c>
      <c r="G10">
        <f>Baza!OQ8</f>
        <v>3.1586180000000001</v>
      </c>
      <c r="H10">
        <f>Baza!OR8</f>
        <v>0.17501856160000001</v>
      </c>
      <c r="I10">
        <f>Baza!OS8</f>
        <v>1.1867853039999999E-5</v>
      </c>
      <c r="J10">
        <f>Baza!OT8</f>
        <v>2.7935534159999998E-4</v>
      </c>
      <c r="K10">
        <f>Baza!OU8</f>
        <v>1.1867853039999999E-5</v>
      </c>
      <c r="L10">
        <f>Baza!OV8</f>
        <v>1.8836097620000001E-4</v>
      </c>
      <c r="M10">
        <f>Baza!OW8</f>
        <v>2.4594102380000001E-4</v>
      </c>
      <c r="N10">
        <f>Baza!OX8</f>
        <v>3.3414317840000002E-5</v>
      </c>
      <c r="O10">
        <f>Baza!OY8</f>
        <v>0.50633117240000003</v>
      </c>
      <c r="P10">
        <f>Baza!OZ8</f>
        <v>0.23758412079999999</v>
      </c>
      <c r="Q10">
        <f>Baza!PA8</f>
        <v>0.33219024019999999</v>
      </c>
      <c r="R10">
        <f>Baza!PB8</f>
        <v>10.15050379</v>
      </c>
      <c r="S10">
        <f>Baza!PC8</f>
        <v>87.082959560000006</v>
      </c>
    </row>
    <row r="11" spans="1:19" x14ac:dyDescent="0.2">
      <c r="A11" s="1" t="s">
        <v>250</v>
      </c>
      <c r="B11">
        <f>Baza!OL9</f>
        <v>0.28835789519999999</v>
      </c>
      <c r="C11">
        <f>Baza!OM9</f>
        <v>-0.54732557410000005</v>
      </c>
      <c r="D11">
        <f>Baza!ON9</f>
        <v>5.3335169120000003</v>
      </c>
      <c r="E11">
        <f>Baza!OO9</f>
        <v>1.6058460000000001</v>
      </c>
      <c r="F11">
        <f>Baza!OP9</f>
        <v>2.1851729999999998</v>
      </c>
      <c r="G11">
        <f>Baza!OQ9</f>
        <v>3.7910189999999999</v>
      </c>
      <c r="H11">
        <f>Baza!OR9</f>
        <v>0.2138170898</v>
      </c>
      <c r="I11">
        <f>Baza!OS9</f>
        <v>1.4927685740000001E-5</v>
      </c>
      <c r="J11">
        <f>Baza!OT9</f>
        <v>3.443082513E-4</v>
      </c>
      <c r="K11">
        <f>Baza!OU9</f>
        <v>1.4927685740000001E-5</v>
      </c>
      <c r="L11">
        <f>Baza!OV9</f>
        <v>2.2596060469999999E-4</v>
      </c>
      <c r="M11">
        <f>Baza!OW9</f>
        <v>3.0200239529999998E-4</v>
      </c>
      <c r="N11">
        <f>Baza!OX9</f>
        <v>4.2305855939999998E-5</v>
      </c>
      <c r="O11">
        <f>Baza!OY9</f>
        <v>0.60835220769999998</v>
      </c>
      <c r="P11">
        <f>Baza!OZ9</f>
        <v>0.2997804556</v>
      </c>
      <c r="Q11">
        <f>Baza!PA9</f>
        <v>0.4316510697</v>
      </c>
      <c r="R11">
        <f>Baza!PB9</f>
        <v>10.740144859999999</v>
      </c>
      <c r="S11">
        <f>Baza!PC9</f>
        <v>87.229690809999994</v>
      </c>
    </row>
    <row r="12" spans="1:19" x14ac:dyDescent="0.2">
      <c r="A12" s="1" t="s">
        <v>251</v>
      </c>
      <c r="B12">
        <f>Baza!OL10</f>
        <v>0.30724210130000001</v>
      </c>
      <c r="C12">
        <f>Baza!OM10</f>
        <v>-0.95140909439999999</v>
      </c>
      <c r="D12">
        <f>Baza!ON10</f>
        <v>5.199942107</v>
      </c>
      <c r="E12">
        <f>Baza!OO10</f>
        <v>1.9878899999999999</v>
      </c>
      <c r="F12">
        <f>Baza!OP10</f>
        <v>2.9203220000000001</v>
      </c>
      <c r="G12">
        <f>Baza!OQ10</f>
        <v>4.9082119999999998</v>
      </c>
      <c r="H12">
        <f>Baza!OR10</f>
        <v>0.2345535476</v>
      </c>
      <c r="I12">
        <f>Baza!OS10</f>
        <v>1.0117644430000001E-5</v>
      </c>
      <c r="J12">
        <f>Baza!OT10</f>
        <v>3.5606660089999999E-4</v>
      </c>
      <c r="K12">
        <f>Baza!OU10</f>
        <v>1.0117644430000001E-5</v>
      </c>
      <c r="L12">
        <f>Baza!OV10</f>
        <v>2.6077280380000002E-4</v>
      </c>
      <c r="M12">
        <f>Baza!OW10</f>
        <v>3.0806119619999998E-4</v>
      </c>
      <c r="N12">
        <f>Baza!OX10</f>
        <v>4.8005404730000001E-5</v>
      </c>
      <c r="O12">
        <f>Baza!OY10</f>
        <v>0.68368670600000003</v>
      </c>
      <c r="P12">
        <f>Baza!OZ10</f>
        <v>0.19288426459999999</v>
      </c>
      <c r="Q12">
        <f>Baza!PA10</f>
        <v>0.47444521410000001</v>
      </c>
      <c r="R12">
        <f>Baza!PB10</f>
        <v>7.5084289530000001</v>
      </c>
      <c r="S12">
        <f>Baza!PC10</f>
        <v>85.610064089999995</v>
      </c>
    </row>
    <row r="13" spans="1:19" x14ac:dyDescent="0.2">
      <c r="A13" s="1" t="s">
        <v>252</v>
      </c>
      <c r="B13">
        <f>Baza!OL11</f>
        <v>0.16050374040000001</v>
      </c>
      <c r="C13">
        <f>Baza!OM11</f>
        <v>-6.0638856050000002E-2</v>
      </c>
      <c r="D13">
        <f>Baza!ON11</f>
        <v>3.7690843599999999</v>
      </c>
      <c r="E13">
        <f>Baza!OO11</f>
        <v>1.394838</v>
      </c>
      <c r="F13">
        <f>Baza!OP11</f>
        <v>1.0167820000000001</v>
      </c>
      <c r="G13">
        <f>Baza!OQ11</f>
        <v>2.4116200000000001</v>
      </c>
      <c r="H13">
        <f>Baza!OR11</f>
        <v>0.12532097249999999</v>
      </c>
      <c r="I13">
        <f>Baza!OS11</f>
        <v>8.2049970879999998E-6</v>
      </c>
      <c r="J13">
        <f>Baza!OT11</f>
        <v>2.04189745E-4</v>
      </c>
      <c r="K13">
        <f>Baza!OU11</f>
        <v>8.2049970879999998E-6</v>
      </c>
      <c r="L13">
        <f>Baza!OV11</f>
        <v>1.3989406519999999E-4</v>
      </c>
      <c r="M13">
        <f>Baza!OW11</f>
        <v>1.8474793479999999E-4</v>
      </c>
      <c r="N13">
        <f>Baza!OX11</f>
        <v>1.944181025E-5</v>
      </c>
      <c r="O13">
        <f>Baza!OY11</f>
        <v>0.39180013019999999</v>
      </c>
      <c r="P13">
        <f>Baza!OZ11</f>
        <v>0.1640975412</v>
      </c>
      <c r="Q13">
        <f>Baza!PA11</f>
        <v>0.17741080570000001</v>
      </c>
      <c r="R13">
        <f>Baza!PB11</f>
        <v>9.676212413</v>
      </c>
      <c r="S13">
        <f>Baza!PC11</f>
        <v>89.044621599999999</v>
      </c>
    </row>
    <row r="14" spans="1:19" x14ac:dyDescent="0.2">
      <c r="A14" s="1" t="s">
        <v>253</v>
      </c>
      <c r="B14">
        <f>Baza!OL12</f>
        <v>0.20022883129999999</v>
      </c>
      <c r="C14">
        <f>Baza!OM12</f>
        <v>0.18916580920000001</v>
      </c>
      <c r="D14">
        <f>Baza!ON12</f>
        <v>3.7153706460000002</v>
      </c>
      <c r="E14">
        <f>Baza!OO12</f>
        <v>1.5399959999999999</v>
      </c>
      <c r="F14">
        <f>Baza!OP12</f>
        <v>1.2290570000000001</v>
      </c>
      <c r="G14">
        <f>Baza!OQ12</f>
        <v>2.769053</v>
      </c>
      <c r="H14">
        <f>Baza!OR12</f>
        <v>0.15625852730000001</v>
      </c>
      <c r="I14">
        <f>Baza!OS12</f>
        <v>1.1621526809999999E-5</v>
      </c>
      <c r="J14">
        <f>Baza!OT12</f>
        <v>2.5904201439999998E-4</v>
      </c>
      <c r="K14">
        <f>Baza!OU12</f>
        <v>1.1621526809999999E-5</v>
      </c>
      <c r="L14">
        <f>Baza!OV12</f>
        <v>1.7408430090000001E-4</v>
      </c>
      <c r="M14">
        <f>Baza!OW12</f>
        <v>2.3676469909999999E-4</v>
      </c>
      <c r="N14">
        <f>Baza!OX12</f>
        <v>2.2277315280000001E-5</v>
      </c>
      <c r="O14">
        <f>Baza!OY12</f>
        <v>0.4860754732</v>
      </c>
      <c r="P14">
        <f>Baza!OZ12</f>
        <v>0.23310832149999999</v>
      </c>
      <c r="Q14">
        <f>Baza!PA12</f>
        <v>0.19334782249999999</v>
      </c>
      <c r="R14">
        <f>Baza!PB12</f>
        <v>10.511143690000001</v>
      </c>
      <c r="S14">
        <f>Baza!PC12</f>
        <v>89.477099370000005</v>
      </c>
    </row>
    <row r="15" spans="1:19" x14ac:dyDescent="0.2">
      <c r="A15" s="1" t="s">
        <v>254</v>
      </c>
      <c r="B15">
        <f>Baza!OL13</f>
        <v>0.50947165920000004</v>
      </c>
      <c r="C15">
        <f>Baza!OM13</f>
        <v>0.13257179250000001</v>
      </c>
      <c r="D15">
        <f>Baza!ON13</f>
        <v>3.0774399629999998</v>
      </c>
      <c r="E15">
        <f>Baza!OO13</f>
        <v>2.6190326000000002</v>
      </c>
      <c r="F15">
        <f>Baza!OP13</f>
        <v>2.1149656000000001</v>
      </c>
      <c r="G15">
        <f>Baza!OQ13</f>
        <v>4.7339982000000003</v>
      </c>
      <c r="H15">
        <f>Baza!OR13</f>
        <v>0.40447128980000002</v>
      </c>
      <c r="I15">
        <f>Baza!OS13</f>
        <v>2.6625384150000001E-5</v>
      </c>
      <c r="J15">
        <f>Baza!OT13</f>
        <v>6.817742308E-4</v>
      </c>
      <c r="K15">
        <f>Baza!OU13</f>
        <v>2.6625384150000001E-5</v>
      </c>
      <c r="L15">
        <f>Baza!OV13</f>
        <v>4.5432454950000001E-4</v>
      </c>
      <c r="M15">
        <f>Baza!OW13</f>
        <v>6.2664085049999999E-4</v>
      </c>
      <c r="N15">
        <f>Baza!OX13</f>
        <v>5.513338031E-5</v>
      </c>
      <c r="O15">
        <f>Baza!OY13</f>
        <v>1.2863766190000001</v>
      </c>
      <c r="P15">
        <f>Baza!OZ13</f>
        <v>0.539180361</v>
      </c>
      <c r="Q15">
        <f>Baza!PA13</f>
        <v>0.45622405030000002</v>
      </c>
      <c r="R15">
        <f>Baza!PB13</f>
        <v>10.696904</v>
      </c>
      <c r="S15">
        <f>Baza!PC13</f>
        <v>90.202107429999998</v>
      </c>
    </row>
    <row r="16" spans="1:19" x14ac:dyDescent="0.2">
      <c r="A16" s="1" t="s">
        <v>257</v>
      </c>
      <c r="B16">
        <f>Baza!OL14</f>
        <v>0.51479779930000003</v>
      </c>
      <c r="C16">
        <f>Baza!OM14</f>
        <v>0.1307224783</v>
      </c>
      <c r="D16">
        <f>Baza!ON14</f>
        <v>3.057293091</v>
      </c>
      <c r="E16">
        <f>Baza!OO14</f>
        <v>2.51857</v>
      </c>
      <c r="F16">
        <f>Baza!OP14</f>
        <v>2.1453500000000001</v>
      </c>
      <c r="G16">
        <f>Baza!OQ14</f>
        <v>4.6639200000000001</v>
      </c>
      <c r="H16">
        <f>Baza!OR14</f>
        <v>0.4091045573</v>
      </c>
      <c r="I16">
        <f>Baza!OS14</f>
        <v>2.6776158139999999E-5</v>
      </c>
      <c r="J16">
        <f>Baza!OT14</f>
        <v>6.8935120999999997E-4</v>
      </c>
      <c r="K16">
        <f>Baza!OU14</f>
        <v>2.6776158139999999E-5</v>
      </c>
      <c r="L16">
        <f>Baza!OV14</f>
        <v>4.6018062719999997E-4</v>
      </c>
      <c r="M16">
        <f>Baza!OW14</f>
        <v>6.339193728E-4</v>
      </c>
      <c r="N16">
        <f>Baza!OX14</f>
        <v>5.5431837210000001E-5</v>
      </c>
      <c r="O16">
        <f>Baza!OY14</f>
        <v>1.3034038189999999</v>
      </c>
      <c r="P16">
        <f>Baza!OZ14</f>
        <v>0.54154020530000002</v>
      </c>
      <c r="Q16">
        <f>Baza!PA14</f>
        <v>0.45749420149999998</v>
      </c>
      <c r="R16">
        <f>Baza!PB14</f>
        <v>10.68000196</v>
      </c>
      <c r="S16">
        <f>Baza!PC14</f>
        <v>90.268573470000007</v>
      </c>
    </row>
    <row r="17" spans="1:19" x14ac:dyDescent="0.2">
      <c r="A17" s="1" t="s">
        <v>255</v>
      </c>
      <c r="B17">
        <f>Baza!OL15</f>
        <v>7.9947581200000006E-2</v>
      </c>
      <c r="C17">
        <f>Baza!OM15</f>
        <v>6.6060482059999995E-2</v>
      </c>
      <c r="D17">
        <f>Baza!ON15</f>
        <v>3.3413847529999998</v>
      </c>
      <c r="E17">
        <f>Baza!OO15</f>
        <v>0.647787</v>
      </c>
      <c r="F17">
        <f>Baza!OP15</f>
        <v>0.65430999999999995</v>
      </c>
      <c r="G17">
        <f>Baza!OQ15</f>
        <v>1.3020970000000001</v>
      </c>
      <c r="H17">
        <f>Baza!OR15</f>
        <v>6.3129138560000006E-2</v>
      </c>
      <c r="I17">
        <f>Baza!OS15</f>
        <v>4.1126629299999996E-6</v>
      </c>
      <c r="J17">
        <f>Baza!OT15</f>
        <v>1.058451756E-4</v>
      </c>
      <c r="K17">
        <f>Baza!OU15</f>
        <v>4.1126629299999996E-6</v>
      </c>
      <c r="L17">
        <f>Baza!OV15</f>
        <v>7.0762085190000004E-5</v>
      </c>
      <c r="M17">
        <f>Baza!OW15</f>
        <v>9.6956914809999994E-5</v>
      </c>
      <c r="N17">
        <f>Baza!OX15</f>
        <v>8.8882608259999992E-6</v>
      </c>
      <c r="O17">
        <f>Baza!OY15</f>
        <v>0.20009699689999999</v>
      </c>
      <c r="P17">
        <f>Baza!OZ15</f>
        <v>8.3092727640000003E-2</v>
      </c>
      <c r="Q17">
        <f>Baza!PA15</f>
        <v>7.7537689519999994E-2</v>
      </c>
      <c r="R17">
        <f>Baza!PB15</f>
        <v>10.5449933</v>
      </c>
      <c r="S17">
        <f>Baza!PC15</f>
        <v>90.134322429999997</v>
      </c>
    </row>
    <row r="18" spans="1:19" x14ac:dyDescent="0.2">
      <c r="A18" s="1" t="s">
        <v>256</v>
      </c>
      <c r="B18">
        <f>Baza!OL16</f>
        <v>0.16498016090000001</v>
      </c>
      <c r="C18">
        <f>Baza!OM16</f>
        <v>3.2983250499999998E-2</v>
      </c>
      <c r="D18">
        <f>Baza!ON16</f>
        <v>3.0781483810000001</v>
      </c>
      <c r="E18">
        <f>Baza!OO16</f>
        <v>1.003414</v>
      </c>
      <c r="F18">
        <f>Baza!OP16</f>
        <v>0.82752099999999995</v>
      </c>
      <c r="G18">
        <f>Baza!OQ16</f>
        <v>1.830935</v>
      </c>
      <c r="H18">
        <f>Baza!OR16</f>
        <v>0.13103645959999999</v>
      </c>
      <c r="I18">
        <f>Baza!OS16</f>
        <v>8.1399663700000006E-6</v>
      </c>
      <c r="J18">
        <f>Baza!OT16</f>
        <v>2.1924205210000001E-4</v>
      </c>
      <c r="K18">
        <f>Baza!OU16</f>
        <v>8.1399663700000006E-6</v>
      </c>
      <c r="L18">
        <f>Baza!OV16</f>
        <v>1.4779565090000001E-4</v>
      </c>
      <c r="M18">
        <f>Baza!OW16</f>
        <v>2.0077034910000001E-4</v>
      </c>
      <c r="N18">
        <f>Baza!OX16</f>
        <v>1.8471703049999999E-5</v>
      </c>
      <c r="O18">
        <f>Baza!OY16</f>
        <v>0.4182475672</v>
      </c>
      <c r="P18">
        <f>Baza!OZ16</f>
        <v>0.16394200310000001</v>
      </c>
      <c r="Q18">
        <f>Baza!PA16</f>
        <v>0.15757996730000001</v>
      </c>
      <c r="R18">
        <f>Baza!PB16</f>
        <v>10.28796533</v>
      </c>
      <c r="S18">
        <f>Baza!PC16</f>
        <v>89.983382759999998</v>
      </c>
    </row>
    <row r="19" spans="1:19" x14ac:dyDescent="0.2">
      <c r="A19" s="1" t="s">
        <v>258</v>
      </c>
      <c r="B19">
        <f>Baza!OL17</f>
        <v>7.9057705529999994E-2</v>
      </c>
      <c r="C19">
        <f>Baza!OM17</f>
        <v>0.10519235909999999</v>
      </c>
      <c r="D19">
        <f>Baza!ON17</f>
        <v>3.38033911</v>
      </c>
      <c r="E19">
        <f>Baza!OO17</f>
        <v>0.60575100000000004</v>
      </c>
      <c r="F19">
        <f>Baza!OP17</f>
        <v>0.62495500000000004</v>
      </c>
      <c r="G19">
        <f>Baza!OQ17</f>
        <v>1.2307060000000001</v>
      </c>
      <c r="H19">
        <f>Baza!OR17</f>
        <v>6.2478782199999999E-2</v>
      </c>
      <c r="I19">
        <f>Baza!OS17</f>
        <v>4.1197521110000004E-6</v>
      </c>
      <c r="J19">
        <f>Baza!OT17</f>
        <v>1.050227185E-4</v>
      </c>
      <c r="K19">
        <f>Baza!OU17</f>
        <v>4.1197521110000004E-6</v>
      </c>
      <c r="L19">
        <f>Baza!OV17</f>
        <v>7.0096730209999998E-5</v>
      </c>
      <c r="M19">
        <f>Baza!OW17</f>
        <v>9.6431269790000004E-5</v>
      </c>
      <c r="N19">
        <f>Baza!OX17</f>
        <v>8.5914487560000007E-6</v>
      </c>
      <c r="O19">
        <f>Baza!OY17</f>
        <v>0.19891454010000001</v>
      </c>
      <c r="P19">
        <f>Baza!OZ17</f>
        <v>8.3176429420000003E-2</v>
      </c>
      <c r="Q19">
        <f>Baza!PA17</f>
        <v>7.3938232270000001E-2</v>
      </c>
      <c r="R19">
        <f>Baza!PB17</f>
        <v>10.582253959999999</v>
      </c>
      <c r="S19">
        <f>Baza!PC17</f>
        <v>90.376911239999998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9F350-AA10-4B07-8B9A-D6C6253E4B20}">
  <dimension ref="A1:S18"/>
  <sheetViews>
    <sheetView workbookViewId="0">
      <selection activeCell="I22" sqref="I22"/>
    </sheetView>
  </sheetViews>
  <sheetFormatPr baseColWidth="10" defaultColWidth="8.83203125" defaultRowHeight="15" x14ac:dyDescent="0.2"/>
  <cols>
    <col min="2" max="2" width="12" bestFit="1" customWidth="1"/>
    <col min="3" max="3" width="12.6640625" bestFit="1" customWidth="1"/>
    <col min="4" max="4" width="12" bestFit="1" customWidth="1"/>
    <col min="5" max="7" width="10" bestFit="1" customWidth="1"/>
    <col min="8" max="10" width="12" bestFit="1" customWidth="1"/>
    <col min="11" max="11" width="12.5" bestFit="1" customWidth="1"/>
    <col min="12" max="12" width="19.83203125" bestFit="1" customWidth="1"/>
    <col min="13" max="13" width="19.33203125" bestFit="1" customWidth="1"/>
    <col min="14" max="19" width="12" bestFit="1" customWidth="1"/>
  </cols>
  <sheetData>
    <row r="1" spans="1:19" x14ac:dyDescent="0.2">
      <c r="B1" t="str">
        <f>B4</f>
        <v>Sq</v>
      </c>
      <c r="C1" t="str">
        <f t="shared" ref="C1:S1" si="0">C4</f>
        <v>Ssk</v>
      </c>
      <c r="D1" t="str">
        <f t="shared" si="0"/>
        <v>Sku</v>
      </c>
      <c r="E1" t="str">
        <f t="shared" si="0"/>
        <v>Sp</v>
      </c>
      <c r="F1" t="str">
        <f t="shared" si="0"/>
        <v>Sv</v>
      </c>
      <c r="G1" t="str">
        <f t="shared" si="0"/>
        <v>Sz</v>
      </c>
      <c r="H1" t="str">
        <f t="shared" si="0"/>
        <v>Sa</v>
      </c>
      <c r="I1" t="str">
        <f t="shared" si="0"/>
        <v>Vm (p = 10%)</v>
      </c>
      <c r="J1" t="str">
        <f t="shared" si="0"/>
        <v>Vv (p = 10%)</v>
      </c>
      <c r="K1" t="str">
        <f t="shared" si="0"/>
        <v>Vmp (p = 10%)</v>
      </c>
      <c r="L1" t="str">
        <f t="shared" si="0"/>
        <v>Vmc (p = 10%, q = 80%)</v>
      </c>
      <c r="M1" t="str">
        <f t="shared" si="0"/>
        <v>Vvc (p = 10%, q = 80%)</v>
      </c>
      <c r="N1" t="str">
        <f t="shared" si="0"/>
        <v>Vvv (p = 80%)</v>
      </c>
      <c r="O1" t="str">
        <f t="shared" si="0"/>
        <v>Sk</v>
      </c>
      <c r="P1" t="str">
        <f t="shared" si="0"/>
        <v>Spk</v>
      </c>
      <c r="Q1" t="str">
        <f t="shared" si="0"/>
        <v>Svk</v>
      </c>
      <c r="R1" t="str">
        <f t="shared" si="0"/>
        <v>Smrk1</v>
      </c>
      <c r="S1" t="str">
        <f t="shared" si="0"/>
        <v>Smrk2</v>
      </c>
    </row>
    <row r="3" spans="1:19" x14ac:dyDescent="0.2">
      <c r="B3">
        <f>Baza!OL1</f>
        <v>70</v>
      </c>
      <c r="C3">
        <f>Baza!OM1</f>
        <v>70</v>
      </c>
      <c r="D3">
        <f>Baza!ON1</f>
        <v>70</v>
      </c>
      <c r="E3">
        <f>Baza!OO1</f>
        <v>70</v>
      </c>
      <c r="F3">
        <f>Baza!OP1</f>
        <v>70</v>
      </c>
      <c r="G3">
        <f>Baza!OQ1</f>
        <v>70</v>
      </c>
      <c r="H3">
        <f>Baza!OR1</f>
        <v>70</v>
      </c>
      <c r="I3">
        <f>Baza!OS1</f>
        <v>70</v>
      </c>
      <c r="J3">
        <f>Baza!OT1</f>
        <v>70</v>
      </c>
      <c r="K3">
        <f>Baza!OU1</f>
        <v>70</v>
      </c>
      <c r="L3">
        <f>Baza!OV1</f>
        <v>70</v>
      </c>
      <c r="M3">
        <f>Baza!OW1</f>
        <v>70</v>
      </c>
      <c r="N3">
        <f>Baza!OX1</f>
        <v>70</v>
      </c>
      <c r="O3">
        <f>Baza!OY1</f>
        <v>70</v>
      </c>
      <c r="P3">
        <f>Baza!OZ1</f>
        <v>70</v>
      </c>
      <c r="Q3">
        <f>Baza!PA1</f>
        <v>70</v>
      </c>
      <c r="R3">
        <f>Baza!PB1</f>
        <v>70</v>
      </c>
      <c r="S3">
        <f>Baza!PC1</f>
        <v>70</v>
      </c>
    </row>
    <row r="4" spans="1:19" x14ac:dyDescent="0.2">
      <c r="B4" t="str">
        <f>Baza!OL2</f>
        <v>Sq</v>
      </c>
      <c r="C4" t="str">
        <f>Baza!OM2</f>
        <v>Ssk</v>
      </c>
      <c r="D4" t="str">
        <f>Baza!ON2</f>
        <v>Sku</v>
      </c>
      <c r="E4" t="str">
        <f>Baza!OO2</f>
        <v>Sp</v>
      </c>
      <c r="F4" t="str">
        <f>Baza!OP2</f>
        <v>Sv</v>
      </c>
      <c r="G4" t="str">
        <f>Baza!OQ2</f>
        <v>Sz</v>
      </c>
      <c r="H4" t="str">
        <f>Baza!OR2</f>
        <v>Sa</v>
      </c>
      <c r="I4" t="str">
        <f>Baza!OS2</f>
        <v>Vm (p = 10%)</v>
      </c>
      <c r="J4" t="str">
        <f>Baza!OT2</f>
        <v>Vv (p = 10%)</v>
      </c>
      <c r="K4" t="str">
        <f>Baza!OU2</f>
        <v>Vmp (p = 10%)</v>
      </c>
      <c r="L4" t="str">
        <f>Baza!OV2</f>
        <v>Vmc (p = 10%, q = 80%)</v>
      </c>
      <c r="M4" t="str">
        <f>Baza!OW2</f>
        <v>Vvc (p = 10%, q = 80%)</v>
      </c>
      <c r="N4" t="str">
        <f>Baza!OX2</f>
        <v>Vvv (p = 80%)</v>
      </c>
      <c r="O4" t="str">
        <f>Baza!OY2</f>
        <v>Sk</v>
      </c>
      <c r="P4" t="str">
        <f>Baza!OZ2</f>
        <v>Spk</v>
      </c>
      <c r="Q4" t="str">
        <f>Baza!PA2</f>
        <v>Svk</v>
      </c>
      <c r="R4" t="str">
        <f>Baza!PB2</f>
        <v>Smrk1</v>
      </c>
      <c r="S4" t="str">
        <f>Baza!PC2</f>
        <v>Smrk2</v>
      </c>
    </row>
    <row r="5" spans="1:19" x14ac:dyDescent="0.2">
      <c r="B5" t="str">
        <f>Baza!OL3</f>
        <v>µm</v>
      </c>
      <c r="C5" t="str">
        <f>Baza!OM3</f>
        <v>&lt;no unit&gt;</v>
      </c>
      <c r="D5" t="str">
        <f>Baza!ON3</f>
        <v>&lt;no unit&gt;</v>
      </c>
      <c r="E5" t="str">
        <f>Baza!OO3</f>
        <v>µm</v>
      </c>
      <c r="F5" t="str">
        <f>Baza!OP3</f>
        <v>µm</v>
      </c>
      <c r="G5" t="str">
        <f>Baza!OQ3</f>
        <v>µm</v>
      </c>
      <c r="H5" t="str">
        <f>Baza!OR3</f>
        <v>µm</v>
      </c>
      <c r="I5" t="str">
        <f>Baza!OS3</f>
        <v>mm³/mm²</v>
      </c>
      <c r="J5" t="str">
        <f>Baza!OT3</f>
        <v>mm³/mm²</v>
      </c>
      <c r="K5" t="str">
        <f>Baza!OU3</f>
        <v>mm³/mm²</v>
      </c>
      <c r="L5" t="str">
        <f>Baza!OV3</f>
        <v>mm³/mm²</v>
      </c>
      <c r="M5" t="str">
        <f>Baza!OW3</f>
        <v>mm³/mm²</v>
      </c>
      <c r="N5" t="str">
        <f>Baza!OX3</f>
        <v>mm³/mm²</v>
      </c>
      <c r="O5" t="str">
        <f>Baza!OY3</f>
        <v>µm</v>
      </c>
      <c r="P5" t="str">
        <f>Baza!OZ3</f>
        <v>µm</v>
      </c>
      <c r="Q5" t="str">
        <f>Baza!PA3</f>
        <v>µm</v>
      </c>
      <c r="R5" t="str">
        <f>Baza!PB3</f>
        <v>%</v>
      </c>
      <c r="S5" t="str">
        <f>Baza!PC3</f>
        <v>%</v>
      </c>
    </row>
    <row r="6" spans="1:19" x14ac:dyDescent="0.2">
      <c r="A6" s="1" t="s">
        <v>245</v>
      </c>
      <c r="B6">
        <f>Baza!OL4</f>
        <v>0.17793513759999999</v>
      </c>
      <c r="C6">
        <f>Baza!OM4</f>
        <v>-0.23820774920000001</v>
      </c>
      <c r="D6">
        <f>Baza!ON4</f>
        <v>4.0549581530000003</v>
      </c>
      <c r="E6">
        <f>Baza!OO4</f>
        <v>1.2527870000000001</v>
      </c>
      <c r="F6">
        <f>Baza!OP4</f>
        <v>1.1107315</v>
      </c>
      <c r="G6">
        <f>Baza!OQ4</f>
        <v>2.3635185000000001</v>
      </c>
      <c r="H6">
        <f>Baza!OR4</f>
        <v>0.1369107104</v>
      </c>
      <c r="I6">
        <f>Baza!OS4</f>
        <v>8.8426988609999992E-6</v>
      </c>
      <c r="J6">
        <f>Baza!OT4</f>
        <v>2.215884385E-4</v>
      </c>
      <c r="K6">
        <f>Baza!OU4</f>
        <v>8.8426988609999992E-6</v>
      </c>
      <c r="L6">
        <f>Baza!OV4</f>
        <v>1.505017219E-4</v>
      </c>
      <c r="M6">
        <f>Baza!OW4</f>
        <v>1.9804097809999999E-4</v>
      </c>
      <c r="N6">
        <f>Baza!OX4</f>
        <v>2.3547460400000001E-5</v>
      </c>
      <c r="O6">
        <f>Baza!OY4</f>
        <v>0.41459509249999998</v>
      </c>
      <c r="P6">
        <f>Baza!OZ4</f>
        <v>0.1769509926</v>
      </c>
      <c r="Q6">
        <f>Baza!PA4</f>
        <v>0.22402383179999999</v>
      </c>
      <c r="R6">
        <f>Baza!PB4</f>
        <v>9.9428702510000004</v>
      </c>
      <c r="S6">
        <f>Baza!PC4</f>
        <v>88.116489209999997</v>
      </c>
    </row>
    <row r="7" spans="1:19" x14ac:dyDescent="0.2">
      <c r="A7" s="1" t="s">
        <v>246</v>
      </c>
      <c r="B7">
        <f>Baza!OL5</f>
        <v>0.20173094599999999</v>
      </c>
      <c r="C7">
        <f>Baza!OM5</f>
        <v>-0.32811210120000001</v>
      </c>
      <c r="D7">
        <f>Baza!ON5</f>
        <v>4.3109941420000002</v>
      </c>
      <c r="E7">
        <f>Baza!OO5</f>
        <v>1.2244159999999999</v>
      </c>
      <c r="F7">
        <f>Baza!OP5</f>
        <v>1.4538279999999999</v>
      </c>
      <c r="G7">
        <f>Baza!OQ5</f>
        <v>2.6782439999999998</v>
      </c>
      <c r="H7">
        <f>Baza!OR5</f>
        <v>0.1539425817</v>
      </c>
      <c r="I7">
        <f>Baza!OS5</f>
        <v>1.015199405E-5</v>
      </c>
      <c r="J7">
        <f>Baza!OT5</f>
        <v>2.4944150730000001E-4</v>
      </c>
      <c r="K7">
        <f>Baza!OU5</f>
        <v>1.015199405E-5</v>
      </c>
      <c r="L7">
        <f>Baza!OV5</f>
        <v>1.6783058669999999E-4</v>
      </c>
      <c r="M7">
        <f>Baza!OW5</f>
        <v>2.2209141329999999E-4</v>
      </c>
      <c r="N7">
        <f>Baza!OX5</f>
        <v>2.7350094010000001E-5</v>
      </c>
      <c r="O7">
        <f>Baza!OY5</f>
        <v>0.45858519739999998</v>
      </c>
      <c r="P7">
        <f>Baza!OZ5</f>
        <v>0.20361886279999999</v>
      </c>
      <c r="Q7">
        <f>Baza!PA5</f>
        <v>0.26701121410000001</v>
      </c>
      <c r="R7">
        <f>Baza!PB5</f>
        <v>10.21354657</v>
      </c>
      <c r="S7">
        <f>Baza!PC5</f>
        <v>87.888386190000006</v>
      </c>
    </row>
    <row r="8" spans="1:19" x14ac:dyDescent="0.2">
      <c r="A8" s="1" t="s">
        <v>247</v>
      </c>
      <c r="B8">
        <f>Baza!OL6</f>
        <v>0.24641308540000001</v>
      </c>
      <c r="C8">
        <f>Baza!OM6</f>
        <v>-0.29068415339999998</v>
      </c>
      <c r="D8">
        <f>Baza!ON6</f>
        <v>4.5588478400000003</v>
      </c>
      <c r="E8">
        <f>Baza!OO6</f>
        <v>1.3990990000000001</v>
      </c>
      <c r="F8">
        <f>Baza!OP6</f>
        <v>1.810168</v>
      </c>
      <c r="G8">
        <f>Baza!OQ6</f>
        <v>3.2092670000000001</v>
      </c>
      <c r="H8">
        <f>Baza!OR6</f>
        <v>0.186223526</v>
      </c>
      <c r="I8">
        <f>Baza!OS6</f>
        <v>1.317801541E-5</v>
      </c>
      <c r="J8">
        <f>Baza!OT6</f>
        <v>3.0573330089999999E-4</v>
      </c>
      <c r="K8">
        <f>Baza!OU6</f>
        <v>1.317801541E-5</v>
      </c>
      <c r="L8">
        <f>Baza!OV6</f>
        <v>1.998320157E-4</v>
      </c>
      <c r="M8">
        <f>Baza!OW6</f>
        <v>2.7250698430000001E-4</v>
      </c>
      <c r="N8">
        <f>Baza!OX6</f>
        <v>3.3226316619999997E-5</v>
      </c>
      <c r="O8">
        <f>Baza!OY6</f>
        <v>0.54712693739999996</v>
      </c>
      <c r="P8">
        <f>Baza!OZ6</f>
        <v>0.26575057460000001</v>
      </c>
      <c r="Q8">
        <f>Baza!PA6</f>
        <v>0.33141718250000002</v>
      </c>
      <c r="R8">
        <f>Baza!PB6</f>
        <v>10.96427901</v>
      </c>
      <c r="S8">
        <f>Baza!PC6</f>
        <v>88.204900789999996</v>
      </c>
    </row>
    <row r="9" spans="1:19" x14ac:dyDescent="0.2">
      <c r="A9" s="1" t="s">
        <v>248</v>
      </c>
      <c r="B9">
        <f>Baza!OL7</f>
        <v>0.2149207669</v>
      </c>
      <c r="C9">
        <f>Baza!OM7</f>
        <v>-0.17070955339999999</v>
      </c>
      <c r="D9">
        <f>Baza!ON7</f>
        <v>4.5086553479999996</v>
      </c>
      <c r="E9">
        <f>Baza!OO7</f>
        <v>1.470893</v>
      </c>
      <c r="F9">
        <f>Baza!OP7</f>
        <v>1.3717459999999999</v>
      </c>
      <c r="G9">
        <f>Baza!OQ7</f>
        <v>2.8426390000000001</v>
      </c>
      <c r="H9">
        <f>Baza!OR7</f>
        <v>0.1634328981</v>
      </c>
      <c r="I9">
        <f>Baza!OS7</f>
        <v>1.172203567E-5</v>
      </c>
      <c r="J9">
        <f>Baza!OT7</f>
        <v>2.6163965149999998E-4</v>
      </c>
      <c r="K9">
        <f>Baza!OU7</f>
        <v>1.172203567E-5</v>
      </c>
      <c r="L9">
        <f>Baza!OV7</f>
        <v>1.7792596769999999E-4</v>
      </c>
      <c r="M9">
        <f>Baza!OW7</f>
        <v>2.331930323E-4</v>
      </c>
      <c r="N9">
        <f>Baza!OX7</f>
        <v>2.8446619179999999E-5</v>
      </c>
      <c r="O9">
        <f>Baza!OY7</f>
        <v>0.48929127300000003</v>
      </c>
      <c r="P9">
        <f>Baza!OZ7</f>
        <v>0.2348317748</v>
      </c>
      <c r="Q9">
        <f>Baza!PA7</f>
        <v>0.27647614679999999</v>
      </c>
      <c r="R9">
        <f>Baza!PB7</f>
        <v>9.8278330129999993</v>
      </c>
      <c r="S9">
        <f>Baza!PC7</f>
        <v>88.062581129999998</v>
      </c>
    </row>
    <row r="10" spans="1:19" x14ac:dyDescent="0.2">
      <c r="A10" s="1" t="s">
        <v>249</v>
      </c>
      <c r="B10">
        <f>Baza!OL8</f>
        <v>0.2329776402</v>
      </c>
      <c r="C10">
        <f>Baza!OM8</f>
        <v>-0.45146752690000003</v>
      </c>
      <c r="D10">
        <f>Baza!ON8</f>
        <v>4.8755333590000003</v>
      </c>
      <c r="E10">
        <f>Baza!OO8</f>
        <v>1.4813689999999999</v>
      </c>
      <c r="F10">
        <f>Baza!OP8</f>
        <v>1.677249</v>
      </c>
      <c r="G10">
        <f>Baza!OQ8</f>
        <v>3.1586180000000001</v>
      </c>
      <c r="H10">
        <f>Baza!OR8</f>
        <v>0.17501856160000001</v>
      </c>
      <c r="I10">
        <f>Baza!OS8</f>
        <v>1.1867853039999999E-5</v>
      </c>
      <c r="J10">
        <f>Baza!OT8</f>
        <v>2.7935534159999998E-4</v>
      </c>
      <c r="K10">
        <f>Baza!OU8</f>
        <v>1.1867853039999999E-5</v>
      </c>
      <c r="L10">
        <f>Baza!OV8</f>
        <v>1.8836097620000001E-4</v>
      </c>
      <c r="M10">
        <f>Baza!OW8</f>
        <v>2.4594102380000001E-4</v>
      </c>
      <c r="N10">
        <f>Baza!OX8</f>
        <v>3.3414317840000002E-5</v>
      </c>
      <c r="O10">
        <f>Baza!OY8</f>
        <v>0.50633117240000003</v>
      </c>
      <c r="P10">
        <f>Baza!OZ8</f>
        <v>0.23758412079999999</v>
      </c>
      <c r="Q10">
        <f>Baza!PA8</f>
        <v>0.33219024019999999</v>
      </c>
      <c r="R10">
        <f>Baza!PB8</f>
        <v>10.15050379</v>
      </c>
      <c r="S10">
        <f>Baza!PC8</f>
        <v>87.082959560000006</v>
      </c>
    </row>
    <row r="11" spans="1:19" x14ac:dyDescent="0.2">
      <c r="A11" s="1" t="s">
        <v>250</v>
      </c>
      <c r="B11">
        <f>Baza!OL9</f>
        <v>0.28835789519999999</v>
      </c>
      <c r="C11">
        <f>Baza!OM9</f>
        <v>-0.54732557410000005</v>
      </c>
      <c r="D11">
        <f>Baza!ON9</f>
        <v>5.3335169120000003</v>
      </c>
      <c r="E11">
        <f>Baza!OO9</f>
        <v>1.6058460000000001</v>
      </c>
      <c r="F11">
        <f>Baza!OP9</f>
        <v>2.1851729999999998</v>
      </c>
      <c r="G11">
        <f>Baza!OQ9</f>
        <v>3.7910189999999999</v>
      </c>
      <c r="H11">
        <f>Baza!OR9</f>
        <v>0.2138170898</v>
      </c>
      <c r="I11">
        <f>Baza!OS9</f>
        <v>1.4927685740000001E-5</v>
      </c>
      <c r="J11">
        <f>Baza!OT9</f>
        <v>3.443082513E-4</v>
      </c>
      <c r="K11">
        <f>Baza!OU9</f>
        <v>1.4927685740000001E-5</v>
      </c>
      <c r="L11">
        <f>Baza!OV9</f>
        <v>2.2596060469999999E-4</v>
      </c>
      <c r="M11">
        <f>Baza!OW9</f>
        <v>3.0200239529999998E-4</v>
      </c>
      <c r="N11">
        <f>Baza!OX9</f>
        <v>4.2305855939999998E-5</v>
      </c>
      <c r="O11">
        <f>Baza!OY9</f>
        <v>0.60835220769999998</v>
      </c>
      <c r="P11">
        <f>Baza!OZ9</f>
        <v>0.2997804556</v>
      </c>
      <c r="Q11">
        <f>Baza!PA9</f>
        <v>0.4316510697</v>
      </c>
      <c r="R11">
        <f>Baza!PB9</f>
        <v>10.740144859999999</v>
      </c>
      <c r="S11">
        <f>Baza!PC9</f>
        <v>87.229690809999994</v>
      </c>
    </row>
    <row r="12" spans="1:19" x14ac:dyDescent="0.2">
      <c r="A12" s="1" t="s">
        <v>251</v>
      </c>
      <c r="B12">
        <f>Baza!OL10</f>
        <v>0.30724210130000001</v>
      </c>
      <c r="C12">
        <f>Baza!OM10</f>
        <v>-0.95140909439999999</v>
      </c>
      <c r="D12">
        <f>Baza!ON10</f>
        <v>5.199942107</v>
      </c>
      <c r="E12">
        <f>Baza!OO10</f>
        <v>1.9878899999999999</v>
      </c>
      <c r="F12">
        <f>Baza!OP10</f>
        <v>2.9203220000000001</v>
      </c>
      <c r="G12">
        <f>Baza!OQ10</f>
        <v>4.9082119999999998</v>
      </c>
      <c r="H12">
        <f>Baza!OR10</f>
        <v>0.2345535476</v>
      </c>
      <c r="I12">
        <f>Baza!OS10</f>
        <v>1.0117644430000001E-5</v>
      </c>
      <c r="J12">
        <f>Baza!OT10</f>
        <v>3.5606660089999999E-4</v>
      </c>
      <c r="K12">
        <f>Baza!OU10</f>
        <v>1.0117644430000001E-5</v>
      </c>
      <c r="L12">
        <f>Baza!OV10</f>
        <v>2.6077280380000002E-4</v>
      </c>
      <c r="M12">
        <f>Baza!OW10</f>
        <v>3.0806119619999998E-4</v>
      </c>
      <c r="N12">
        <f>Baza!OX10</f>
        <v>4.8005404730000001E-5</v>
      </c>
      <c r="O12">
        <f>Baza!OY10</f>
        <v>0.68368670600000003</v>
      </c>
      <c r="P12">
        <f>Baza!OZ10</f>
        <v>0.19288426459999999</v>
      </c>
      <c r="Q12">
        <f>Baza!PA10</f>
        <v>0.47444521410000001</v>
      </c>
      <c r="R12">
        <f>Baza!PB10</f>
        <v>7.5084289530000001</v>
      </c>
      <c r="S12">
        <f>Baza!PC10</f>
        <v>85.610064089999995</v>
      </c>
    </row>
    <row r="13" spans="1:19" x14ac:dyDescent="0.2">
      <c r="A13" s="1" t="s">
        <v>252</v>
      </c>
      <c r="B13">
        <f>Baza!OL11</f>
        <v>0.16050374040000001</v>
      </c>
      <c r="C13">
        <f>Baza!OM11</f>
        <v>-6.0638856050000002E-2</v>
      </c>
      <c r="D13">
        <f>Baza!ON11</f>
        <v>3.7690843599999999</v>
      </c>
      <c r="E13">
        <f>Baza!OO11</f>
        <v>1.394838</v>
      </c>
      <c r="F13">
        <f>Baza!OP11</f>
        <v>1.0167820000000001</v>
      </c>
      <c r="G13">
        <f>Baza!OQ11</f>
        <v>2.4116200000000001</v>
      </c>
      <c r="H13">
        <f>Baza!OR11</f>
        <v>0.12532097249999999</v>
      </c>
      <c r="I13">
        <f>Baza!OS11</f>
        <v>8.2049970879999998E-6</v>
      </c>
      <c r="J13">
        <f>Baza!OT11</f>
        <v>2.04189745E-4</v>
      </c>
      <c r="K13">
        <f>Baza!OU11</f>
        <v>8.2049970879999998E-6</v>
      </c>
      <c r="L13">
        <f>Baza!OV11</f>
        <v>1.3989406519999999E-4</v>
      </c>
      <c r="M13">
        <f>Baza!OW11</f>
        <v>1.8474793479999999E-4</v>
      </c>
      <c r="N13">
        <f>Baza!OX11</f>
        <v>1.944181025E-5</v>
      </c>
      <c r="O13">
        <f>Baza!OY11</f>
        <v>0.39180013019999999</v>
      </c>
      <c r="P13">
        <f>Baza!OZ11</f>
        <v>0.1640975412</v>
      </c>
      <c r="Q13">
        <f>Baza!PA11</f>
        <v>0.17741080570000001</v>
      </c>
      <c r="R13">
        <f>Baza!PB11</f>
        <v>9.676212413</v>
      </c>
      <c r="S13">
        <f>Baza!PC11</f>
        <v>89.044621599999999</v>
      </c>
    </row>
    <row r="14" spans="1:19" x14ac:dyDescent="0.2">
      <c r="A14" s="1" t="s">
        <v>253</v>
      </c>
      <c r="B14">
        <f>Baza!OL12</f>
        <v>0.20022883129999999</v>
      </c>
      <c r="C14">
        <f>Baza!OM12</f>
        <v>0.18916580920000001</v>
      </c>
      <c r="D14">
        <f>Baza!ON12</f>
        <v>3.7153706460000002</v>
      </c>
      <c r="E14">
        <f>Baza!OO12</f>
        <v>1.5399959999999999</v>
      </c>
      <c r="F14">
        <f>Baza!OP12</f>
        <v>1.2290570000000001</v>
      </c>
      <c r="G14">
        <f>Baza!OQ12</f>
        <v>2.769053</v>
      </c>
      <c r="H14">
        <f>Baza!OR12</f>
        <v>0.15625852730000001</v>
      </c>
      <c r="I14">
        <f>Baza!OS12</f>
        <v>1.1621526809999999E-5</v>
      </c>
      <c r="J14">
        <f>Baza!OT12</f>
        <v>2.5904201439999998E-4</v>
      </c>
      <c r="K14">
        <f>Baza!OU12</f>
        <v>1.1621526809999999E-5</v>
      </c>
      <c r="L14">
        <f>Baza!OV12</f>
        <v>1.7408430090000001E-4</v>
      </c>
      <c r="M14">
        <f>Baza!OW12</f>
        <v>2.3676469909999999E-4</v>
      </c>
      <c r="N14">
        <f>Baza!OX12</f>
        <v>2.2277315280000001E-5</v>
      </c>
      <c r="O14">
        <f>Baza!OY12</f>
        <v>0.4860754732</v>
      </c>
      <c r="P14">
        <f>Baza!OZ12</f>
        <v>0.23310832149999999</v>
      </c>
      <c r="Q14">
        <f>Baza!PA12</f>
        <v>0.19334782249999999</v>
      </c>
      <c r="R14">
        <f>Baza!PB12</f>
        <v>10.511143690000001</v>
      </c>
      <c r="S14">
        <f>Baza!PC12</f>
        <v>89.477099370000005</v>
      </c>
    </row>
    <row r="15" spans="1:19" x14ac:dyDescent="0.2">
      <c r="A15" s="1" t="s">
        <v>257</v>
      </c>
      <c r="B15">
        <f>Baza!OL14</f>
        <v>0.51479779930000003</v>
      </c>
      <c r="C15">
        <f>Baza!OM14</f>
        <v>0.1307224783</v>
      </c>
      <c r="D15">
        <f>Baza!ON14</f>
        <v>3.057293091</v>
      </c>
      <c r="E15">
        <f>Baza!OO14</f>
        <v>2.51857</v>
      </c>
      <c r="F15">
        <f>Baza!OP14</f>
        <v>2.1453500000000001</v>
      </c>
      <c r="G15">
        <f>Baza!OQ14</f>
        <v>4.6639200000000001</v>
      </c>
      <c r="H15">
        <f>Baza!OR14</f>
        <v>0.4091045573</v>
      </c>
      <c r="I15">
        <f>Baza!OS14</f>
        <v>2.6776158139999999E-5</v>
      </c>
      <c r="J15">
        <f>Baza!OT14</f>
        <v>6.8935120999999997E-4</v>
      </c>
      <c r="K15">
        <f>Baza!OU14</f>
        <v>2.6776158139999999E-5</v>
      </c>
      <c r="L15">
        <f>Baza!OV14</f>
        <v>4.6018062719999997E-4</v>
      </c>
      <c r="M15">
        <f>Baza!OW14</f>
        <v>6.339193728E-4</v>
      </c>
      <c r="N15">
        <f>Baza!OX14</f>
        <v>5.5431837210000001E-5</v>
      </c>
      <c r="O15">
        <f>Baza!OY14</f>
        <v>1.3034038189999999</v>
      </c>
      <c r="P15">
        <f>Baza!OZ14</f>
        <v>0.54154020530000002</v>
      </c>
      <c r="Q15">
        <f>Baza!PA14</f>
        <v>0.45749420149999998</v>
      </c>
      <c r="R15">
        <f>Baza!PB14</f>
        <v>10.68000196</v>
      </c>
      <c r="S15">
        <f>Baza!PC14</f>
        <v>90.268573470000007</v>
      </c>
    </row>
    <row r="16" spans="1:19" x14ac:dyDescent="0.2">
      <c r="A16" s="1" t="s">
        <v>255</v>
      </c>
      <c r="B16">
        <f>Baza!OL15</f>
        <v>7.9947581200000006E-2</v>
      </c>
      <c r="C16">
        <f>Baza!OM15</f>
        <v>6.6060482059999995E-2</v>
      </c>
      <c r="D16">
        <f>Baza!ON15</f>
        <v>3.3413847529999998</v>
      </c>
      <c r="E16">
        <f>Baza!OO15</f>
        <v>0.647787</v>
      </c>
      <c r="F16">
        <f>Baza!OP15</f>
        <v>0.65430999999999995</v>
      </c>
      <c r="G16">
        <f>Baza!OQ15</f>
        <v>1.3020970000000001</v>
      </c>
      <c r="H16">
        <f>Baza!OR15</f>
        <v>6.3129138560000006E-2</v>
      </c>
      <c r="I16">
        <f>Baza!OS15</f>
        <v>4.1126629299999996E-6</v>
      </c>
      <c r="J16">
        <f>Baza!OT15</f>
        <v>1.058451756E-4</v>
      </c>
      <c r="K16">
        <f>Baza!OU15</f>
        <v>4.1126629299999996E-6</v>
      </c>
      <c r="L16">
        <f>Baza!OV15</f>
        <v>7.0762085190000004E-5</v>
      </c>
      <c r="M16">
        <f>Baza!OW15</f>
        <v>9.6956914809999994E-5</v>
      </c>
      <c r="N16">
        <f>Baza!OX15</f>
        <v>8.8882608259999992E-6</v>
      </c>
      <c r="O16">
        <f>Baza!OY15</f>
        <v>0.20009699689999999</v>
      </c>
      <c r="P16">
        <f>Baza!OZ15</f>
        <v>8.3092727640000003E-2</v>
      </c>
      <c r="Q16">
        <f>Baza!PA15</f>
        <v>7.7537689519999994E-2</v>
      </c>
      <c r="R16">
        <f>Baza!PB15</f>
        <v>10.5449933</v>
      </c>
      <c r="S16">
        <f>Baza!PC15</f>
        <v>90.134322429999997</v>
      </c>
    </row>
    <row r="17" spans="1:19" x14ac:dyDescent="0.2">
      <c r="A17" s="1" t="s">
        <v>256</v>
      </c>
      <c r="B17">
        <f>Baza!OL16</f>
        <v>0.16498016090000001</v>
      </c>
      <c r="C17">
        <f>Baza!OM16</f>
        <v>3.2983250499999998E-2</v>
      </c>
      <c r="D17">
        <f>Baza!ON16</f>
        <v>3.0781483810000001</v>
      </c>
      <c r="E17">
        <f>Baza!OO16</f>
        <v>1.003414</v>
      </c>
      <c r="F17">
        <f>Baza!OP16</f>
        <v>0.82752099999999995</v>
      </c>
      <c r="G17">
        <f>Baza!OQ16</f>
        <v>1.830935</v>
      </c>
      <c r="H17">
        <f>Baza!OR16</f>
        <v>0.13103645959999999</v>
      </c>
      <c r="I17">
        <f>Baza!OS16</f>
        <v>8.1399663700000006E-6</v>
      </c>
      <c r="J17">
        <f>Baza!OT16</f>
        <v>2.1924205210000001E-4</v>
      </c>
      <c r="K17">
        <f>Baza!OU16</f>
        <v>8.1399663700000006E-6</v>
      </c>
      <c r="L17">
        <f>Baza!OV16</f>
        <v>1.4779565090000001E-4</v>
      </c>
      <c r="M17">
        <f>Baza!OW16</f>
        <v>2.0077034910000001E-4</v>
      </c>
      <c r="N17">
        <f>Baza!OX16</f>
        <v>1.8471703049999999E-5</v>
      </c>
      <c r="O17">
        <f>Baza!OY16</f>
        <v>0.4182475672</v>
      </c>
      <c r="P17">
        <f>Baza!OZ16</f>
        <v>0.16394200310000001</v>
      </c>
      <c r="Q17">
        <f>Baza!PA16</f>
        <v>0.15757996730000001</v>
      </c>
      <c r="R17">
        <f>Baza!PB16</f>
        <v>10.28796533</v>
      </c>
      <c r="S17">
        <f>Baza!PC16</f>
        <v>89.983382759999998</v>
      </c>
    </row>
    <row r="18" spans="1:19" x14ac:dyDescent="0.2">
      <c r="A18" s="1" t="s">
        <v>258</v>
      </c>
      <c r="B18">
        <f>Baza!OL17</f>
        <v>7.9057705529999994E-2</v>
      </c>
      <c r="C18">
        <f>Baza!OM17</f>
        <v>0.10519235909999999</v>
      </c>
      <c r="D18">
        <f>Baza!ON17</f>
        <v>3.38033911</v>
      </c>
      <c r="E18">
        <f>Baza!OO17</f>
        <v>0.60575100000000004</v>
      </c>
      <c r="F18">
        <f>Baza!OP17</f>
        <v>0.62495500000000004</v>
      </c>
      <c r="G18">
        <f>Baza!OQ17</f>
        <v>1.2307060000000001</v>
      </c>
      <c r="H18">
        <f>Baza!OR17</f>
        <v>6.2478782199999999E-2</v>
      </c>
      <c r="I18">
        <f>Baza!OS17</f>
        <v>4.1197521110000004E-6</v>
      </c>
      <c r="J18">
        <f>Baza!OT17</f>
        <v>1.050227185E-4</v>
      </c>
      <c r="K18">
        <f>Baza!OU17</f>
        <v>4.1197521110000004E-6</v>
      </c>
      <c r="L18">
        <f>Baza!OV17</f>
        <v>7.0096730209999998E-5</v>
      </c>
      <c r="M18">
        <f>Baza!OW17</f>
        <v>9.6431269790000004E-5</v>
      </c>
      <c r="N18">
        <f>Baza!OX17</f>
        <v>8.5914487560000007E-6</v>
      </c>
      <c r="O18">
        <f>Baza!OY17</f>
        <v>0.19891454010000001</v>
      </c>
      <c r="P18">
        <f>Baza!OZ17</f>
        <v>8.3176429420000003E-2</v>
      </c>
      <c r="Q18">
        <f>Baza!PA17</f>
        <v>7.3938232270000001E-2</v>
      </c>
      <c r="R18">
        <f>Baza!PB17</f>
        <v>10.582253959999999</v>
      </c>
      <c r="S18">
        <f>Baza!PC17</f>
        <v>90.376911239999998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9"/>
  <sheetViews>
    <sheetView workbookViewId="0">
      <selection activeCell="D24" sqref="D24"/>
    </sheetView>
  </sheetViews>
  <sheetFormatPr baseColWidth="10" defaultColWidth="8.83203125" defaultRowHeight="15" x14ac:dyDescent="0.2"/>
  <cols>
    <col min="2" max="2" width="12" bestFit="1" customWidth="1"/>
    <col min="3" max="3" width="12.6640625" bestFit="1" customWidth="1"/>
    <col min="4" max="4" width="12" bestFit="1" customWidth="1"/>
    <col min="5" max="7" width="10" bestFit="1" customWidth="1"/>
    <col min="8" max="10" width="12" bestFit="1" customWidth="1"/>
    <col min="11" max="11" width="12.5" bestFit="1" customWidth="1"/>
    <col min="12" max="12" width="19.83203125" bestFit="1" customWidth="1"/>
    <col min="13" max="13" width="19.33203125" bestFit="1" customWidth="1"/>
    <col min="14" max="19" width="12" bestFit="1" customWidth="1"/>
  </cols>
  <sheetData>
    <row r="1" spans="1:19" x14ac:dyDescent="0.2">
      <c r="B1" t="str">
        <f>B4</f>
        <v>Sq</v>
      </c>
      <c r="C1" t="str">
        <f t="shared" ref="C1:S1" si="0">C4</f>
        <v>Ssk</v>
      </c>
      <c r="D1" t="str">
        <f t="shared" si="0"/>
        <v>Sku</v>
      </c>
      <c r="E1" t="str">
        <f t="shared" si="0"/>
        <v>Sp</v>
      </c>
      <c r="F1" t="str">
        <f t="shared" si="0"/>
        <v>Sv</v>
      </c>
      <c r="G1" t="str">
        <f t="shared" si="0"/>
        <v>Sz</v>
      </c>
      <c r="H1" t="str">
        <f t="shared" si="0"/>
        <v>Sa</v>
      </c>
      <c r="I1" t="str">
        <f t="shared" si="0"/>
        <v>Vm (p = 10%)</v>
      </c>
      <c r="J1" t="str">
        <f t="shared" si="0"/>
        <v>Vv (p = 10%)</v>
      </c>
      <c r="K1" t="str">
        <f t="shared" si="0"/>
        <v>Vmp (p = 10%)</v>
      </c>
      <c r="L1" t="str">
        <f t="shared" si="0"/>
        <v>Vmc (p = 10%, q = 80%)</v>
      </c>
      <c r="M1" t="str">
        <f t="shared" si="0"/>
        <v>Vvc (p = 10%, q = 80%)</v>
      </c>
      <c r="N1" t="str">
        <f t="shared" si="0"/>
        <v>Vvv (p = 80%)</v>
      </c>
      <c r="O1" t="str">
        <f t="shared" si="0"/>
        <v>Sk</v>
      </c>
      <c r="P1" t="str">
        <f t="shared" si="0"/>
        <v>Spk</v>
      </c>
      <c r="Q1" t="str">
        <f t="shared" si="0"/>
        <v>Svk</v>
      </c>
      <c r="R1" t="str">
        <f t="shared" si="0"/>
        <v>Smrk1</v>
      </c>
      <c r="S1" t="str">
        <f t="shared" si="0"/>
        <v>Smrk2</v>
      </c>
    </row>
    <row r="3" spans="1:19" x14ac:dyDescent="0.2">
      <c r="B3">
        <f>Baza!PD1</f>
        <v>71</v>
      </c>
      <c r="C3">
        <f>Baza!PE1</f>
        <v>71</v>
      </c>
      <c r="D3">
        <f>Baza!PF1</f>
        <v>71</v>
      </c>
      <c r="E3">
        <f>Baza!PG1</f>
        <v>71</v>
      </c>
      <c r="F3">
        <f>Baza!PH1</f>
        <v>71</v>
      </c>
      <c r="G3">
        <f>Baza!PI1</f>
        <v>71</v>
      </c>
      <c r="H3">
        <f>Baza!PJ1</f>
        <v>71</v>
      </c>
      <c r="I3">
        <f>Baza!PK1</f>
        <v>71</v>
      </c>
      <c r="J3">
        <f>Baza!PL1</f>
        <v>71</v>
      </c>
      <c r="K3">
        <f>Baza!PM1</f>
        <v>71</v>
      </c>
      <c r="L3">
        <f>Baza!PN1</f>
        <v>71</v>
      </c>
      <c r="M3">
        <f>Baza!PO1</f>
        <v>71</v>
      </c>
      <c r="N3">
        <f>Baza!PP1</f>
        <v>71</v>
      </c>
      <c r="O3">
        <f>Baza!PQ1</f>
        <v>71</v>
      </c>
      <c r="P3">
        <f>Baza!PR1</f>
        <v>71</v>
      </c>
      <c r="Q3">
        <f>Baza!PS1</f>
        <v>71</v>
      </c>
      <c r="R3">
        <f>Baza!PT1</f>
        <v>71</v>
      </c>
      <c r="S3">
        <f>Baza!PU1</f>
        <v>71</v>
      </c>
    </row>
    <row r="4" spans="1:19" x14ac:dyDescent="0.2">
      <c r="B4" t="str">
        <f>Baza!PD2</f>
        <v>Sq</v>
      </c>
      <c r="C4" t="str">
        <f>Baza!PE2</f>
        <v>Ssk</v>
      </c>
      <c r="D4" t="str">
        <f>Baza!PF2</f>
        <v>Sku</v>
      </c>
      <c r="E4" t="str">
        <f>Baza!PG2</f>
        <v>Sp</v>
      </c>
      <c r="F4" t="str">
        <f>Baza!PH2</f>
        <v>Sv</v>
      </c>
      <c r="G4" t="str">
        <f>Baza!PI2</f>
        <v>Sz</v>
      </c>
      <c r="H4" t="str">
        <f>Baza!PJ2</f>
        <v>Sa</v>
      </c>
      <c r="I4" t="str">
        <f>Baza!PK2</f>
        <v>Vm (p = 10%)</v>
      </c>
      <c r="J4" t="str">
        <f>Baza!PL2</f>
        <v>Vv (p = 10%)</v>
      </c>
      <c r="K4" t="str">
        <f>Baza!PM2</f>
        <v>Vmp (p = 10%)</v>
      </c>
      <c r="L4" t="str">
        <f>Baza!PN2</f>
        <v>Vmc (p = 10%, q = 80%)</v>
      </c>
      <c r="M4" t="str">
        <f>Baza!PO2</f>
        <v>Vvc (p = 10%, q = 80%)</v>
      </c>
      <c r="N4" t="str">
        <f>Baza!PP2</f>
        <v>Vvv (p = 80%)</v>
      </c>
      <c r="O4" t="str">
        <f>Baza!PQ2</f>
        <v>Sk</v>
      </c>
      <c r="P4" t="str">
        <f>Baza!PR2</f>
        <v>Spk</v>
      </c>
      <c r="Q4" t="str">
        <f>Baza!PS2</f>
        <v>Svk</v>
      </c>
      <c r="R4" t="str">
        <f>Baza!PT2</f>
        <v>Smrk1</v>
      </c>
      <c r="S4" t="str">
        <f>Baza!PU2</f>
        <v>Smrk2</v>
      </c>
    </row>
    <row r="5" spans="1:19" x14ac:dyDescent="0.2">
      <c r="B5" t="str">
        <f>Baza!PD3</f>
        <v>µm</v>
      </c>
      <c r="C5" t="str">
        <f>Baza!PE3</f>
        <v>&lt;no unit&gt;</v>
      </c>
      <c r="D5" t="str">
        <f>Baza!PF3</f>
        <v>&lt;no unit&gt;</v>
      </c>
      <c r="E5" t="str">
        <f>Baza!PG3</f>
        <v>µm</v>
      </c>
      <c r="F5" t="str">
        <f>Baza!PH3</f>
        <v>µm</v>
      </c>
      <c r="G5" t="str">
        <f>Baza!PI3</f>
        <v>µm</v>
      </c>
      <c r="H5" t="str">
        <f>Baza!PJ3</f>
        <v>µm</v>
      </c>
      <c r="I5" t="str">
        <f>Baza!PK3</f>
        <v>mm³/mm²</v>
      </c>
      <c r="J5" t="str">
        <f>Baza!PL3</f>
        <v>mm³/mm²</v>
      </c>
      <c r="K5" t="str">
        <f>Baza!PM3</f>
        <v>mm³/mm²</v>
      </c>
      <c r="L5" t="str">
        <f>Baza!PN3</f>
        <v>mm³/mm²</v>
      </c>
      <c r="M5" t="str">
        <f>Baza!PO3</f>
        <v>mm³/mm²</v>
      </c>
      <c r="N5" t="str">
        <f>Baza!PP3</f>
        <v>mm³/mm²</v>
      </c>
      <c r="O5" t="str">
        <f>Baza!PQ3</f>
        <v>µm</v>
      </c>
      <c r="P5" t="str">
        <f>Baza!PR3</f>
        <v>µm</v>
      </c>
      <c r="Q5" t="str">
        <f>Baza!PS3</f>
        <v>µm</v>
      </c>
      <c r="R5" t="str">
        <f>Baza!PT3</f>
        <v>%</v>
      </c>
      <c r="S5" t="str">
        <f>Baza!PU3</f>
        <v>%</v>
      </c>
    </row>
    <row r="6" spans="1:19" x14ac:dyDescent="0.2">
      <c r="A6" s="1" t="s">
        <v>245</v>
      </c>
      <c r="B6">
        <f>Baza!PD4</f>
        <v>0.17281589550000001</v>
      </c>
      <c r="C6">
        <f>Baza!PE4</f>
        <v>-0.22288334500000001</v>
      </c>
      <c r="D6">
        <f>Baza!PF4</f>
        <v>3.4690035049999999</v>
      </c>
      <c r="E6">
        <f>Baza!PG4</f>
        <v>0.94520919999999997</v>
      </c>
      <c r="F6">
        <f>Baza!PH4</f>
        <v>0.95198340000000004</v>
      </c>
      <c r="G6">
        <f>Baza!PI4</f>
        <v>1.8971925999999999</v>
      </c>
      <c r="H6">
        <f>Baza!PJ4</f>
        <v>0.13480970840000001</v>
      </c>
      <c r="I6">
        <f>Baza!PK4</f>
        <v>8.0888167870000004E-6</v>
      </c>
      <c r="J6">
        <f>Baza!PL4</f>
        <v>2.195048921E-4</v>
      </c>
      <c r="K6">
        <f>Baza!PM4</f>
        <v>8.0888167870000004E-6</v>
      </c>
      <c r="L6">
        <f>Baza!PN4</f>
        <v>1.4978631260000001E-4</v>
      </c>
      <c r="M6">
        <f>Baza!PO4</f>
        <v>1.969203874E-4</v>
      </c>
      <c r="N6">
        <f>Baza!PP4</f>
        <v>2.2584504699999999E-5</v>
      </c>
      <c r="O6">
        <f>Baza!PQ4</f>
        <v>0.4147202666</v>
      </c>
      <c r="P6">
        <f>Baza!PR4</f>
        <v>0.16173930559999999</v>
      </c>
      <c r="Q6">
        <f>Baza!PS4</f>
        <v>0.20892676369999999</v>
      </c>
      <c r="R6">
        <f>Baza!PT4</f>
        <v>9.8178918759999991</v>
      </c>
      <c r="S6">
        <f>Baza!PU4</f>
        <v>88.269728549999996</v>
      </c>
    </row>
    <row r="7" spans="1:19" x14ac:dyDescent="0.2">
      <c r="A7" s="1" t="s">
        <v>246</v>
      </c>
      <c r="B7">
        <f>Baza!PD5</f>
        <v>0.19639564030000001</v>
      </c>
      <c r="C7">
        <f>Baza!PE5</f>
        <v>-0.2288992054</v>
      </c>
      <c r="D7">
        <f>Baza!PF5</f>
        <v>3.619945586</v>
      </c>
      <c r="E7">
        <f>Baza!PG5</f>
        <v>1.0710139999999999</v>
      </c>
      <c r="F7">
        <f>Baza!PH5</f>
        <v>1.1420699999999999</v>
      </c>
      <c r="G7">
        <f>Baza!PI5</f>
        <v>2.2130839999999998</v>
      </c>
      <c r="H7">
        <f>Baza!PJ5</f>
        <v>0.15215465410000001</v>
      </c>
      <c r="I7">
        <f>Baza!PK5</f>
        <v>9.5476152570000005E-6</v>
      </c>
      <c r="J7">
        <f>Baza!PL5</f>
        <v>2.4785922059999998E-4</v>
      </c>
      <c r="K7">
        <f>Baza!PM5</f>
        <v>9.5476152570000005E-6</v>
      </c>
      <c r="L7">
        <f>Baza!PN5</f>
        <v>1.680197689E-4</v>
      </c>
      <c r="M7">
        <f>Baza!PO5</f>
        <v>2.2177523109999999E-4</v>
      </c>
      <c r="N7">
        <f>Baza!PP5</f>
        <v>2.6083989500000001E-5</v>
      </c>
      <c r="O7">
        <f>Baza!PQ5</f>
        <v>0.4594865548</v>
      </c>
      <c r="P7">
        <f>Baza!PR5</f>
        <v>0.19150016980000001</v>
      </c>
      <c r="Q7">
        <f>Baza!PS5</f>
        <v>0.2460963709</v>
      </c>
      <c r="R7">
        <f>Baza!PT5</f>
        <v>10.13702857</v>
      </c>
      <c r="S7">
        <f>Baza!PU5</f>
        <v>87.911524709999995</v>
      </c>
    </row>
    <row r="8" spans="1:19" x14ac:dyDescent="0.2">
      <c r="A8" s="1" t="s">
        <v>247</v>
      </c>
      <c r="B8">
        <f>Baza!PD6</f>
        <v>0.23859958000000001</v>
      </c>
      <c r="C8">
        <f>Baza!PE6</f>
        <v>-0.1683368348</v>
      </c>
      <c r="D8">
        <f>Baza!PF6</f>
        <v>3.669769353</v>
      </c>
      <c r="E8">
        <f>Baza!PG6</f>
        <v>1.158399</v>
      </c>
      <c r="F8">
        <f>Baza!PH6</f>
        <v>1.3026770000000001</v>
      </c>
      <c r="G8">
        <f>Baza!PI6</f>
        <v>2.4610759999999998</v>
      </c>
      <c r="H8">
        <f>Baza!PJ6</f>
        <v>0.18371273769999999</v>
      </c>
      <c r="I8">
        <f>Baza!PK6</f>
        <v>1.227346633E-5</v>
      </c>
      <c r="J8">
        <f>Baza!PL6</f>
        <v>3.0413736740000002E-4</v>
      </c>
      <c r="K8">
        <f>Baza!PM6</f>
        <v>1.227346633E-5</v>
      </c>
      <c r="L8">
        <f>Baza!PN6</f>
        <v>2.001141394E-4</v>
      </c>
      <c r="M8">
        <f>Baza!PO6</f>
        <v>2.7268286060000001E-4</v>
      </c>
      <c r="N8">
        <f>Baza!PP6</f>
        <v>3.1454506810000001E-5</v>
      </c>
      <c r="O8">
        <f>Baza!PQ6</f>
        <v>0.54757268699999995</v>
      </c>
      <c r="P8">
        <f>Baza!PR6</f>
        <v>0.24890273360000001</v>
      </c>
      <c r="Q8">
        <f>Baza!PS6</f>
        <v>0.30106210290000002</v>
      </c>
      <c r="R8">
        <f>Baza!PT6</f>
        <v>10.98008692</v>
      </c>
      <c r="S8">
        <f>Baza!PU6</f>
        <v>88.201685260000005</v>
      </c>
    </row>
    <row r="9" spans="1:19" x14ac:dyDescent="0.2">
      <c r="A9" s="1" t="s">
        <v>248</v>
      </c>
      <c r="B9">
        <f>Baza!PD7</f>
        <v>0.20539428739999999</v>
      </c>
      <c r="C9">
        <f>Baza!PE7</f>
        <v>-0.20165772779999999</v>
      </c>
      <c r="D9">
        <f>Baza!PF7</f>
        <v>3.4887759260000002</v>
      </c>
      <c r="E9">
        <f>Baza!PG7</f>
        <v>1.0507610000000001</v>
      </c>
      <c r="F9">
        <f>Baza!PH7</f>
        <v>1.1212470000000001</v>
      </c>
      <c r="G9">
        <f>Baza!PI7</f>
        <v>2.1720079999999999</v>
      </c>
      <c r="H9">
        <f>Baza!PJ7</f>
        <v>0.1598887833</v>
      </c>
      <c r="I9">
        <f>Baza!PK7</f>
        <v>1.0094463629999999E-5</v>
      </c>
      <c r="J9">
        <f>Baza!PL7</f>
        <v>2.588657175E-4</v>
      </c>
      <c r="K9">
        <f>Baza!PM7</f>
        <v>1.0094463629999999E-5</v>
      </c>
      <c r="L9">
        <f>Baza!PN7</f>
        <v>1.7700162730000001E-4</v>
      </c>
      <c r="M9">
        <f>Baza!PO7</f>
        <v>2.319923727E-4</v>
      </c>
      <c r="N9">
        <f>Baza!PP7</f>
        <v>2.687334472E-5</v>
      </c>
      <c r="O9">
        <f>Baza!PQ7</f>
        <v>0.49054888229999999</v>
      </c>
      <c r="P9">
        <f>Baza!PR7</f>
        <v>0.20150975430000001</v>
      </c>
      <c r="Q9">
        <f>Baza!PS7</f>
        <v>0.25117420540000002</v>
      </c>
      <c r="R9">
        <f>Baza!PT7</f>
        <v>9.6689821429999991</v>
      </c>
      <c r="S9">
        <f>Baza!PU7</f>
        <v>88.246164730000004</v>
      </c>
    </row>
    <row r="10" spans="1:19" x14ac:dyDescent="0.2">
      <c r="A10" s="1" t="s">
        <v>249</v>
      </c>
      <c r="B10">
        <f>Baza!PD8</f>
        <v>0.22373667259999999</v>
      </c>
      <c r="C10">
        <f>Baza!PE8</f>
        <v>-0.33886680200000002</v>
      </c>
      <c r="D10">
        <f>Baza!PF8</f>
        <v>3.767996981</v>
      </c>
      <c r="E10">
        <f>Baza!PG8</f>
        <v>1.1546369999999999</v>
      </c>
      <c r="F10">
        <f>Baza!PH8</f>
        <v>1.264205</v>
      </c>
      <c r="G10">
        <f>Baza!PI8</f>
        <v>2.4188420000000002</v>
      </c>
      <c r="H10">
        <f>Baza!PJ8</f>
        <v>0.17193864270000001</v>
      </c>
      <c r="I10">
        <f>Baza!PK8</f>
        <v>1.072502769E-5</v>
      </c>
      <c r="J10">
        <f>Baza!PL8</f>
        <v>2.7690080129999999E-4</v>
      </c>
      <c r="K10">
        <f>Baza!PM8</f>
        <v>1.072502769E-5</v>
      </c>
      <c r="L10">
        <f>Baza!PN8</f>
        <v>1.8848720899999999E-4</v>
      </c>
      <c r="M10">
        <f>Baza!PO8</f>
        <v>2.4543779100000003E-4</v>
      </c>
      <c r="N10">
        <f>Baza!PP8</f>
        <v>3.1463010329999998E-5</v>
      </c>
      <c r="O10">
        <f>Baza!PQ8</f>
        <v>0.50693196480000002</v>
      </c>
      <c r="P10">
        <f>Baza!PR8</f>
        <v>0.21494199520000001</v>
      </c>
      <c r="Q10">
        <f>Baza!PS8</f>
        <v>0.30170177510000001</v>
      </c>
      <c r="R10">
        <f>Baza!PT8</f>
        <v>10.070961520000001</v>
      </c>
      <c r="S10">
        <f>Baza!PU8</f>
        <v>87.080890859999997</v>
      </c>
    </row>
    <row r="11" spans="1:19" x14ac:dyDescent="0.2">
      <c r="A11" s="1" t="s">
        <v>250</v>
      </c>
      <c r="B11">
        <f>Baza!PD9</f>
        <v>0.27546599490000001</v>
      </c>
      <c r="C11">
        <f>Baza!PE9</f>
        <v>-0.36195087869999998</v>
      </c>
      <c r="D11">
        <f>Baza!PF9</f>
        <v>3.914514681</v>
      </c>
      <c r="E11">
        <f>Baza!PG9</f>
        <v>1.2743420000000001</v>
      </c>
      <c r="F11">
        <f>Baza!PH9</f>
        <v>1.5253209999999999</v>
      </c>
      <c r="G11">
        <f>Baza!PI9</f>
        <v>2.7996629999999998</v>
      </c>
      <c r="H11">
        <f>Baza!PJ9</f>
        <v>0.20973533589999999</v>
      </c>
      <c r="I11">
        <f>Baza!PK9</f>
        <v>1.3581618530000001E-5</v>
      </c>
      <c r="J11">
        <f>Baza!PL9</f>
        <v>3.4131802160000001E-4</v>
      </c>
      <c r="K11">
        <f>Baza!PM9</f>
        <v>1.3581618530000001E-5</v>
      </c>
      <c r="L11">
        <f>Baza!PN9</f>
        <v>2.261328446E-4</v>
      </c>
      <c r="M11">
        <f>Baza!PO9</f>
        <v>3.0178315540000002E-4</v>
      </c>
      <c r="N11">
        <f>Baza!PP9</f>
        <v>3.9534866280000002E-5</v>
      </c>
      <c r="O11">
        <f>Baza!PQ9</f>
        <v>0.60889393930000002</v>
      </c>
      <c r="P11">
        <f>Baza!PR9</f>
        <v>0.27450638919999998</v>
      </c>
      <c r="Q11">
        <f>Baza!PS9</f>
        <v>0.38824796610000001</v>
      </c>
      <c r="R11">
        <f>Baza!PT9</f>
        <v>10.70646932</v>
      </c>
      <c r="S11">
        <f>Baza!PU9</f>
        <v>87.237645950000001</v>
      </c>
    </row>
    <row r="12" spans="1:19" x14ac:dyDescent="0.2">
      <c r="A12" s="1" t="s">
        <v>251</v>
      </c>
      <c r="B12">
        <f>Baza!PD10</f>
        <v>0.30015601850000001</v>
      </c>
      <c r="C12">
        <f>Baza!PE10</f>
        <v>-0.7721629941</v>
      </c>
      <c r="D12">
        <f>Baza!PF10</f>
        <v>4.0560840230000004</v>
      </c>
      <c r="E12">
        <f>Baza!PG10</f>
        <v>1.862762</v>
      </c>
      <c r="F12">
        <f>Baza!PH10</f>
        <v>2.0691290000000002</v>
      </c>
      <c r="G12">
        <f>Baza!PI10</f>
        <v>3.9318909999999998</v>
      </c>
      <c r="H12">
        <f>Baza!PJ10</f>
        <v>0.23271194980000001</v>
      </c>
      <c r="I12">
        <f>Baza!PK10</f>
        <v>9.6858791840000006E-6</v>
      </c>
      <c r="J12">
        <f>Baza!PL10</f>
        <v>3.537877261E-4</v>
      </c>
      <c r="K12">
        <f>Baza!PM10</f>
        <v>9.6858791840000006E-6</v>
      </c>
      <c r="L12">
        <f>Baza!PN10</f>
        <v>2.6153220260000001E-4</v>
      </c>
      <c r="M12">
        <f>Baza!PO10</f>
        <v>3.074127974E-4</v>
      </c>
      <c r="N12">
        <f>Baza!PP10</f>
        <v>4.637492868E-5</v>
      </c>
      <c r="O12">
        <f>Baza!PQ10</f>
        <v>0.68575344949999995</v>
      </c>
      <c r="P12">
        <f>Baza!PR10</f>
        <v>0.18263108829999999</v>
      </c>
      <c r="Q12">
        <f>Baza!PS10</f>
        <v>0.45141964800000001</v>
      </c>
      <c r="R12">
        <f>Baza!PT10</f>
        <v>7.2986197300000004</v>
      </c>
      <c r="S12">
        <f>Baza!PU10</f>
        <v>85.60159462</v>
      </c>
    </row>
    <row r="13" spans="1:19" x14ac:dyDescent="0.2">
      <c r="A13" s="1" t="s">
        <v>252</v>
      </c>
      <c r="B13">
        <f>Baza!PD11</f>
        <v>0.1585146643</v>
      </c>
      <c r="C13">
        <f>Baza!PE11</f>
        <v>-6.0627524109999997E-2</v>
      </c>
      <c r="D13">
        <f>Baza!PF11</f>
        <v>3.4867824490000001</v>
      </c>
      <c r="E13">
        <f>Baza!PG11</f>
        <v>1.184204</v>
      </c>
      <c r="F13">
        <f>Baza!PH11</f>
        <v>0.93672299999999997</v>
      </c>
      <c r="G13">
        <f>Baza!PI11</f>
        <v>2.120927</v>
      </c>
      <c r="H13">
        <f>Baza!PJ11</f>
        <v>0.1246531709</v>
      </c>
      <c r="I13">
        <f>Baza!PK11</f>
        <v>7.7655601629999994E-6</v>
      </c>
      <c r="J13">
        <f>Baza!PL11</f>
        <v>2.0394268510000001E-4</v>
      </c>
      <c r="K13">
        <f>Baza!PM11</f>
        <v>7.7655601629999994E-6</v>
      </c>
      <c r="L13">
        <f>Baza!PN11</f>
        <v>1.402419357E-4</v>
      </c>
      <c r="M13">
        <f>Baza!PO11</f>
        <v>1.8494106429999999E-4</v>
      </c>
      <c r="N13">
        <f>Baza!PP11</f>
        <v>1.9001620850000001E-5</v>
      </c>
      <c r="O13">
        <f>Baza!PQ11</f>
        <v>0.39281930409999999</v>
      </c>
      <c r="P13">
        <f>Baza!PR11</f>
        <v>0.15499491909999999</v>
      </c>
      <c r="Q13">
        <f>Baza!PS11</f>
        <v>0.1693152178</v>
      </c>
      <c r="R13">
        <f>Baza!PT11</f>
        <v>9.6249731129999994</v>
      </c>
      <c r="S13">
        <f>Baza!PU11</f>
        <v>89.058143639999997</v>
      </c>
    </row>
    <row r="14" spans="1:19" x14ac:dyDescent="0.2">
      <c r="A14" s="1" t="s">
        <v>253</v>
      </c>
      <c r="B14">
        <f>Baza!PD12</f>
        <v>0.19788505840000001</v>
      </c>
      <c r="C14">
        <f>Baza!PE12</f>
        <v>0.16660593409999999</v>
      </c>
      <c r="D14">
        <f>Baza!PF12</f>
        <v>3.4769314489999998</v>
      </c>
      <c r="E14">
        <f>Baza!PG12</f>
        <v>1.374423</v>
      </c>
      <c r="F14">
        <f>Baza!PH12</f>
        <v>1.1393660000000001</v>
      </c>
      <c r="G14">
        <f>Baza!PI12</f>
        <v>2.5137890000000001</v>
      </c>
      <c r="H14">
        <f>Baza!PJ12</f>
        <v>0.1554293145</v>
      </c>
      <c r="I14">
        <f>Baza!PK12</f>
        <v>1.105854069E-5</v>
      </c>
      <c r="J14">
        <f>Baza!PL12</f>
        <v>2.5835782989999998E-4</v>
      </c>
      <c r="K14">
        <f>Baza!PM12</f>
        <v>1.105854069E-5</v>
      </c>
      <c r="L14">
        <f>Baza!PN12</f>
        <v>1.7436281959999999E-4</v>
      </c>
      <c r="M14">
        <f>Baza!PO12</f>
        <v>2.3650618039999999E-4</v>
      </c>
      <c r="N14">
        <f>Baza!PP12</f>
        <v>2.1851649510000001E-5</v>
      </c>
      <c r="O14">
        <f>Baza!PQ12</f>
        <v>0.48730207920000002</v>
      </c>
      <c r="P14">
        <f>Baza!PR12</f>
        <v>0.22208608499999999</v>
      </c>
      <c r="Q14">
        <f>Baza!PS12</f>
        <v>0.18515346529999999</v>
      </c>
      <c r="R14">
        <f>Baza!PT12</f>
        <v>10.431731490000001</v>
      </c>
      <c r="S14">
        <f>Baza!PU12</f>
        <v>89.498987130000003</v>
      </c>
    </row>
    <row r="15" spans="1:19" x14ac:dyDescent="0.2">
      <c r="A15" s="1" t="s">
        <v>254</v>
      </c>
      <c r="B15">
        <f>Baza!PD13</f>
        <v>0.49712111240000001</v>
      </c>
      <c r="C15">
        <f>Baza!PE13</f>
        <v>0.1071993451</v>
      </c>
      <c r="D15">
        <f>Baza!PF13</f>
        <v>2.8407418660000001</v>
      </c>
      <c r="E15">
        <f>Baza!PG13</f>
        <v>1.9698388</v>
      </c>
      <c r="F15">
        <f>Baza!PH13</f>
        <v>1.8858286</v>
      </c>
      <c r="G15">
        <f>Baza!PI13</f>
        <v>3.8556674000000002</v>
      </c>
      <c r="H15">
        <f>Baza!PJ13</f>
        <v>0.39808212100000001</v>
      </c>
      <c r="I15">
        <f>Baza!PK13</f>
        <v>2.4379651670000001E-5</v>
      </c>
      <c r="J15">
        <f>Baza!PL13</f>
        <v>6.7431031399999995E-4</v>
      </c>
      <c r="K15">
        <f>Baza!PM13</f>
        <v>2.4379651670000001E-5</v>
      </c>
      <c r="L15">
        <f>Baza!PN13</f>
        <v>4.5150986659999999E-4</v>
      </c>
      <c r="M15">
        <f>Baza!PO13</f>
        <v>6.2138163340000004E-4</v>
      </c>
      <c r="N15">
        <f>Baza!PP13</f>
        <v>5.2928680569999999E-5</v>
      </c>
      <c r="O15">
        <f>Baza!PQ13</f>
        <v>1.280565467</v>
      </c>
      <c r="P15">
        <f>Baza!PR13</f>
        <v>0.49490428219999999</v>
      </c>
      <c r="Q15">
        <f>Baza!PS13</f>
        <v>0.42082559289999999</v>
      </c>
      <c r="R15">
        <f>Baza!PT13</f>
        <v>10.628206799999999</v>
      </c>
      <c r="S15">
        <f>Baza!PU13</f>
        <v>90.332786429999999</v>
      </c>
    </row>
    <row r="16" spans="1:19" x14ac:dyDescent="0.2">
      <c r="A16" s="1" t="s">
        <v>257</v>
      </c>
      <c r="B16">
        <f>Baza!PD14</f>
        <v>0.50205106089999996</v>
      </c>
      <c r="C16">
        <f>Baza!PE14</f>
        <v>0.1043911079</v>
      </c>
      <c r="D16">
        <f>Baza!PF14</f>
        <v>2.8145392870000001</v>
      </c>
      <c r="E16">
        <f>Baza!PG14</f>
        <v>1.9929600000000001</v>
      </c>
      <c r="F16">
        <f>Baza!PH14</f>
        <v>1.81304</v>
      </c>
      <c r="G16">
        <f>Baza!PI14</f>
        <v>3.806</v>
      </c>
      <c r="H16">
        <f>Baza!PJ14</f>
        <v>0.40251106869999997</v>
      </c>
      <c r="I16">
        <f>Baza!PK14</f>
        <v>2.4413087080000002E-5</v>
      </c>
      <c r="J16">
        <f>Baza!PL14</f>
        <v>6.818681707E-4</v>
      </c>
      <c r="K16">
        <f>Baza!PM14</f>
        <v>2.4413087080000002E-5</v>
      </c>
      <c r="L16">
        <f>Baza!PN14</f>
        <v>4.5721689580000002E-4</v>
      </c>
      <c r="M16">
        <f>Baza!PO14</f>
        <v>6.2864310419999999E-4</v>
      </c>
      <c r="N16">
        <f>Baza!PP14</f>
        <v>5.3225066519999998E-5</v>
      </c>
      <c r="O16">
        <f>Baza!PQ14</f>
        <v>1.2979423809999999</v>
      </c>
      <c r="P16">
        <f>Baza!PR14</f>
        <v>0.49499707120000003</v>
      </c>
      <c r="Q16">
        <f>Baza!PS14</f>
        <v>0.42146049279999998</v>
      </c>
      <c r="R16">
        <f>Baza!PT14</f>
        <v>10.59045749</v>
      </c>
      <c r="S16">
        <f>Baza!PU14</f>
        <v>90.395009389999998</v>
      </c>
    </row>
    <row r="17" spans="1:19" x14ac:dyDescent="0.2">
      <c r="A17" s="1" t="s">
        <v>255</v>
      </c>
      <c r="B17">
        <f>Baza!PD15</f>
        <v>7.9152657949999997E-2</v>
      </c>
      <c r="C17">
        <f>Baza!PE15</f>
        <v>5.7158790469999998E-2</v>
      </c>
      <c r="D17">
        <f>Baza!PF15</f>
        <v>3.1949698990000002</v>
      </c>
      <c r="E17">
        <f>Baza!PG15</f>
        <v>0.64424199999999998</v>
      </c>
      <c r="F17">
        <f>Baza!PH15</f>
        <v>0.60990900000000003</v>
      </c>
      <c r="G17">
        <f>Baza!PI15</f>
        <v>1.254151</v>
      </c>
      <c r="H17">
        <f>Baza!PJ15</f>
        <v>6.2818118480000004E-2</v>
      </c>
      <c r="I17">
        <f>Baza!PK15</f>
        <v>3.9156666089999999E-6</v>
      </c>
      <c r="J17">
        <f>Baza!PL15</f>
        <v>1.055147034E-4</v>
      </c>
      <c r="K17">
        <f>Baza!PM15</f>
        <v>3.9156666089999999E-6</v>
      </c>
      <c r="L17">
        <f>Baza!PN15</f>
        <v>7.0853234979999997E-5</v>
      </c>
      <c r="M17">
        <f>Baza!PO15</f>
        <v>9.6831765019999994E-5</v>
      </c>
      <c r="N17">
        <f>Baza!PP15</f>
        <v>8.6829383559999993E-6</v>
      </c>
      <c r="O17">
        <f>Baza!PQ15</f>
        <v>0.2007091956</v>
      </c>
      <c r="P17">
        <f>Baza!PR15</f>
        <v>7.9044258359999994E-2</v>
      </c>
      <c r="Q17">
        <f>Baza!PS15</f>
        <v>7.5077948919999998E-2</v>
      </c>
      <c r="R17">
        <f>Baza!PT15</f>
        <v>10.47977496</v>
      </c>
      <c r="S17">
        <f>Baza!PU15</f>
        <v>90.335380330000007</v>
      </c>
    </row>
    <row r="18" spans="1:19" x14ac:dyDescent="0.2">
      <c r="A18" s="1" t="s">
        <v>256</v>
      </c>
      <c r="B18">
        <f>Baza!PD16</f>
        <v>0.16211290989999999</v>
      </c>
      <c r="C18">
        <f>Baza!PE16</f>
        <v>2.6663108729999999E-2</v>
      </c>
      <c r="D18">
        <f>Baza!PF16</f>
        <v>2.9219664390000002</v>
      </c>
      <c r="E18">
        <f>Baza!PG16</f>
        <v>0.796736</v>
      </c>
      <c r="F18">
        <f>Baza!PH16</f>
        <v>0.76932699999999998</v>
      </c>
      <c r="G18">
        <f>Baza!PI16</f>
        <v>1.566063</v>
      </c>
      <c r="H18">
        <f>Baza!PJ16</f>
        <v>0.1295945963</v>
      </c>
      <c r="I18">
        <f>Baza!PK16</f>
        <v>7.6176311080000003E-6</v>
      </c>
      <c r="J18">
        <f>Baza!PL16</f>
        <v>2.1753738210000001E-4</v>
      </c>
      <c r="K18">
        <f>Baza!PM16</f>
        <v>7.6176311080000003E-6</v>
      </c>
      <c r="L18">
        <f>Baza!PN16</f>
        <v>1.4735211600000001E-4</v>
      </c>
      <c r="M18">
        <f>Baza!PO16</f>
        <v>1.99692884E-4</v>
      </c>
      <c r="N18">
        <f>Baza!PP16</f>
        <v>1.7844498049999999E-5</v>
      </c>
      <c r="O18">
        <f>Baza!PQ16</f>
        <v>0.41777244229999999</v>
      </c>
      <c r="P18">
        <f>Baza!PR16</f>
        <v>0.15325077549999999</v>
      </c>
      <c r="Q18">
        <f>Baza!PS16</f>
        <v>0.14769992949999999</v>
      </c>
      <c r="R18">
        <f>Baza!PT16</f>
        <v>10.19168348</v>
      </c>
      <c r="S18">
        <f>Baza!PU16</f>
        <v>90.120295729999995</v>
      </c>
    </row>
    <row r="19" spans="1:19" x14ac:dyDescent="0.2">
      <c r="A19" s="1" t="s">
        <v>258</v>
      </c>
      <c r="B19">
        <f>Baza!PD17</f>
        <v>7.8214453310000001E-2</v>
      </c>
      <c r="C19">
        <f>Baza!PE17</f>
        <v>8.8521526830000002E-2</v>
      </c>
      <c r="D19">
        <f>Baza!PF17</f>
        <v>3.1711833120000001</v>
      </c>
      <c r="E19">
        <f>Baza!PG17</f>
        <v>0.60544399999999998</v>
      </c>
      <c r="F19">
        <f>Baza!PH17</f>
        <v>0.53354800000000002</v>
      </c>
      <c r="G19">
        <f>Baza!PI17</f>
        <v>1.138992</v>
      </c>
      <c r="H19">
        <f>Baza!PJ17</f>
        <v>6.2171284790000003E-2</v>
      </c>
      <c r="I19">
        <f>Baza!PK17</f>
        <v>3.8835963699999997E-6</v>
      </c>
      <c r="J19">
        <f>Baza!PL17</f>
        <v>1.049743934E-4</v>
      </c>
      <c r="K19">
        <f>Baza!PM17</f>
        <v>3.8835963699999997E-6</v>
      </c>
      <c r="L19">
        <f>Baza!PN17</f>
        <v>7.0206689169999997E-5</v>
      </c>
      <c r="M19">
        <f>Baza!PO17</f>
        <v>9.657831083E-5</v>
      </c>
      <c r="N19">
        <f>Baza!PP17</f>
        <v>8.3960826059999998E-6</v>
      </c>
      <c r="O19">
        <f>Baza!PQ17</f>
        <v>0.19943235670000001</v>
      </c>
      <c r="P19">
        <f>Baza!PR17</f>
        <v>7.8573659779999999E-2</v>
      </c>
      <c r="Q19">
        <f>Baza!PS17</f>
        <v>7.1593113240000006E-2</v>
      </c>
      <c r="R19">
        <f>Baza!PT17</f>
        <v>10.595029070000001</v>
      </c>
      <c r="S19">
        <f>Baza!PU17</f>
        <v>90.586578410000001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E97F8-3DE4-4F1D-B1F6-CDB8B7160279}">
  <dimension ref="A1:S18"/>
  <sheetViews>
    <sheetView workbookViewId="0">
      <selection activeCell="A15" sqref="A15:XFD15"/>
    </sheetView>
  </sheetViews>
  <sheetFormatPr baseColWidth="10" defaultColWidth="8.83203125" defaultRowHeight="15" x14ac:dyDescent="0.2"/>
  <cols>
    <col min="2" max="2" width="12" bestFit="1" customWidth="1"/>
    <col min="3" max="3" width="12.6640625" bestFit="1" customWidth="1"/>
    <col min="4" max="4" width="12" bestFit="1" customWidth="1"/>
    <col min="5" max="7" width="10" bestFit="1" customWidth="1"/>
    <col min="8" max="10" width="12" bestFit="1" customWidth="1"/>
    <col min="11" max="11" width="12.5" bestFit="1" customWidth="1"/>
    <col min="12" max="12" width="19.83203125" bestFit="1" customWidth="1"/>
    <col min="13" max="13" width="19.33203125" bestFit="1" customWidth="1"/>
    <col min="14" max="19" width="12" bestFit="1" customWidth="1"/>
  </cols>
  <sheetData>
    <row r="1" spans="1:19" x14ac:dyDescent="0.2">
      <c r="B1" t="str">
        <f>B4</f>
        <v>Sq</v>
      </c>
      <c r="C1" t="str">
        <f t="shared" ref="C1:S1" si="0">C4</f>
        <v>Ssk</v>
      </c>
      <c r="D1" t="str">
        <f t="shared" si="0"/>
        <v>Sku</v>
      </c>
      <c r="E1" t="str">
        <f t="shared" si="0"/>
        <v>Sp</v>
      </c>
      <c r="F1" t="str">
        <f t="shared" si="0"/>
        <v>Sv</v>
      </c>
      <c r="G1" t="str">
        <f t="shared" si="0"/>
        <v>Sz</v>
      </c>
      <c r="H1" t="str">
        <f t="shared" si="0"/>
        <v>Sa</v>
      </c>
      <c r="I1" t="str">
        <f t="shared" si="0"/>
        <v>Vm (p = 10%)</v>
      </c>
      <c r="J1" t="str">
        <f t="shared" si="0"/>
        <v>Vv (p = 10%)</v>
      </c>
      <c r="K1" t="str">
        <f t="shared" si="0"/>
        <v>Vmp (p = 10%)</v>
      </c>
      <c r="L1" t="str">
        <f t="shared" si="0"/>
        <v>Vmc (p = 10%, q = 80%)</v>
      </c>
      <c r="M1" t="str">
        <f t="shared" si="0"/>
        <v>Vvc (p = 10%, q = 80%)</v>
      </c>
      <c r="N1" t="str">
        <f t="shared" si="0"/>
        <v>Vvv (p = 80%)</v>
      </c>
      <c r="O1" t="str">
        <f t="shared" si="0"/>
        <v>Sk</v>
      </c>
      <c r="P1" t="str">
        <f t="shared" si="0"/>
        <v>Spk</v>
      </c>
      <c r="Q1" t="str">
        <f t="shared" si="0"/>
        <v>Svk</v>
      </c>
      <c r="R1" t="str">
        <f t="shared" si="0"/>
        <v>Smrk1</v>
      </c>
      <c r="S1" t="str">
        <f t="shared" si="0"/>
        <v>Smrk2</v>
      </c>
    </row>
    <row r="3" spans="1:19" x14ac:dyDescent="0.2">
      <c r="B3">
        <f>Baza!PD1</f>
        <v>71</v>
      </c>
      <c r="C3">
        <f>Baza!PE1</f>
        <v>71</v>
      </c>
      <c r="D3">
        <f>Baza!PF1</f>
        <v>71</v>
      </c>
      <c r="E3">
        <f>Baza!PG1</f>
        <v>71</v>
      </c>
      <c r="F3">
        <f>Baza!PH1</f>
        <v>71</v>
      </c>
      <c r="G3">
        <f>Baza!PI1</f>
        <v>71</v>
      </c>
      <c r="H3">
        <f>Baza!PJ1</f>
        <v>71</v>
      </c>
      <c r="I3">
        <f>Baza!PK1</f>
        <v>71</v>
      </c>
      <c r="J3">
        <f>Baza!PL1</f>
        <v>71</v>
      </c>
      <c r="K3">
        <f>Baza!PM1</f>
        <v>71</v>
      </c>
      <c r="L3">
        <f>Baza!PN1</f>
        <v>71</v>
      </c>
      <c r="M3">
        <f>Baza!PO1</f>
        <v>71</v>
      </c>
      <c r="N3">
        <f>Baza!PP1</f>
        <v>71</v>
      </c>
      <c r="O3">
        <f>Baza!PQ1</f>
        <v>71</v>
      </c>
      <c r="P3">
        <f>Baza!PR1</f>
        <v>71</v>
      </c>
      <c r="Q3">
        <f>Baza!PS1</f>
        <v>71</v>
      </c>
      <c r="R3">
        <f>Baza!PT1</f>
        <v>71</v>
      </c>
      <c r="S3">
        <f>Baza!PU1</f>
        <v>71</v>
      </c>
    </row>
    <row r="4" spans="1:19" x14ac:dyDescent="0.2">
      <c r="B4" t="str">
        <f>Baza!PD2</f>
        <v>Sq</v>
      </c>
      <c r="C4" t="str">
        <f>Baza!PE2</f>
        <v>Ssk</v>
      </c>
      <c r="D4" t="str">
        <f>Baza!PF2</f>
        <v>Sku</v>
      </c>
      <c r="E4" t="str">
        <f>Baza!PG2</f>
        <v>Sp</v>
      </c>
      <c r="F4" t="str">
        <f>Baza!PH2</f>
        <v>Sv</v>
      </c>
      <c r="G4" t="str">
        <f>Baza!PI2</f>
        <v>Sz</v>
      </c>
      <c r="H4" t="str">
        <f>Baza!PJ2</f>
        <v>Sa</v>
      </c>
      <c r="I4" t="str">
        <f>Baza!PK2</f>
        <v>Vm (p = 10%)</v>
      </c>
      <c r="J4" t="str">
        <f>Baza!PL2</f>
        <v>Vv (p = 10%)</v>
      </c>
      <c r="K4" t="str">
        <f>Baza!PM2</f>
        <v>Vmp (p = 10%)</v>
      </c>
      <c r="L4" t="str">
        <f>Baza!PN2</f>
        <v>Vmc (p = 10%, q = 80%)</v>
      </c>
      <c r="M4" t="str">
        <f>Baza!PO2</f>
        <v>Vvc (p = 10%, q = 80%)</v>
      </c>
      <c r="N4" t="str">
        <f>Baza!PP2</f>
        <v>Vvv (p = 80%)</v>
      </c>
      <c r="O4" t="str">
        <f>Baza!PQ2</f>
        <v>Sk</v>
      </c>
      <c r="P4" t="str">
        <f>Baza!PR2</f>
        <v>Spk</v>
      </c>
      <c r="Q4" t="str">
        <f>Baza!PS2</f>
        <v>Svk</v>
      </c>
      <c r="R4" t="str">
        <f>Baza!PT2</f>
        <v>Smrk1</v>
      </c>
      <c r="S4" t="str">
        <f>Baza!PU2</f>
        <v>Smrk2</v>
      </c>
    </row>
    <row r="5" spans="1:19" x14ac:dyDescent="0.2">
      <c r="B5" t="str">
        <f>Baza!PD3</f>
        <v>µm</v>
      </c>
      <c r="C5" t="str">
        <f>Baza!PE3</f>
        <v>&lt;no unit&gt;</v>
      </c>
      <c r="D5" t="str">
        <f>Baza!PF3</f>
        <v>&lt;no unit&gt;</v>
      </c>
      <c r="E5" t="str">
        <f>Baza!PG3</f>
        <v>µm</v>
      </c>
      <c r="F5" t="str">
        <f>Baza!PH3</f>
        <v>µm</v>
      </c>
      <c r="G5" t="str">
        <f>Baza!PI3</f>
        <v>µm</v>
      </c>
      <c r="H5" t="str">
        <f>Baza!PJ3</f>
        <v>µm</v>
      </c>
      <c r="I5" t="str">
        <f>Baza!PK3</f>
        <v>mm³/mm²</v>
      </c>
      <c r="J5" t="str">
        <f>Baza!PL3</f>
        <v>mm³/mm²</v>
      </c>
      <c r="K5" t="str">
        <f>Baza!PM3</f>
        <v>mm³/mm²</v>
      </c>
      <c r="L5" t="str">
        <f>Baza!PN3</f>
        <v>mm³/mm²</v>
      </c>
      <c r="M5" t="str">
        <f>Baza!PO3</f>
        <v>mm³/mm²</v>
      </c>
      <c r="N5" t="str">
        <f>Baza!PP3</f>
        <v>mm³/mm²</v>
      </c>
      <c r="O5" t="str">
        <f>Baza!PQ3</f>
        <v>µm</v>
      </c>
      <c r="P5" t="str">
        <f>Baza!PR3</f>
        <v>µm</v>
      </c>
      <c r="Q5" t="str">
        <f>Baza!PS3</f>
        <v>µm</v>
      </c>
      <c r="R5" t="str">
        <f>Baza!PT3</f>
        <v>%</v>
      </c>
      <c r="S5" t="str">
        <f>Baza!PU3</f>
        <v>%</v>
      </c>
    </row>
    <row r="6" spans="1:19" x14ac:dyDescent="0.2">
      <c r="A6" s="1" t="s">
        <v>245</v>
      </c>
      <c r="B6">
        <f>Baza!PD4</f>
        <v>0.17281589550000001</v>
      </c>
      <c r="C6">
        <f>Baza!PE4</f>
        <v>-0.22288334500000001</v>
      </c>
      <c r="D6">
        <f>Baza!PF4</f>
        <v>3.4690035049999999</v>
      </c>
      <c r="E6">
        <f>Baza!PG4</f>
        <v>0.94520919999999997</v>
      </c>
      <c r="F6">
        <f>Baza!PH4</f>
        <v>0.95198340000000004</v>
      </c>
      <c r="G6">
        <f>Baza!PI4</f>
        <v>1.8971925999999999</v>
      </c>
      <c r="H6">
        <f>Baza!PJ4</f>
        <v>0.13480970840000001</v>
      </c>
      <c r="I6">
        <f>Baza!PK4</f>
        <v>8.0888167870000004E-6</v>
      </c>
      <c r="J6">
        <f>Baza!PL4</f>
        <v>2.195048921E-4</v>
      </c>
      <c r="K6">
        <f>Baza!PM4</f>
        <v>8.0888167870000004E-6</v>
      </c>
      <c r="L6">
        <f>Baza!PN4</f>
        <v>1.4978631260000001E-4</v>
      </c>
      <c r="M6">
        <f>Baza!PO4</f>
        <v>1.969203874E-4</v>
      </c>
      <c r="N6">
        <f>Baza!PP4</f>
        <v>2.2584504699999999E-5</v>
      </c>
      <c r="O6">
        <f>Baza!PQ4</f>
        <v>0.4147202666</v>
      </c>
      <c r="P6">
        <f>Baza!PR4</f>
        <v>0.16173930559999999</v>
      </c>
      <c r="Q6">
        <f>Baza!PS4</f>
        <v>0.20892676369999999</v>
      </c>
      <c r="R6">
        <f>Baza!PT4</f>
        <v>9.8178918759999991</v>
      </c>
      <c r="S6">
        <f>Baza!PU4</f>
        <v>88.269728549999996</v>
      </c>
    </row>
    <row r="7" spans="1:19" x14ac:dyDescent="0.2">
      <c r="A7" s="1" t="s">
        <v>246</v>
      </c>
      <c r="B7">
        <f>Baza!PD5</f>
        <v>0.19639564030000001</v>
      </c>
      <c r="C7">
        <f>Baza!PE5</f>
        <v>-0.2288992054</v>
      </c>
      <c r="D7">
        <f>Baza!PF5</f>
        <v>3.619945586</v>
      </c>
      <c r="E7">
        <f>Baza!PG5</f>
        <v>1.0710139999999999</v>
      </c>
      <c r="F7">
        <f>Baza!PH5</f>
        <v>1.1420699999999999</v>
      </c>
      <c r="G7">
        <f>Baza!PI5</f>
        <v>2.2130839999999998</v>
      </c>
      <c r="H7">
        <f>Baza!PJ5</f>
        <v>0.15215465410000001</v>
      </c>
      <c r="I7">
        <f>Baza!PK5</f>
        <v>9.5476152570000005E-6</v>
      </c>
      <c r="J7">
        <f>Baza!PL5</f>
        <v>2.4785922059999998E-4</v>
      </c>
      <c r="K7">
        <f>Baza!PM5</f>
        <v>9.5476152570000005E-6</v>
      </c>
      <c r="L7">
        <f>Baza!PN5</f>
        <v>1.680197689E-4</v>
      </c>
      <c r="M7">
        <f>Baza!PO5</f>
        <v>2.2177523109999999E-4</v>
      </c>
      <c r="N7">
        <f>Baza!PP5</f>
        <v>2.6083989500000001E-5</v>
      </c>
      <c r="O7">
        <f>Baza!PQ5</f>
        <v>0.4594865548</v>
      </c>
      <c r="P7">
        <f>Baza!PR5</f>
        <v>0.19150016980000001</v>
      </c>
      <c r="Q7">
        <f>Baza!PS5</f>
        <v>0.2460963709</v>
      </c>
      <c r="R7">
        <f>Baza!PT5</f>
        <v>10.13702857</v>
      </c>
      <c r="S7">
        <f>Baza!PU5</f>
        <v>87.911524709999995</v>
      </c>
    </row>
    <row r="8" spans="1:19" x14ac:dyDescent="0.2">
      <c r="A8" s="1" t="s">
        <v>247</v>
      </c>
      <c r="B8">
        <f>Baza!PD6</f>
        <v>0.23859958000000001</v>
      </c>
      <c r="C8">
        <f>Baza!PE6</f>
        <v>-0.1683368348</v>
      </c>
      <c r="D8">
        <f>Baza!PF6</f>
        <v>3.669769353</v>
      </c>
      <c r="E8">
        <f>Baza!PG6</f>
        <v>1.158399</v>
      </c>
      <c r="F8">
        <f>Baza!PH6</f>
        <v>1.3026770000000001</v>
      </c>
      <c r="G8">
        <f>Baza!PI6</f>
        <v>2.4610759999999998</v>
      </c>
      <c r="H8">
        <f>Baza!PJ6</f>
        <v>0.18371273769999999</v>
      </c>
      <c r="I8">
        <f>Baza!PK6</f>
        <v>1.227346633E-5</v>
      </c>
      <c r="J8">
        <f>Baza!PL6</f>
        <v>3.0413736740000002E-4</v>
      </c>
      <c r="K8">
        <f>Baza!PM6</f>
        <v>1.227346633E-5</v>
      </c>
      <c r="L8">
        <f>Baza!PN6</f>
        <v>2.001141394E-4</v>
      </c>
      <c r="M8">
        <f>Baza!PO6</f>
        <v>2.7268286060000001E-4</v>
      </c>
      <c r="N8">
        <f>Baza!PP6</f>
        <v>3.1454506810000001E-5</v>
      </c>
      <c r="O8">
        <f>Baza!PQ6</f>
        <v>0.54757268699999995</v>
      </c>
      <c r="P8">
        <f>Baza!PR6</f>
        <v>0.24890273360000001</v>
      </c>
      <c r="Q8">
        <f>Baza!PS6</f>
        <v>0.30106210290000002</v>
      </c>
      <c r="R8">
        <f>Baza!PT6</f>
        <v>10.98008692</v>
      </c>
      <c r="S8">
        <f>Baza!PU6</f>
        <v>88.201685260000005</v>
      </c>
    </row>
    <row r="9" spans="1:19" x14ac:dyDescent="0.2">
      <c r="A9" s="1" t="s">
        <v>248</v>
      </c>
      <c r="B9">
        <f>Baza!PD7</f>
        <v>0.20539428739999999</v>
      </c>
      <c r="C9">
        <f>Baza!PE7</f>
        <v>-0.20165772779999999</v>
      </c>
      <c r="D9">
        <f>Baza!PF7</f>
        <v>3.4887759260000002</v>
      </c>
      <c r="E9">
        <f>Baza!PG7</f>
        <v>1.0507610000000001</v>
      </c>
      <c r="F9">
        <f>Baza!PH7</f>
        <v>1.1212470000000001</v>
      </c>
      <c r="G9">
        <f>Baza!PI7</f>
        <v>2.1720079999999999</v>
      </c>
      <c r="H9">
        <f>Baza!PJ7</f>
        <v>0.1598887833</v>
      </c>
      <c r="I9">
        <f>Baza!PK7</f>
        <v>1.0094463629999999E-5</v>
      </c>
      <c r="J9">
        <f>Baza!PL7</f>
        <v>2.588657175E-4</v>
      </c>
      <c r="K9">
        <f>Baza!PM7</f>
        <v>1.0094463629999999E-5</v>
      </c>
      <c r="L9">
        <f>Baza!PN7</f>
        <v>1.7700162730000001E-4</v>
      </c>
      <c r="M9">
        <f>Baza!PO7</f>
        <v>2.319923727E-4</v>
      </c>
      <c r="N9">
        <f>Baza!PP7</f>
        <v>2.687334472E-5</v>
      </c>
      <c r="O9">
        <f>Baza!PQ7</f>
        <v>0.49054888229999999</v>
      </c>
      <c r="P9">
        <f>Baza!PR7</f>
        <v>0.20150975430000001</v>
      </c>
      <c r="Q9">
        <f>Baza!PS7</f>
        <v>0.25117420540000002</v>
      </c>
      <c r="R9">
        <f>Baza!PT7</f>
        <v>9.6689821429999991</v>
      </c>
      <c r="S9">
        <f>Baza!PU7</f>
        <v>88.246164730000004</v>
      </c>
    </row>
    <row r="10" spans="1:19" x14ac:dyDescent="0.2">
      <c r="A10" s="1" t="s">
        <v>249</v>
      </c>
      <c r="B10">
        <f>Baza!PD8</f>
        <v>0.22373667259999999</v>
      </c>
      <c r="C10">
        <f>Baza!PE8</f>
        <v>-0.33886680200000002</v>
      </c>
      <c r="D10">
        <f>Baza!PF8</f>
        <v>3.767996981</v>
      </c>
      <c r="E10">
        <f>Baza!PG8</f>
        <v>1.1546369999999999</v>
      </c>
      <c r="F10">
        <f>Baza!PH8</f>
        <v>1.264205</v>
      </c>
      <c r="G10">
        <f>Baza!PI8</f>
        <v>2.4188420000000002</v>
      </c>
      <c r="H10">
        <f>Baza!PJ8</f>
        <v>0.17193864270000001</v>
      </c>
      <c r="I10">
        <f>Baza!PK8</f>
        <v>1.072502769E-5</v>
      </c>
      <c r="J10">
        <f>Baza!PL8</f>
        <v>2.7690080129999999E-4</v>
      </c>
      <c r="K10">
        <f>Baza!PM8</f>
        <v>1.072502769E-5</v>
      </c>
      <c r="L10">
        <f>Baza!PN8</f>
        <v>1.8848720899999999E-4</v>
      </c>
      <c r="M10">
        <f>Baza!PO8</f>
        <v>2.4543779100000003E-4</v>
      </c>
      <c r="N10">
        <f>Baza!PP8</f>
        <v>3.1463010329999998E-5</v>
      </c>
      <c r="O10">
        <f>Baza!PQ8</f>
        <v>0.50693196480000002</v>
      </c>
      <c r="P10">
        <f>Baza!PR8</f>
        <v>0.21494199520000001</v>
      </c>
      <c r="Q10">
        <f>Baza!PS8</f>
        <v>0.30170177510000001</v>
      </c>
      <c r="R10">
        <f>Baza!PT8</f>
        <v>10.070961520000001</v>
      </c>
      <c r="S10">
        <f>Baza!PU8</f>
        <v>87.080890859999997</v>
      </c>
    </row>
    <row r="11" spans="1:19" x14ac:dyDescent="0.2">
      <c r="A11" s="1" t="s">
        <v>250</v>
      </c>
      <c r="B11">
        <f>Baza!PD9</f>
        <v>0.27546599490000001</v>
      </c>
      <c r="C11">
        <f>Baza!PE9</f>
        <v>-0.36195087869999998</v>
      </c>
      <c r="D11">
        <f>Baza!PF9</f>
        <v>3.914514681</v>
      </c>
      <c r="E11">
        <f>Baza!PG9</f>
        <v>1.2743420000000001</v>
      </c>
      <c r="F11">
        <f>Baza!PH9</f>
        <v>1.5253209999999999</v>
      </c>
      <c r="G11">
        <f>Baza!PI9</f>
        <v>2.7996629999999998</v>
      </c>
      <c r="H11">
        <f>Baza!PJ9</f>
        <v>0.20973533589999999</v>
      </c>
      <c r="I11">
        <f>Baza!PK9</f>
        <v>1.3581618530000001E-5</v>
      </c>
      <c r="J11">
        <f>Baza!PL9</f>
        <v>3.4131802160000001E-4</v>
      </c>
      <c r="K11">
        <f>Baza!PM9</f>
        <v>1.3581618530000001E-5</v>
      </c>
      <c r="L11">
        <f>Baza!PN9</f>
        <v>2.261328446E-4</v>
      </c>
      <c r="M11">
        <f>Baza!PO9</f>
        <v>3.0178315540000002E-4</v>
      </c>
      <c r="N11">
        <f>Baza!PP9</f>
        <v>3.9534866280000002E-5</v>
      </c>
      <c r="O11">
        <f>Baza!PQ9</f>
        <v>0.60889393930000002</v>
      </c>
      <c r="P11">
        <f>Baza!PR9</f>
        <v>0.27450638919999998</v>
      </c>
      <c r="Q11">
        <f>Baza!PS9</f>
        <v>0.38824796610000001</v>
      </c>
      <c r="R11">
        <f>Baza!PT9</f>
        <v>10.70646932</v>
      </c>
      <c r="S11">
        <f>Baza!PU9</f>
        <v>87.237645950000001</v>
      </c>
    </row>
    <row r="12" spans="1:19" x14ac:dyDescent="0.2">
      <c r="A12" s="1" t="s">
        <v>251</v>
      </c>
      <c r="B12">
        <f>Baza!PD10</f>
        <v>0.30015601850000001</v>
      </c>
      <c r="C12">
        <f>Baza!PE10</f>
        <v>-0.7721629941</v>
      </c>
      <c r="D12">
        <f>Baza!PF10</f>
        <v>4.0560840230000004</v>
      </c>
      <c r="E12">
        <f>Baza!PG10</f>
        <v>1.862762</v>
      </c>
      <c r="F12">
        <f>Baza!PH10</f>
        <v>2.0691290000000002</v>
      </c>
      <c r="G12">
        <f>Baza!PI10</f>
        <v>3.9318909999999998</v>
      </c>
      <c r="H12">
        <f>Baza!PJ10</f>
        <v>0.23271194980000001</v>
      </c>
      <c r="I12">
        <f>Baza!PK10</f>
        <v>9.6858791840000006E-6</v>
      </c>
      <c r="J12">
        <f>Baza!PL10</f>
        <v>3.537877261E-4</v>
      </c>
      <c r="K12">
        <f>Baza!PM10</f>
        <v>9.6858791840000006E-6</v>
      </c>
      <c r="L12">
        <f>Baza!PN10</f>
        <v>2.6153220260000001E-4</v>
      </c>
      <c r="M12">
        <f>Baza!PO10</f>
        <v>3.074127974E-4</v>
      </c>
      <c r="N12">
        <f>Baza!PP10</f>
        <v>4.637492868E-5</v>
      </c>
      <c r="O12">
        <f>Baza!PQ10</f>
        <v>0.68575344949999995</v>
      </c>
      <c r="P12">
        <f>Baza!PR10</f>
        <v>0.18263108829999999</v>
      </c>
      <c r="Q12">
        <f>Baza!PS10</f>
        <v>0.45141964800000001</v>
      </c>
      <c r="R12">
        <f>Baza!PT10</f>
        <v>7.2986197300000004</v>
      </c>
      <c r="S12">
        <f>Baza!PU10</f>
        <v>85.60159462</v>
      </c>
    </row>
    <row r="13" spans="1:19" x14ac:dyDescent="0.2">
      <c r="A13" s="1" t="s">
        <v>252</v>
      </c>
      <c r="B13">
        <f>Baza!PD11</f>
        <v>0.1585146643</v>
      </c>
      <c r="C13">
        <f>Baza!PE11</f>
        <v>-6.0627524109999997E-2</v>
      </c>
      <c r="D13">
        <f>Baza!PF11</f>
        <v>3.4867824490000001</v>
      </c>
      <c r="E13">
        <f>Baza!PG11</f>
        <v>1.184204</v>
      </c>
      <c r="F13">
        <f>Baza!PH11</f>
        <v>0.93672299999999997</v>
      </c>
      <c r="G13">
        <f>Baza!PI11</f>
        <v>2.120927</v>
      </c>
      <c r="H13">
        <f>Baza!PJ11</f>
        <v>0.1246531709</v>
      </c>
      <c r="I13">
        <f>Baza!PK11</f>
        <v>7.7655601629999994E-6</v>
      </c>
      <c r="J13">
        <f>Baza!PL11</f>
        <v>2.0394268510000001E-4</v>
      </c>
      <c r="K13">
        <f>Baza!PM11</f>
        <v>7.7655601629999994E-6</v>
      </c>
      <c r="L13">
        <f>Baza!PN11</f>
        <v>1.402419357E-4</v>
      </c>
      <c r="M13">
        <f>Baza!PO11</f>
        <v>1.8494106429999999E-4</v>
      </c>
      <c r="N13">
        <f>Baza!PP11</f>
        <v>1.9001620850000001E-5</v>
      </c>
      <c r="O13">
        <f>Baza!PQ11</f>
        <v>0.39281930409999999</v>
      </c>
      <c r="P13">
        <f>Baza!PR11</f>
        <v>0.15499491909999999</v>
      </c>
      <c r="Q13">
        <f>Baza!PS11</f>
        <v>0.1693152178</v>
      </c>
      <c r="R13">
        <f>Baza!PT11</f>
        <v>9.6249731129999994</v>
      </c>
      <c r="S13">
        <f>Baza!PU11</f>
        <v>89.058143639999997</v>
      </c>
    </row>
    <row r="14" spans="1:19" x14ac:dyDescent="0.2">
      <c r="A14" s="1" t="s">
        <v>253</v>
      </c>
      <c r="B14">
        <f>Baza!PD12</f>
        <v>0.19788505840000001</v>
      </c>
      <c r="C14">
        <f>Baza!PE12</f>
        <v>0.16660593409999999</v>
      </c>
      <c r="D14">
        <f>Baza!PF12</f>
        <v>3.4769314489999998</v>
      </c>
      <c r="E14">
        <f>Baza!PG12</f>
        <v>1.374423</v>
      </c>
      <c r="F14">
        <f>Baza!PH12</f>
        <v>1.1393660000000001</v>
      </c>
      <c r="G14">
        <f>Baza!PI12</f>
        <v>2.5137890000000001</v>
      </c>
      <c r="H14">
        <f>Baza!PJ12</f>
        <v>0.1554293145</v>
      </c>
      <c r="I14">
        <f>Baza!PK12</f>
        <v>1.105854069E-5</v>
      </c>
      <c r="J14">
        <f>Baza!PL12</f>
        <v>2.5835782989999998E-4</v>
      </c>
      <c r="K14">
        <f>Baza!PM12</f>
        <v>1.105854069E-5</v>
      </c>
      <c r="L14">
        <f>Baza!PN12</f>
        <v>1.7436281959999999E-4</v>
      </c>
      <c r="M14">
        <f>Baza!PO12</f>
        <v>2.3650618039999999E-4</v>
      </c>
      <c r="N14">
        <f>Baza!PP12</f>
        <v>2.1851649510000001E-5</v>
      </c>
      <c r="O14">
        <f>Baza!PQ12</f>
        <v>0.48730207920000002</v>
      </c>
      <c r="P14">
        <f>Baza!PR12</f>
        <v>0.22208608499999999</v>
      </c>
      <c r="Q14">
        <f>Baza!PS12</f>
        <v>0.18515346529999999</v>
      </c>
      <c r="R14">
        <f>Baza!PT12</f>
        <v>10.431731490000001</v>
      </c>
      <c r="S14">
        <f>Baza!PU12</f>
        <v>89.498987130000003</v>
      </c>
    </row>
    <row r="15" spans="1:19" x14ac:dyDescent="0.2">
      <c r="A15" s="1" t="s">
        <v>257</v>
      </c>
      <c r="B15">
        <f>Baza!PD14</f>
        <v>0.50205106089999996</v>
      </c>
      <c r="C15">
        <f>Baza!PE14</f>
        <v>0.1043911079</v>
      </c>
      <c r="D15">
        <f>Baza!PF14</f>
        <v>2.8145392870000001</v>
      </c>
      <c r="E15">
        <f>Baza!PG14</f>
        <v>1.9929600000000001</v>
      </c>
      <c r="F15">
        <f>Baza!PH14</f>
        <v>1.81304</v>
      </c>
      <c r="G15">
        <f>Baza!PI14</f>
        <v>3.806</v>
      </c>
      <c r="H15">
        <f>Baza!PJ14</f>
        <v>0.40251106869999997</v>
      </c>
      <c r="I15">
        <f>Baza!PK14</f>
        <v>2.4413087080000002E-5</v>
      </c>
      <c r="J15">
        <f>Baza!PL14</f>
        <v>6.818681707E-4</v>
      </c>
      <c r="K15">
        <f>Baza!PM14</f>
        <v>2.4413087080000002E-5</v>
      </c>
      <c r="L15">
        <f>Baza!PN14</f>
        <v>4.5721689580000002E-4</v>
      </c>
      <c r="M15">
        <f>Baza!PO14</f>
        <v>6.2864310419999999E-4</v>
      </c>
      <c r="N15">
        <f>Baza!PP14</f>
        <v>5.3225066519999998E-5</v>
      </c>
      <c r="O15">
        <f>Baza!PQ14</f>
        <v>1.2979423809999999</v>
      </c>
      <c r="P15">
        <f>Baza!PR14</f>
        <v>0.49499707120000003</v>
      </c>
      <c r="Q15">
        <f>Baza!PS14</f>
        <v>0.42146049279999998</v>
      </c>
      <c r="R15">
        <f>Baza!PT14</f>
        <v>10.59045749</v>
      </c>
      <c r="S15">
        <f>Baza!PU14</f>
        <v>90.395009389999998</v>
      </c>
    </row>
    <row r="16" spans="1:19" x14ac:dyDescent="0.2">
      <c r="A16" s="1" t="s">
        <v>255</v>
      </c>
      <c r="B16">
        <f>Baza!PD15</f>
        <v>7.9152657949999997E-2</v>
      </c>
      <c r="C16">
        <f>Baza!PE15</f>
        <v>5.7158790469999998E-2</v>
      </c>
      <c r="D16">
        <f>Baza!PF15</f>
        <v>3.1949698990000002</v>
      </c>
      <c r="E16">
        <f>Baza!PG15</f>
        <v>0.64424199999999998</v>
      </c>
      <c r="F16">
        <f>Baza!PH15</f>
        <v>0.60990900000000003</v>
      </c>
      <c r="G16">
        <f>Baza!PI15</f>
        <v>1.254151</v>
      </c>
      <c r="H16">
        <f>Baza!PJ15</f>
        <v>6.2818118480000004E-2</v>
      </c>
      <c r="I16">
        <f>Baza!PK15</f>
        <v>3.9156666089999999E-6</v>
      </c>
      <c r="J16">
        <f>Baza!PL15</f>
        <v>1.055147034E-4</v>
      </c>
      <c r="K16">
        <f>Baza!PM15</f>
        <v>3.9156666089999999E-6</v>
      </c>
      <c r="L16">
        <f>Baza!PN15</f>
        <v>7.0853234979999997E-5</v>
      </c>
      <c r="M16">
        <f>Baza!PO15</f>
        <v>9.6831765019999994E-5</v>
      </c>
      <c r="N16">
        <f>Baza!PP15</f>
        <v>8.6829383559999993E-6</v>
      </c>
      <c r="O16">
        <f>Baza!PQ15</f>
        <v>0.2007091956</v>
      </c>
      <c r="P16">
        <f>Baza!PR15</f>
        <v>7.9044258359999994E-2</v>
      </c>
      <c r="Q16">
        <f>Baza!PS15</f>
        <v>7.5077948919999998E-2</v>
      </c>
      <c r="R16">
        <f>Baza!PT15</f>
        <v>10.47977496</v>
      </c>
      <c r="S16">
        <f>Baza!PU15</f>
        <v>90.335380330000007</v>
      </c>
    </row>
    <row r="17" spans="1:19" x14ac:dyDescent="0.2">
      <c r="A17" s="1" t="s">
        <v>256</v>
      </c>
      <c r="B17">
        <f>Baza!PD16</f>
        <v>0.16211290989999999</v>
      </c>
      <c r="C17">
        <f>Baza!PE16</f>
        <v>2.6663108729999999E-2</v>
      </c>
      <c r="D17">
        <f>Baza!PF16</f>
        <v>2.9219664390000002</v>
      </c>
      <c r="E17">
        <f>Baza!PG16</f>
        <v>0.796736</v>
      </c>
      <c r="F17">
        <f>Baza!PH16</f>
        <v>0.76932699999999998</v>
      </c>
      <c r="G17">
        <f>Baza!PI16</f>
        <v>1.566063</v>
      </c>
      <c r="H17">
        <f>Baza!PJ16</f>
        <v>0.1295945963</v>
      </c>
      <c r="I17">
        <f>Baza!PK16</f>
        <v>7.6176311080000003E-6</v>
      </c>
      <c r="J17">
        <f>Baza!PL16</f>
        <v>2.1753738210000001E-4</v>
      </c>
      <c r="K17">
        <f>Baza!PM16</f>
        <v>7.6176311080000003E-6</v>
      </c>
      <c r="L17">
        <f>Baza!PN16</f>
        <v>1.4735211600000001E-4</v>
      </c>
      <c r="M17">
        <f>Baza!PO16</f>
        <v>1.99692884E-4</v>
      </c>
      <c r="N17">
        <f>Baza!PP16</f>
        <v>1.7844498049999999E-5</v>
      </c>
      <c r="O17">
        <f>Baza!PQ16</f>
        <v>0.41777244229999999</v>
      </c>
      <c r="P17">
        <f>Baza!PR16</f>
        <v>0.15325077549999999</v>
      </c>
      <c r="Q17">
        <f>Baza!PS16</f>
        <v>0.14769992949999999</v>
      </c>
      <c r="R17">
        <f>Baza!PT16</f>
        <v>10.19168348</v>
      </c>
      <c r="S17">
        <f>Baza!PU16</f>
        <v>90.120295729999995</v>
      </c>
    </row>
    <row r="18" spans="1:19" x14ac:dyDescent="0.2">
      <c r="A18" s="1" t="s">
        <v>258</v>
      </c>
      <c r="B18">
        <f>Baza!PD17</f>
        <v>7.8214453310000001E-2</v>
      </c>
      <c r="C18">
        <f>Baza!PE17</f>
        <v>8.8521526830000002E-2</v>
      </c>
      <c r="D18">
        <f>Baza!PF17</f>
        <v>3.1711833120000001</v>
      </c>
      <c r="E18">
        <f>Baza!PG17</f>
        <v>0.60544399999999998</v>
      </c>
      <c r="F18">
        <f>Baza!PH17</f>
        <v>0.53354800000000002</v>
      </c>
      <c r="G18">
        <f>Baza!PI17</f>
        <v>1.138992</v>
      </c>
      <c r="H18">
        <f>Baza!PJ17</f>
        <v>6.2171284790000003E-2</v>
      </c>
      <c r="I18">
        <f>Baza!PK17</f>
        <v>3.8835963699999997E-6</v>
      </c>
      <c r="J18">
        <f>Baza!PL17</f>
        <v>1.049743934E-4</v>
      </c>
      <c r="K18">
        <f>Baza!PM17</f>
        <v>3.8835963699999997E-6</v>
      </c>
      <c r="L18">
        <f>Baza!PN17</f>
        <v>7.0206689169999997E-5</v>
      </c>
      <c r="M18">
        <f>Baza!PO17</f>
        <v>9.657831083E-5</v>
      </c>
      <c r="N18">
        <f>Baza!PP17</f>
        <v>8.3960826059999998E-6</v>
      </c>
      <c r="O18">
        <f>Baza!PQ17</f>
        <v>0.19943235670000001</v>
      </c>
      <c r="P18">
        <f>Baza!PR17</f>
        <v>7.8573659779999999E-2</v>
      </c>
      <c r="Q18">
        <f>Baza!PS17</f>
        <v>7.1593113240000006E-2</v>
      </c>
      <c r="R18">
        <f>Baza!PT17</f>
        <v>10.595029070000001</v>
      </c>
      <c r="S18">
        <f>Baza!PU17</f>
        <v>90.586578410000001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9"/>
  <sheetViews>
    <sheetView workbookViewId="0">
      <selection sqref="A1:B19"/>
    </sheetView>
  </sheetViews>
  <sheetFormatPr baseColWidth="10" defaultColWidth="8.83203125" defaultRowHeight="15" x14ac:dyDescent="0.2"/>
  <cols>
    <col min="1" max="1" width="11.33203125" bestFit="1" customWidth="1"/>
    <col min="2" max="4" width="12" bestFit="1" customWidth="1"/>
    <col min="5" max="5" width="43.6640625" bestFit="1" customWidth="1"/>
    <col min="6" max="8" width="12" bestFit="1" customWidth="1"/>
    <col min="9" max="9" width="12.6640625" bestFit="1" customWidth="1"/>
    <col min="10" max="10" width="12" bestFit="1" customWidth="1"/>
    <col min="11" max="11" width="45.33203125" bestFit="1" customWidth="1"/>
    <col min="12" max="12" width="12" bestFit="1" customWidth="1"/>
    <col min="13" max="13" width="48.5" bestFit="1" customWidth="1"/>
    <col min="14" max="14" width="26.6640625" bestFit="1" customWidth="1"/>
    <col min="15" max="15" width="44.6640625" bestFit="1" customWidth="1"/>
  </cols>
  <sheetData>
    <row r="1" spans="1:15" x14ac:dyDescent="0.2">
      <c r="B1" t="str">
        <f>B4</f>
        <v>Pp[Średnia]</v>
      </c>
      <c r="C1" t="str">
        <f t="shared" ref="C1:O1" ca="1" si="0">C4</f>
        <v>Pv[Średnia]</v>
      </c>
      <c r="D1" t="str">
        <f t="shared" ca="1" si="0"/>
        <v>Pz[Średnia]</v>
      </c>
      <c r="E1" t="str">
        <f t="shared" ca="1" si="0"/>
        <v>Pc (Brak uśredniania (pojedyncza wartość))[Średnia]</v>
      </c>
      <c r="F1" t="str">
        <f t="shared" ca="1" si="0"/>
        <v>Pt[Średnia]</v>
      </c>
      <c r="G1" t="str">
        <f t="shared" ca="1" si="0"/>
        <v>Pa[Średnia]</v>
      </c>
      <c r="H1" t="str">
        <f t="shared" ca="1" si="0"/>
        <v>Pq[Średnia]</v>
      </c>
      <c r="I1" t="str">
        <f t="shared" ca="1" si="0"/>
        <v>Psk[Średnia]</v>
      </c>
      <c r="J1" t="str">
        <f t="shared" ca="1" si="0"/>
        <v>Pku[Średnia]</v>
      </c>
      <c r="K1" t="str">
        <f t="shared" ca="1" si="0"/>
        <v>PSm (Brak uśredniania (pojedyncza wartość))[Średnia]</v>
      </c>
      <c r="L1" t="str">
        <f t="shared" ca="1" si="0"/>
        <v>Pdq[Średnia]</v>
      </c>
      <c r="M1" t="str">
        <f t="shared" ca="1" si="0"/>
        <v>Pmr (c = 1 µm poniżej najwyższego wypiętrzenia)[Średnia]</v>
      </c>
      <c r="N1" t="str">
        <f t="shared" ca="1" si="0"/>
        <v>Pdc (p = 20%, q = 80%)[Średnia]</v>
      </c>
      <c r="O1" t="str">
        <f t="shared" ca="1" si="0"/>
        <v>PPc (Brak uśredniania (pojedyncza wartość))[Średnia]</v>
      </c>
    </row>
    <row r="2" spans="1:15" x14ac:dyDescent="0.2">
      <c r="C2">
        <v>4</v>
      </c>
      <c r="D2">
        <f>C2+4</f>
        <v>8</v>
      </c>
      <c r="E2">
        <f t="shared" ref="E2:O2" si="1">D2+4</f>
        <v>12</v>
      </c>
      <c r="F2">
        <f t="shared" si="1"/>
        <v>16</v>
      </c>
      <c r="G2">
        <f t="shared" si="1"/>
        <v>20</v>
      </c>
      <c r="H2">
        <f t="shared" si="1"/>
        <v>24</v>
      </c>
      <c r="I2">
        <f t="shared" si="1"/>
        <v>28</v>
      </c>
      <c r="J2">
        <f t="shared" si="1"/>
        <v>32</v>
      </c>
      <c r="K2">
        <f t="shared" si="1"/>
        <v>36</v>
      </c>
      <c r="L2">
        <f t="shared" si="1"/>
        <v>40</v>
      </c>
      <c r="M2">
        <f t="shared" si="1"/>
        <v>44</v>
      </c>
      <c r="N2">
        <f t="shared" si="1"/>
        <v>48</v>
      </c>
      <c r="O2">
        <f t="shared" si="1"/>
        <v>52</v>
      </c>
    </row>
    <row r="3" spans="1:15" x14ac:dyDescent="0.2">
      <c r="B3">
        <f>Baza!R1</f>
        <v>40</v>
      </c>
      <c r="C3">
        <f ca="1">OFFSET(Baza!$R1,0,C$2)</f>
        <v>40</v>
      </c>
      <c r="D3">
        <f ca="1">OFFSET(Baza!$R1,0,D$2)</f>
        <v>40</v>
      </c>
      <c r="E3">
        <f ca="1">OFFSET(Baza!$R1,0,E$2)</f>
        <v>40</v>
      </c>
      <c r="F3">
        <f ca="1">OFFSET(Baza!$R1,0,F$2)</f>
        <v>40</v>
      </c>
      <c r="G3">
        <f ca="1">OFFSET(Baza!$R1,0,G$2)</f>
        <v>40</v>
      </c>
      <c r="H3">
        <f ca="1">OFFSET(Baza!$R1,0,H$2)</f>
        <v>40</v>
      </c>
      <c r="I3">
        <f ca="1">OFFSET(Baza!$R1,0,I$2)</f>
        <v>40</v>
      </c>
      <c r="J3">
        <f ca="1">OFFSET(Baza!$R1,0,J$2)</f>
        <v>40</v>
      </c>
      <c r="K3">
        <f ca="1">OFFSET(Baza!$R1,0,K$2)</f>
        <v>40</v>
      </c>
      <c r="L3">
        <f ca="1">OFFSET(Baza!$R1,0,L$2)</f>
        <v>40</v>
      </c>
      <c r="M3">
        <f ca="1">OFFSET(Baza!$R1,0,M$2)</f>
        <v>40</v>
      </c>
      <c r="N3">
        <f ca="1">OFFSET(Baza!$R1,0,N$2)</f>
        <v>40</v>
      </c>
      <c r="O3">
        <f ca="1">OFFSET(Baza!$R1,0,O$2)</f>
        <v>40</v>
      </c>
    </row>
    <row r="4" spans="1:15" x14ac:dyDescent="0.2">
      <c r="B4" t="str">
        <f>Baza!R2</f>
        <v>Pp[Średnia]</v>
      </c>
      <c r="C4" t="str">
        <f ca="1">OFFSET(Baza!$R2,0,C$2)</f>
        <v>Pv[Średnia]</v>
      </c>
      <c r="D4" t="str">
        <f ca="1">OFFSET(Baza!$R2,0,D$2)</f>
        <v>Pz[Średnia]</v>
      </c>
      <c r="E4" t="str">
        <f ca="1">OFFSET(Baza!$R2,0,E$2)</f>
        <v>Pc (Brak uśredniania (pojedyncza wartość))[Średnia]</v>
      </c>
      <c r="F4" t="str">
        <f ca="1">OFFSET(Baza!$R2,0,F$2)</f>
        <v>Pt[Średnia]</v>
      </c>
      <c r="G4" t="str">
        <f ca="1">OFFSET(Baza!$R2,0,G$2)</f>
        <v>Pa[Średnia]</v>
      </c>
      <c r="H4" t="str">
        <f ca="1">OFFSET(Baza!$R2,0,H$2)</f>
        <v>Pq[Średnia]</v>
      </c>
      <c r="I4" t="str">
        <f ca="1">OFFSET(Baza!$R2,0,I$2)</f>
        <v>Psk[Średnia]</v>
      </c>
      <c r="J4" t="str">
        <f ca="1">OFFSET(Baza!$R2,0,J$2)</f>
        <v>Pku[Średnia]</v>
      </c>
      <c r="K4" t="str">
        <f ca="1">OFFSET(Baza!$R2,0,K$2)</f>
        <v>PSm (Brak uśredniania (pojedyncza wartość))[Średnia]</v>
      </c>
      <c r="L4" t="str">
        <f ca="1">OFFSET(Baza!$R2,0,L$2)</f>
        <v>Pdq[Średnia]</v>
      </c>
      <c r="M4" t="str">
        <f ca="1">OFFSET(Baza!$R2,0,M$2)</f>
        <v>Pmr (c = 1 µm poniżej najwyższego wypiętrzenia)[Średnia]</v>
      </c>
      <c r="N4" t="str">
        <f ca="1">OFFSET(Baza!$R2,0,N$2)</f>
        <v>Pdc (p = 20%, q = 80%)[Średnia]</v>
      </c>
      <c r="O4" t="str">
        <f ca="1">OFFSET(Baza!$R2,0,O$2)</f>
        <v>PPc (Brak uśredniania (pojedyncza wartość))[Średnia]</v>
      </c>
    </row>
    <row r="5" spans="1:15" x14ac:dyDescent="0.2">
      <c r="B5" t="str">
        <f>Baza!R3</f>
        <v>µm</v>
      </c>
      <c r="C5" t="str">
        <f ca="1">OFFSET(Baza!$R3,0,C$2)</f>
        <v>µm</v>
      </c>
      <c r="D5" t="str">
        <f ca="1">OFFSET(Baza!$R3,0,D$2)</f>
        <v>µm</v>
      </c>
      <c r="E5" t="str">
        <f ca="1">OFFSET(Baza!$R3,0,E$2)</f>
        <v>µm</v>
      </c>
      <c r="F5" t="str">
        <f ca="1">OFFSET(Baza!$R3,0,F$2)</f>
        <v>µm</v>
      </c>
      <c r="G5" t="str">
        <f ca="1">OFFSET(Baza!$R3,0,G$2)</f>
        <v>µm</v>
      </c>
      <c r="H5" t="str">
        <f ca="1">OFFSET(Baza!$R3,0,H$2)</f>
        <v>µm</v>
      </c>
      <c r="I5" t="str">
        <f ca="1">OFFSET(Baza!$R3,0,I$2)</f>
        <v>&lt;no unit&gt;</v>
      </c>
      <c r="J5" t="str">
        <f ca="1">OFFSET(Baza!$R3,0,J$2)</f>
        <v>&lt;no unit&gt;</v>
      </c>
      <c r="K5" t="str">
        <f ca="1">OFFSET(Baza!$R3,0,K$2)</f>
        <v>mm</v>
      </c>
      <c r="L5" t="str">
        <f ca="1">OFFSET(Baza!$R3,0,L$2)</f>
        <v>°</v>
      </c>
      <c r="M5" t="str">
        <f ca="1">OFFSET(Baza!$R3,0,M$2)</f>
        <v>%</v>
      </c>
      <c r="N5" t="str">
        <f ca="1">OFFSET(Baza!$R3,0,N$2)</f>
        <v>µm</v>
      </c>
      <c r="O5" t="str">
        <f ca="1">OFFSET(Baza!$R3,0,O$2)</f>
        <v>1/cm</v>
      </c>
    </row>
    <row r="6" spans="1:15" x14ac:dyDescent="0.2">
      <c r="A6" s="1" t="s">
        <v>245</v>
      </c>
      <c r="B6">
        <f>Baza!R4</f>
        <v>0.77338275869999995</v>
      </c>
      <c r="C6">
        <f ca="1">OFFSET(Baza!$R4,0,C$2)</f>
        <v>0.81000228019999998</v>
      </c>
      <c r="D6">
        <f ca="1">OFFSET(Baza!$R4,0,D$2)</f>
        <v>1.5833850389999999</v>
      </c>
      <c r="E6">
        <f ca="1">OFFSET(Baza!$R4,0,E$2)</f>
        <v>0.47018989179999998</v>
      </c>
      <c r="F6">
        <f ca="1">OFFSET(Baza!$R4,0,F$2)</f>
        <v>1.5833850389999999</v>
      </c>
      <c r="G6">
        <f ca="1">OFFSET(Baza!$R4,0,G$2)</f>
        <v>0.15971601739999999</v>
      </c>
      <c r="H6">
        <f ca="1">OFFSET(Baza!$R4,0,H$2)</f>
        <v>0.20316413280000001</v>
      </c>
      <c r="I6">
        <f ca="1">OFFSET(Baza!$R4,0,I$2)</f>
        <v>-0.17850122700000001</v>
      </c>
      <c r="J6">
        <f ca="1">OFFSET(Baza!$R4,0,J$2)</f>
        <v>3.442842255</v>
      </c>
      <c r="K6">
        <f ca="1">OFFSET(Baza!$R4,0,K$2)</f>
        <v>4.791311291E-2</v>
      </c>
      <c r="L6">
        <f ca="1">OFFSET(Baza!$R4,0,L$2)</f>
        <v>2.6635428609999998</v>
      </c>
      <c r="M6">
        <f ca="1">OFFSET(Baza!$R4,0,M$2)</f>
        <v>81.79246268</v>
      </c>
      <c r="N6">
        <f ca="1">OFFSET(Baza!$R4,0,N$2)</f>
        <v>0.33062377570000001</v>
      </c>
      <c r="O6">
        <f ca="1">OFFSET(Baza!$R4,0,O$2)</f>
        <v>254.1637561</v>
      </c>
    </row>
    <row r="7" spans="1:15" x14ac:dyDescent="0.2">
      <c r="A7" s="1" t="s">
        <v>246</v>
      </c>
      <c r="B7">
        <f>Baza!R5</f>
        <v>0.80086790539999997</v>
      </c>
      <c r="C7">
        <f ca="1">OFFSET(Baza!$R5,0,C$2)</f>
        <v>1.0031106789999999</v>
      </c>
      <c r="D7">
        <f ca="1">OFFSET(Baza!$R5,0,D$2)</f>
        <v>1.803978584</v>
      </c>
      <c r="E7">
        <f ca="1">OFFSET(Baza!$R5,0,E$2)</f>
        <v>0.54008131839999995</v>
      </c>
      <c r="F7">
        <f ca="1">OFFSET(Baza!$R5,0,F$2)</f>
        <v>1.803978584</v>
      </c>
      <c r="G7">
        <f ca="1">OFFSET(Baza!$R5,0,G$2)</f>
        <v>0.17933656310000001</v>
      </c>
      <c r="H7">
        <f ca="1">OFFSET(Baza!$R5,0,H$2)</f>
        <v>0.2295820311</v>
      </c>
      <c r="I7">
        <f ca="1">OFFSET(Baza!$R5,0,I$2)</f>
        <v>-0.25229707179999999</v>
      </c>
      <c r="J7">
        <f ca="1">OFFSET(Baza!$R5,0,J$2)</f>
        <v>3.6598020870000001</v>
      </c>
      <c r="K7">
        <f ca="1">OFFSET(Baza!$R5,0,K$2)</f>
        <v>4.3130286230000002E-2</v>
      </c>
      <c r="L7">
        <f ca="1">OFFSET(Baza!$R5,0,L$2)</f>
        <v>2.7894406300000001</v>
      </c>
      <c r="M7">
        <f ca="1">OFFSET(Baza!$R5,0,M$2)</f>
        <v>77.859484910000006</v>
      </c>
      <c r="N7">
        <f ca="1">OFFSET(Baza!$R5,0,N$2)</f>
        <v>0.36892926380000002</v>
      </c>
      <c r="O7">
        <f ca="1">OFFSET(Baza!$R5,0,O$2)</f>
        <v>235.14418520000001</v>
      </c>
    </row>
    <row r="8" spans="1:15" x14ac:dyDescent="0.2">
      <c r="A8" s="1" t="s">
        <v>247</v>
      </c>
      <c r="B8">
        <f>Baza!R6</f>
        <v>0.9672295796</v>
      </c>
      <c r="C8">
        <f ca="1">OFFSET(Baza!$R6,0,C$2)</f>
        <v>1.258182194</v>
      </c>
      <c r="D8">
        <f ca="1">OFFSET(Baza!$R6,0,D$2)</f>
        <v>2.2254117739999999</v>
      </c>
      <c r="E8">
        <f ca="1">OFFSET(Baza!$R6,0,E$2)</f>
        <v>0.65541317040000002</v>
      </c>
      <c r="F8">
        <f ca="1">OFFSET(Baza!$R6,0,F$2)</f>
        <v>2.2254117739999999</v>
      </c>
      <c r="G8">
        <f ca="1">OFFSET(Baza!$R6,0,G$2)</f>
        <v>0.2116383567</v>
      </c>
      <c r="H8">
        <f ca="1">OFFSET(Baza!$R6,0,H$2)</f>
        <v>0.27391344379999999</v>
      </c>
      <c r="I8">
        <f ca="1">OFFSET(Baza!$R6,0,I$2)</f>
        <v>-0.25446177869999997</v>
      </c>
      <c r="J8">
        <f ca="1">OFFSET(Baza!$R6,0,J$2)</f>
        <v>3.9577627519999998</v>
      </c>
      <c r="K8">
        <f ca="1">OFFSET(Baza!$R6,0,K$2)</f>
        <v>3.9788545979999999E-2</v>
      </c>
      <c r="L8">
        <f ca="1">OFFSET(Baza!$R6,0,L$2)</f>
        <v>3.5613343120000001</v>
      </c>
      <c r="M8">
        <f ca="1">OFFSET(Baza!$R6,0,M$2)</f>
        <v>54.49797968</v>
      </c>
      <c r="N8">
        <f ca="1">OFFSET(Baza!$R6,0,N$2)</f>
        <v>0.42987236909999998</v>
      </c>
      <c r="O8">
        <f ca="1">OFFSET(Baza!$R6,0,O$2)</f>
        <v>255.5230928</v>
      </c>
    </row>
    <row r="9" spans="1:15" x14ac:dyDescent="0.2">
      <c r="A9" s="1" t="s">
        <v>248</v>
      </c>
      <c r="B9">
        <f>Baza!R7</f>
        <v>1.0643624309999999</v>
      </c>
      <c r="C9">
        <f ca="1">OFFSET(Baza!$R7,0,C$2)</f>
        <v>0.98852415090000001</v>
      </c>
      <c r="D9">
        <f ca="1">OFFSET(Baza!$R7,0,D$2)</f>
        <v>2.0528865820000002</v>
      </c>
      <c r="E9">
        <f ca="1">OFFSET(Baza!$R7,0,E$2)</f>
        <v>0.57758719449999996</v>
      </c>
      <c r="F9">
        <f ca="1">OFFSET(Baza!$R7,0,F$2)</f>
        <v>2.0528865820000002</v>
      </c>
      <c r="G9">
        <f ca="1">OFFSET(Baza!$R7,0,G$2)</f>
        <v>0.18691222809999999</v>
      </c>
      <c r="H9">
        <f ca="1">OFFSET(Baza!$R7,0,H$2)</f>
        <v>0.24022306090000001</v>
      </c>
      <c r="I9">
        <f ca="1">OFFSET(Baza!$R7,0,I$2)</f>
        <v>-0.1151672352</v>
      </c>
      <c r="J9">
        <f ca="1">OFFSET(Baza!$R7,0,J$2)</f>
        <v>3.8135554520000001</v>
      </c>
      <c r="K9">
        <f ca="1">OFFSET(Baza!$R7,0,K$2)</f>
        <v>3.8353559699999998E-2</v>
      </c>
      <c r="L9">
        <f ca="1">OFFSET(Baza!$R7,0,L$2)</f>
        <v>4.1570975270000003</v>
      </c>
      <c r="M9">
        <f ca="1">OFFSET(Baza!$R7,0,M$2)</f>
        <v>41.330293599999997</v>
      </c>
      <c r="N9">
        <f ca="1">OFFSET(Baza!$R7,0,N$2)</f>
        <v>0.38362741020000002</v>
      </c>
      <c r="O9">
        <f ca="1">OFFSET(Baza!$R7,0,O$2)</f>
        <v>327.44458900000001</v>
      </c>
    </row>
    <row r="10" spans="1:15" x14ac:dyDescent="0.2">
      <c r="A10" s="1" t="s">
        <v>249</v>
      </c>
      <c r="B10">
        <f>Baza!R8</f>
        <v>0.98166248320000005</v>
      </c>
      <c r="C10">
        <f ca="1">OFFSET(Baza!$R8,0,C$2)</f>
        <v>1.256642327</v>
      </c>
      <c r="D10">
        <f ca="1">OFFSET(Baza!$R8,0,D$2)</f>
        <v>2.2383048109999999</v>
      </c>
      <c r="E10">
        <f ca="1">OFFSET(Baza!$R8,0,E$2)</f>
        <v>0.6322969517</v>
      </c>
      <c r="F10">
        <f ca="1">OFFSET(Baza!$R8,0,F$2)</f>
        <v>2.2383048109999999</v>
      </c>
      <c r="G10">
        <f ca="1">OFFSET(Baza!$R8,0,G$2)</f>
        <v>0.1987579015</v>
      </c>
      <c r="H10">
        <f ca="1">OFFSET(Baza!$R8,0,H$2)</f>
        <v>0.25820092620000001</v>
      </c>
      <c r="I10">
        <f ca="1">OFFSET(Baza!$R8,0,I$2)</f>
        <v>-0.36219443890000003</v>
      </c>
      <c r="J10">
        <f ca="1">OFFSET(Baza!$R8,0,J$2)</f>
        <v>4.1728674159999999</v>
      </c>
      <c r="K10">
        <f ca="1">OFFSET(Baza!$R8,0,K$2)</f>
        <v>3.422019364E-2</v>
      </c>
      <c r="L10">
        <f ca="1">OFFSET(Baza!$R8,0,L$2)</f>
        <v>4.1153631539999997</v>
      </c>
      <c r="M10">
        <f ca="1">OFFSET(Baza!$R8,0,M$2)</f>
        <v>53.75672797</v>
      </c>
      <c r="N10">
        <f ca="1">OFFSET(Baza!$R8,0,N$2)</f>
        <v>0.40173487229999999</v>
      </c>
      <c r="O10">
        <f ca="1">OFFSET(Baza!$R8,0,O$2)</f>
        <v>295.46403240000001</v>
      </c>
    </row>
    <row r="11" spans="1:15" x14ac:dyDescent="0.2">
      <c r="A11" s="1" t="s">
        <v>250</v>
      </c>
      <c r="B11">
        <f>Baza!R9</f>
        <v>1.1358450520000001</v>
      </c>
      <c r="C11">
        <f ca="1">OFFSET(Baza!$R9,0,C$2)</f>
        <v>1.661226664</v>
      </c>
      <c r="D11">
        <f ca="1">OFFSET(Baza!$R9,0,D$2)</f>
        <v>2.797071716</v>
      </c>
      <c r="E11">
        <f ca="1">OFFSET(Baza!$R9,0,E$2)</f>
        <v>0.77998371430000002</v>
      </c>
      <c r="F11">
        <f ca="1">OFFSET(Baza!$R9,0,F$2)</f>
        <v>2.797071716</v>
      </c>
      <c r="G11">
        <f ca="1">OFFSET(Baza!$R9,0,G$2)</f>
        <v>0.2377343895</v>
      </c>
      <c r="H11">
        <f ca="1">OFFSET(Baza!$R9,0,H$2)</f>
        <v>0.31339901650000002</v>
      </c>
      <c r="I11">
        <f ca="1">OFFSET(Baza!$R9,0,I$2)</f>
        <v>-0.4784543134</v>
      </c>
      <c r="J11">
        <f ca="1">OFFSET(Baza!$R9,0,J$2)</f>
        <v>4.6611834700000001</v>
      </c>
      <c r="K11">
        <f ca="1">OFFSET(Baza!$R9,0,K$2)</f>
        <v>3.2484945260000002E-2</v>
      </c>
      <c r="L11">
        <f ca="1">OFFSET(Baza!$R9,0,L$2)</f>
        <v>5.206696258</v>
      </c>
      <c r="M11">
        <f ca="1">OFFSET(Baza!$R9,0,M$2)</f>
        <v>35.951669199999998</v>
      </c>
      <c r="N11">
        <f ca="1">OFFSET(Baza!$R9,0,N$2)</f>
        <v>0.47221956310000002</v>
      </c>
      <c r="O11">
        <f ca="1">OFFSET(Baza!$R9,0,O$2)</f>
        <v>311.87097899999998</v>
      </c>
    </row>
    <row r="12" spans="1:15" x14ac:dyDescent="0.2">
      <c r="A12" s="1" t="s">
        <v>251</v>
      </c>
      <c r="B12">
        <f>Baza!R10</f>
        <v>1.069545041</v>
      </c>
      <c r="C12">
        <f ca="1">OFFSET(Baza!$R10,0,C$2)</f>
        <v>1.987750672</v>
      </c>
      <c r="D12">
        <f ca="1">OFFSET(Baza!$R10,0,D$2)</f>
        <v>3.0572957129999998</v>
      </c>
      <c r="E12">
        <f ca="1">OFFSET(Baza!$R10,0,E$2)</f>
        <v>0.91180014620000005</v>
      </c>
      <c r="F12">
        <f ca="1">OFFSET(Baza!$R10,0,F$2)</f>
        <v>3.0572957129999998</v>
      </c>
      <c r="G12">
        <f ca="1">OFFSET(Baza!$R10,0,G$2)</f>
        <v>0.42547487080000002</v>
      </c>
      <c r="H12">
        <f ca="1">OFFSET(Baza!$R10,0,H$2)</f>
        <v>0.52302724060000005</v>
      </c>
      <c r="I12">
        <f ca="1">OFFSET(Baza!$R10,0,I$2)</f>
        <v>-0.5005720347</v>
      </c>
      <c r="J12">
        <f ca="1">OFFSET(Baza!$R10,0,J$2)</f>
        <v>3.0206632920000001</v>
      </c>
      <c r="K12">
        <f ca="1">OFFSET(Baza!$R10,0,K$2)</f>
        <v>0.14805498510000001</v>
      </c>
      <c r="L12">
        <f ca="1">OFFSET(Baza!$R10,0,L$2)</f>
        <v>2.126438587</v>
      </c>
      <c r="M12">
        <f ca="1">OFFSET(Baza!$R10,0,M$2)</f>
        <v>51.112376750000003</v>
      </c>
      <c r="N12">
        <f ca="1">OFFSET(Baza!$R10,0,N$2)</f>
        <v>0.92209084529999996</v>
      </c>
      <c r="O12">
        <f ca="1">OFFSET(Baza!$R10,0,O$2)</f>
        <v>77.556756669999999</v>
      </c>
    </row>
    <row r="13" spans="1:15" x14ac:dyDescent="0.2">
      <c r="A13" s="1" t="s">
        <v>252</v>
      </c>
      <c r="B13">
        <f>Baza!R11</f>
        <v>0.63912395290000001</v>
      </c>
      <c r="C13">
        <f ca="1">OFFSET(Baza!$R11,0,C$2)</f>
        <v>0.78528018929999999</v>
      </c>
      <c r="D13">
        <f ca="1">OFFSET(Baza!$R11,0,D$2)</f>
        <v>1.424404142</v>
      </c>
      <c r="E13">
        <f ca="1">OFFSET(Baza!$R11,0,E$2)</f>
        <v>0.44472070279999998</v>
      </c>
      <c r="F13">
        <f ca="1">OFFSET(Baza!$R11,0,F$2)</f>
        <v>1.424404142</v>
      </c>
      <c r="G13">
        <f ca="1">OFFSET(Baza!$R11,0,G$2)</f>
        <v>0.1779992863</v>
      </c>
      <c r="H13">
        <f ca="1">OFFSET(Baza!$R11,0,H$2)</f>
        <v>0.2205081934</v>
      </c>
      <c r="I13">
        <f ca="1">OFFSET(Baza!$R11,0,I$2)</f>
        <v>-0.23167843639999999</v>
      </c>
      <c r="J13">
        <f ca="1">OFFSET(Baza!$R11,0,J$2)</f>
        <v>2.9804479110000002</v>
      </c>
      <c r="K13">
        <f ca="1">OFFSET(Baza!$R11,0,K$2)</f>
        <v>9.8361383299999994E-2</v>
      </c>
      <c r="L13">
        <f ca="1">OFFSET(Baza!$R11,0,L$2)</f>
        <v>1.1717983970000001</v>
      </c>
      <c r="M13">
        <f ca="1">OFFSET(Baza!$R11,0,M$2)</f>
        <v>90.558099560000002</v>
      </c>
      <c r="N13">
        <f ca="1">OFFSET(Baza!$R11,0,N$2)</f>
        <v>0.38206249409999998</v>
      </c>
      <c r="O13">
        <f ca="1">OFFSET(Baza!$R11,0,O$2)</f>
        <v>103.5674473</v>
      </c>
    </row>
    <row r="14" spans="1:15" x14ac:dyDescent="0.2">
      <c r="A14" s="1" t="s">
        <v>253</v>
      </c>
      <c r="B14">
        <f>Baza!R12</f>
        <v>0.83573120140000001</v>
      </c>
      <c r="C14">
        <f ca="1">OFFSET(Baza!$R12,0,C$2)</f>
        <v>0.91702321440000001</v>
      </c>
      <c r="D14">
        <f ca="1">OFFSET(Baza!$R12,0,D$2)</f>
        <v>1.7527544159999999</v>
      </c>
      <c r="E14">
        <f ca="1">OFFSET(Baza!$R12,0,E$2)</f>
        <v>0.55700628299999999</v>
      </c>
      <c r="F14">
        <f ca="1">OFFSET(Baza!$R12,0,F$2)</f>
        <v>1.7527544159999999</v>
      </c>
      <c r="G14">
        <f ca="1">OFFSET(Baza!$R12,0,G$2)</f>
        <v>0.2195131246</v>
      </c>
      <c r="H14">
        <f ca="1">OFFSET(Baza!$R12,0,H$2)</f>
        <v>0.27263084539999999</v>
      </c>
      <c r="I14">
        <f ca="1">OFFSET(Baza!$R12,0,I$2)</f>
        <v>-0.2200647272</v>
      </c>
      <c r="J14">
        <f ca="1">OFFSET(Baza!$R12,0,J$2)</f>
        <v>2.9152879970000001</v>
      </c>
      <c r="K14">
        <f ca="1">OFFSET(Baza!$R12,0,K$2)</f>
        <v>0.1033611967</v>
      </c>
      <c r="L14">
        <f ca="1">OFFSET(Baza!$R12,0,L$2)</f>
        <v>1.3915907789999999</v>
      </c>
      <c r="M14">
        <f ca="1">OFFSET(Baza!$R12,0,M$2)</f>
        <v>71.115670980000004</v>
      </c>
      <c r="N14">
        <f ca="1">OFFSET(Baza!$R12,0,N$2)</f>
        <v>0.46880981399999999</v>
      </c>
      <c r="O14">
        <f ca="1">OFFSET(Baza!$R12,0,O$2)</f>
        <v>98.123686730000003</v>
      </c>
    </row>
    <row r="15" spans="1:15" x14ac:dyDescent="0.2">
      <c r="A15" s="1" t="s">
        <v>254</v>
      </c>
      <c r="B15">
        <f>Baza!R13</f>
        <v>1.8492472419999999</v>
      </c>
      <c r="C15">
        <f ca="1">OFFSET(Baza!$R13,0,C$2)</f>
        <v>1.556881859</v>
      </c>
      <c r="D15">
        <f ca="1">OFFSET(Baza!$R13,0,D$2)</f>
        <v>3.4061291009999999</v>
      </c>
      <c r="E15">
        <f ca="1">OFFSET(Baza!$R13,0,E$2)</f>
        <v>1.3773663949999999</v>
      </c>
      <c r="F15">
        <f ca="1">OFFSET(Baza!$R13,0,F$2)</f>
        <v>3.4061291009999999</v>
      </c>
      <c r="G15">
        <f ca="1">OFFSET(Baza!$R13,0,G$2)</f>
        <v>0.42248848680000001</v>
      </c>
      <c r="H15">
        <f ca="1">OFFSET(Baza!$R13,0,H$2)</f>
        <v>0.52618548570000001</v>
      </c>
      <c r="I15">
        <f ca="1">OFFSET(Baza!$R13,0,I$2)</f>
        <v>0.11002674699999999</v>
      </c>
      <c r="J15">
        <f ca="1">OFFSET(Baza!$R13,0,J$2)</f>
        <v>2.9637043680000001</v>
      </c>
      <c r="K15">
        <f ca="1">OFFSET(Baza!$R13,0,K$2)</f>
        <v>4.472088749E-2</v>
      </c>
      <c r="L15">
        <f ca="1">OFFSET(Baza!$R13,0,L$2)</f>
        <v>9.0325214690000006</v>
      </c>
      <c r="M15">
        <f ca="1">OFFSET(Baza!$R13,0,M$2)</f>
        <v>6.9240400409999996</v>
      </c>
      <c r="N15">
        <f ca="1">OFFSET(Baza!$R13,0,N$2)</f>
        <v>0.89836811400000005</v>
      </c>
      <c r="O15">
        <f ca="1">OFFSET(Baza!$R13,0,O$2)</f>
        <v>226.2403908</v>
      </c>
    </row>
    <row r="16" spans="1:15" x14ac:dyDescent="0.2">
      <c r="A16" s="1" t="s">
        <v>257</v>
      </c>
      <c r="B16">
        <f>Baza!R14</f>
        <v>1.8529773190000001</v>
      </c>
      <c r="C16">
        <f ca="1">OFFSET(Baza!$R14,0,C$2)</f>
        <v>1.5757344179999999</v>
      </c>
      <c r="D16">
        <f ca="1">OFFSET(Baza!$R14,0,D$2)</f>
        <v>3.428711737</v>
      </c>
      <c r="E16">
        <f ca="1">OFFSET(Baza!$R14,0,E$2)</f>
        <v>1.3865018499999999</v>
      </c>
      <c r="F16">
        <f ca="1">OFFSET(Baza!$R14,0,F$2)</f>
        <v>3.428711737</v>
      </c>
      <c r="G16">
        <f ca="1">OFFSET(Baza!$R14,0,G$2)</f>
        <v>0.42414007749999999</v>
      </c>
      <c r="H16">
        <f ca="1">OFFSET(Baza!$R14,0,H$2)</f>
        <v>0.52794054629999998</v>
      </c>
      <c r="I16">
        <f ca="1">OFFSET(Baza!$R14,0,I$2)</f>
        <v>0.1127535111</v>
      </c>
      <c r="J16">
        <f ca="1">OFFSET(Baza!$R14,0,J$2)</f>
        <v>2.9577027349999998</v>
      </c>
      <c r="K16">
        <f ca="1">OFFSET(Baza!$R14,0,K$2)</f>
        <v>4.4028430889999998E-2</v>
      </c>
      <c r="L16">
        <f ca="1">OFFSET(Baza!$R14,0,L$2)</f>
        <v>9.2166527889999994</v>
      </c>
      <c r="M16">
        <f ca="1">OFFSET(Baza!$R14,0,M$2)</f>
        <v>6.9624165089999996</v>
      </c>
      <c r="N16">
        <f ca="1">OFFSET(Baza!$R14,0,N$2)</f>
        <v>0.90425859070000003</v>
      </c>
      <c r="O16">
        <f ca="1">OFFSET(Baza!$R14,0,O$2)</f>
        <v>229.31799409999999</v>
      </c>
    </row>
    <row r="17" spans="1:15" x14ac:dyDescent="0.2">
      <c r="A17" s="1" t="s">
        <v>255</v>
      </c>
      <c r="B17">
        <f>Baza!R15</f>
        <v>0.35218390199999999</v>
      </c>
      <c r="C17">
        <f ca="1">OFFSET(Baza!$R15,0,C$2)</f>
        <v>0.3606443822</v>
      </c>
      <c r="D17">
        <f ca="1">OFFSET(Baza!$R15,0,D$2)</f>
        <v>0.7128282842</v>
      </c>
      <c r="E17">
        <f ca="1">OFFSET(Baza!$R15,0,E$2)</f>
        <v>0.2163169083</v>
      </c>
      <c r="F17">
        <f ca="1">OFFSET(Baza!$R15,0,F$2)</f>
        <v>0.7128282842</v>
      </c>
      <c r="G17">
        <f ca="1">OFFSET(Baza!$R15,0,G$2)</f>
        <v>9.066794517E-2</v>
      </c>
      <c r="H17">
        <f ca="1">OFFSET(Baza!$R15,0,H$2)</f>
        <v>0.11321210180000001</v>
      </c>
      <c r="I17">
        <f ca="1">OFFSET(Baza!$R15,0,I$2)</f>
        <v>-7.4240248549999999E-2</v>
      </c>
      <c r="J17">
        <f ca="1">OFFSET(Baza!$R15,0,J$2)</f>
        <v>2.9414494160000002</v>
      </c>
      <c r="K17">
        <f ca="1">OFFSET(Baza!$R15,0,K$2)</f>
        <v>0.1080079483</v>
      </c>
      <c r="L17">
        <f ca="1">OFFSET(Baza!$R15,0,L$2)</f>
        <v>0.59745786290000003</v>
      </c>
      <c r="M17">
        <f ca="1">OFFSET(Baza!$R15,0,M$2)</f>
        <v>100</v>
      </c>
      <c r="N17">
        <f ca="1">OFFSET(Baza!$R15,0,N$2)</f>
        <v>0.19258839259999999</v>
      </c>
      <c r="O17">
        <f ca="1">OFFSET(Baza!$R15,0,O$2)</f>
        <v>95.027650429999994</v>
      </c>
    </row>
    <row r="18" spans="1:15" x14ac:dyDescent="0.2">
      <c r="A18" s="1" t="s">
        <v>256</v>
      </c>
      <c r="B18">
        <f>Baza!R16</f>
        <v>0.58416418059999997</v>
      </c>
      <c r="C18">
        <f ca="1">OFFSET(Baza!$R16,0,C$2)</f>
        <v>0.57225968780000003</v>
      </c>
      <c r="D18">
        <f ca="1">OFFSET(Baza!$R16,0,D$2)</f>
        <v>1.1564238680000001</v>
      </c>
      <c r="E18">
        <f ca="1">OFFSET(Baza!$R16,0,E$2)</f>
        <v>0.37688638219999998</v>
      </c>
      <c r="F18">
        <f ca="1">OFFSET(Baza!$R16,0,F$2)</f>
        <v>1.1564238680000001</v>
      </c>
      <c r="G18">
        <f ca="1">OFFSET(Baza!$R16,0,G$2)</f>
        <v>0.14828652270000001</v>
      </c>
      <c r="H18">
        <f ca="1">OFFSET(Baza!$R16,0,H$2)</f>
        <v>0.1847567769</v>
      </c>
      <c r="I18">
        <f ca="1">OFFSET(Baza!$R16,0,I$2)</f>
        <v>-6.1677161310000001E-3</v>
      </c>
      <c r="J18">
        <f ca="1">OFFSET(Baza!$R16,0,J$2)</f>
        <v>2.8946611689999999</v>
      </c>
      <c r="K18">
        <f ca="1">OFFSET(Baza!$R16,0,K$2)</f>
        <v>7.8232903029999995E-2</v>
      </c>
      <c r="L18">
        <f ca="1">OFFSET(Baza!$R16,0,L$2)</f>
        <v>1.8261272230000001</v>
      </c>
      <c r="M18">
        <f ca="1">OFFSET(Baza!$R16,0,M$2)</f>
        <v>97.868911679999997</v>
      </c>
      <c r="N18">
        <f ca="1">OFFSET(Baza!$R16,0,N$2)</f>
        <v>0.31452882669999999</v>
      </c>
      <c r="O18">
        <f ca="1">OFFSET(Baza!$R16,0,O$2)</f>
        <v>131.61122810000001</v>
      </c>
    </row>
    <row r="19" spans="1:15" x14ac:dyDescent="0.2">
      <c r="A19" s="1" t="s">
        <v>258</v>
      </c>
      <c r="B19">
        <f>Baza!R17</f>
        <v>0.35120181420000002</v>
      </c>
      <c r="C19">
        <f ca="1">OFFSET(Baza!$R17,0,C$2)</f>
        <v>0.34374826469999997</v>
      </c>
      <c r="D19">
        <f ca="1">OFFSET(Baza!$R17,0,D$2)</f>
        <v>0.69495007890000005</v>
      </c>
      <c r="E19">
        <f ca="1">OFFSET(Baza!$R17,0,E$2)</f>
        <v>0.2124827289</v>
      </c>
      <c r="F19">
        <f ca="1">OFFSET(Baza!$R17,0,F$2)</f>
        <v>0.69495007890000005</v>
      </c>
      <c r="G19">
        <f ca="1">OFFSET(Baza!$R17,0,G$2)</f>
        <v>8.956559301E-2</v>
      </c>
      <c r="H19">
        <f ca="1">OFFSET(Baza!$R17,0,H$2)</f>
        <v>0.1118375573</v>
      </c>
      <c r="I19">
        <f ca="1">OFFSET(Baza!$R17,0,I$2)</f>
        <v>-8.2723057479999994E-3</v>
      </c>
      <c r="J19">
        <f ca="1">OFFSET(Baza!$R17,0,J$2)</f>
        <v>2.9269152049999998</v>
      </c>
      <c r="K19">
        <f ca="1">OFFSET(Baza!$R17,0,K$2)</f>
        <v>0.1127109253</v>
      </c>
      <c r="L19">
        <f ca="1">OFFSET(Baza!$R17,0,L$2)</f>
        <v>0.52590717099999995</v>
      </c>
      <c r="M19">
        <f ca="1">OFFSET(Baza!$R17,0,M$2)</f>
        <v>99.999767430000006</v>
      </c>
      <c r="N19">
        <f ca="1">OFFSET(Baza!$R17,0,N$2)</f>
        <v>0.19008542740000001</v>
      </c>
      <c r="O19">
        <f ca="1">OFFSET(Baza!$R17,0,O$2)</f>
        <v>91.599363749999995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9"/>
  <sheetViews>
    <sheetView workbookViewId="0">
      <selection activeCell="B2" sqref="B2"/>
    </sheetView>
  </sheetViews>
  <sheetFormatPr baseColWidth="10" defaultColWidth="8.83203125" defaultRowHeight="15" x14ac:dyDescent="0.2"/>
  <cols>
    <col min="1" max="1" width="11.33203125" bestFit="1" customWidth="1"/>
    <col min="2" max="2" width="14.5" bestFit="1" customWidth="1"/>
    <col min="3" max="4" width="12" bestFit="1" customWidth="1"/>
    <col min="5" max="5" width="43.6640625" bestFit="1" customWidth="1"/>
    <col min="6" max="8" width="12" bestFit="1" customWidth="1"/>
    <col min="9" max="9" width="12.6640625" bestFit="1" customWidth="1"/>
    <col min="10" max="10" width="12" bestFit="1" customWidth="1"/>
    <col min="11" max="11" width="45.33203125" bestFit="1" customWidth="1"/>
    <col min="12" max="12" width="12" bestFit="1" customWidth="1"/>
    <col min="13" max="13" width="48.5" bestFit="1" customWidth="1"/>
    <col min="14" max="14" width="26.6640625" bestFit="1" customWidth="1"/>
    <col min="15" max="15" width="44.6640625" bestFit="1" customWidth="1"/>
  </cols>
  <sheetData>
    <row r="1" spans="1:16" x14ac:dyDescent="0.2">
      <c r="B1" t="str">
        <f>B4</f>
        <v>Pp[Średnia]</v>
      </c>
      <c r="C1" t="str">
        <f t="shared" ref="C1:O1" ca="1" si="0">C4</f>
        <v>Pv[Średnia]</v>
      </c>
      <c r="D1" t="str">
        <f t="shared" ca="1" si="0"/>
        <v>Pz[Średnia]</v>
      </c>
      <c r="E1" t="str">
        <f t="shared" ca="1" si="0"/>
        <v>Pc (Brak uśredniania (pojedyncza wartość))[Średnia]</v>
      </c>
      <c r="F1" t="str">
        <f t="shared" ca="1" si="0"/>
        <v>Pt[Średnia]</v>
      </c>
      <c r="G1" t="str">
        <f t="shared" ca="1" si="0"/>
        <v>Pa[Średnia]</v>
      </c>
      <c r="H1" t="str">
        <f t="shared" ca="1" si="0"/>
        <v>Pq[Średnia]</v>
      </c>
      <c r="I1" t="str">
        <f t="shared" ca="1" si="0"/>
        <v>Psk[Średnia]</v>
      </c>
      <c r="J1" t="str">
        <f t="shared" ca="1" si="0"/>
        <v>Pku[Średnia]</v>
      </c>
      <c r="K1" t="str">
        <f t="shared" ca="1" si="0"/>
        <v>PSm (Brak uśredniania (pojedyncza wartość))[Średnia]</v>
      </c>
      <c r="L1" t="str">
        <f t="shared" ca="1" si="0"/>
        <v>Pdq[Średnia]</v>
      </c>
      <c r="M1" t="str">
        <f t="shared" ca="1" si="0"/>
        <v>Pmr (c = 1 µm poniżej najwyższego wypiętrzenia)[Średnia]</v>
      </c>
      <c r="N1" t="str">
        <f t="shared" ca="1" si="0"/>
        <v>Pdc (p = 20%, q = 80%)[Średnia]</v>
      </c>
      <c r="O1" t="str">
        <f t="shared" ca="1" si="0"/>
        <v>PPc (Brak uśredniania (pojedyncza wartość))[Średnia]</v>
      </c>
    </row>
    <row r="2" spans="1:16" x14ac:dyDescent="0.2">
      <c r="B2" s="5" t="s">
        <v>274</v>
      </c>
      <c r="C2" s="5">
        <v>4</v>
      </c>
      <c r="D2" s="5">
        <f>C2+4</f>
        <v>8</v>
      </c>
      <c r="E2" s="5">
        <f t="shared" ref="E2:P2" si="1">D2+4</f>
        <v>12</v>
      </c>
      <c r="F2" s="5">
        <f t="shared" si="1"/>
        <v>16</v>
      </c>
      <c r="G2" s="5">
        <f t="shared" si="1"/>
        <v>20</v>
      </c>
      <c r="H2" s="5">
        <f t="shared" si="1"/>
        <v>24</v>
      </c>
      <c r="I2" s="5">
        <f t="shared" si="1"/>
        <v>28</v>
      </c>
      <c r="J2" s="5">
        <f t="shared" si="1"/>
        <v>32</v>
      </c>
      <c r="K2" s="5">
        <f t="shared" si="1"/>
        <v>36</v>
      </c>
      <c r="L2" s="5">
        <f t="shared" si="1"/>
        <v>40</v>
      </c>
      <c r="M2" s="5">
        <f t="shared" si="1"/>
        <v>44</v>
      </c>
      <c r="N2" s="5">
        <f t="shared" si="1"/>
        <v>48</v>
      </c>
      <c r="O2" s="5">
        <f t="shared" si="1"/>
        <v>52</v>
      </c>
      <c r="P2" s="5">
        <f t="shared" si="1"/>
        <v>56</v>
      </c>
    </row>
    <row r="3" spans="1:16" x14ac:dyDescent="0.2">
      <c r="B3">
        <f>Baza!BV1</f>
        <v>41</v>
      </c>
      <c r="C3">
        <f ca="1">OFFSET(Baza!$BV1,0,C$2)</f>
        <v>41</v>
      </c>
      <c r="D3">
        <f ca="1">OFFSET(Baza!$BV1,0,D$2)</f>
        <v>41</v>
      </c>
      <c r="E3">
        <f ca="1">OFFSET(Baza!$BV1,0,E$2)</f>
        <v>41</v>
      </c>
      <c r="F3">
        <f ca="1">OFFSET(Baza!$BV1,0,F$2)</f>
        <v>41</v>
      </c>
      <c r="G3">
        <f ca="1">OFFSET(Baza!$BV1,0,G$2)</f>
        <v>41</v>
      </c>
      <c r="H3">
        <f ca="1">OFFSET(Baza!$BV1,0,H$2)</f>
        <v>41</v>
      </c>
      <c r="I3">
        <f ca="1">OFFSET(Baza!$BV1,0,I$2)</f>
        <v>41</v>
      </c>
      <c r="J3">
        <f ca="1">OFFSET(Baza!$BV1,0,J$2)</f>
        <v>41</v>
      </c>
      <c r="K3">
        <f ca="1">OFFSET(Baza!$BV1,0,K$2)</f>
        <v>41</v>
      </c>
      <c r="L3">
        <f ca="1">OFFSET(Baza!$BV1,0,L$2)</f>
        <v>41</v>
      </c>
      <c r="M3">
        <f ca="1">OFFSET(Baza!$BV1,0,M$2)</f>
        <v>41</v>
      </c>
      <c r="N3">
        <f ca="1">OFFSET(Baza!$BV1,0,N$2)</f>
        <v>41</v>
      </c>
      <c r="O3">
        <f ca="1">OFFSET(Baza!$BV1,0,O$2)</f>
        <v>41</v>
      </c>
    </row>
    <row r="4" spans="1:16" x14ac:dyDescent="0.2">
      <c r="B4" t="str">
        <f>Baza!BV2</f>
        <v>Pp[Średnia]</v>
      </c>
      <c r="C4" t="str">
        <f ca="1">OFFSET(Baza!$BV2,0,C$2)</f>
        <v>Pv[Średnia]</v>
      </c>
      <c r="D4" t="str">
        <f ca="1">OFFSET(Baza!$BV2,0,D$2)</f>
        <v>Pz[Średnia]</v>
      </c>
      <c r="E4" t="str">
        <f ca="1">OFFSET(Baza!$BV2,0,E$2)</f>
        <v>Pc (Brak uśredniania (pojedyncza wartość))[Średnia]</v>
      </c>
      <c r="F4" t="str">
        <f ca="1">OFFSET(Baza!$BV2,0,F$2)</f>
        <v>Pt[Średnia]</v>
      </c>
      <c r="G4" t="str">
        <f ca="1">OFFSET(Baza!$BV2,0,G$2)</f>
        <v>Pa[Średnia]</v>
      </c>
      <c r="H4" t="str">
        <f ca="1">OFFSET(Baza!$BV2,0,H$2)</f>
        <v>Pq[Średnia]</v>
      </c>
      <c r="I4" t="str">
        <f ca="1">OFFSET(Baza!$BV2,0,I$2)</f>
        <v>Psk[Średnia]</v>
      </c>
      <c r="J4" t="str">
        <f ca="1">OFFSET(Baza!$BV2,0,J$2)</f>
        <v>Pku[Średnia]</v>
      </c>
      <c r="K4" t="str">
        <f ca="1">OFFSET(Baza!$BV2,0,K$2)</f>
        <v>PSm (Brak uśredniania (pojedyncza wartość))[Średnia]</v>
      </c>
      <c r="L4" t="str">
        <f ca="1">OFFSET(Baza!$BV2,0,L$2)</f>
        <v>Pdq[Średnia]</v>
      </c>
      <c r="M4" t="str">
        <f ca="1">OFFSET(Baza!$BV2,0,M$2)</f>
        <v>Pmr (c = 1 µm poniżej najwyższego wypiętrzenia)[Średnia]</v>
      </c>
      <c r="N4" t="str">
        <f ca="1">OFFSET(Baza!$BV2,0,N$2)</f>
        <v>Pdc (p = 20%, q = 80%)[Średnia]</v>
      </c>
      <c r="O4" t="str">
        <f ca="1">OFFSET(Baza!$BV2,0,O$2)</f>
        <v>PPc (Brak uśredniania (pojedyncza wartość))[Średnia]</v>
      </c>
    </row>
    <row r="5" spans="1:16" x14ac:dyDescent="0.2">
      <c r="B5" t="str">
        <f>Baza!BV3</f>
        <v>µm</v>
      </c>
      <c r="C5" t="str">
        <f ca="1">OFFSET(Baza!$BV3,0,C$2)</f>
        <v>µm</v>
      </c>
      <c r="D5" t="str">
        <f ca="1">OFFSET(Baza!$BV3,0,D$2)</f>
        <v>µm</v>
      </c>
      <c r="E5" t="str">
        <f ca="1">OFFSET(Baza!$BV3,0,E$2)</f>
        <v>µm</v>
      </c>
      <c r="F5" t="str">
        <f ca="1">OFFSET(Baza!$BV3,0,F$2)</f>
        <v>µm</v>
      </c>
      <c r="G5" t="str">
        <f ca="1">OFFSET(Baza!$BV3,0,G$2)</f>
        <v>µm</v>
      </c>
      <c r="H5" t="str">
        <f ca="1">OFFSET(Baza!$BV3,0,H$2)</f>
        <v>µm</v>
      </c>
      <c r="I5" t="str">
        <f ca="1">OFFSET(Baza!$BV3,0,I$2)</f>
        <v>&lt;no unit&gt;</v>
      </c>
      <c r="J5" t="str">
        <f ca="1">OFFSET(Baza!$BV3,0,J$2)</f>
        <v>&lt;no unit&gt;</v>
      </c>
      <c r="K5" t="str">
        <f ca="1">OFFSET(Baza!$BV3,0,K$2)</f>
        <v>mm</v>
      </c>
      <c r="L5" t="str">
        <f ca="1">OFFSET(Baza!$BV3,0,L$2)</f>
        <v>°</v>
      </c>
      <c r="M5" t="str">
        <f ca="1">OFFSET(Baza!$BV3,0,M$2)</f>
        <v>%</v>
      </c>
      <c r="N5" t="str">
        <f ca="1">OFFSET(Baza!$BV3,0,N$2)</f>
        <v>µm</v>
      </c>
      <c r="O5" t="str">
        <f ca="1">OFFSET(Baza!$BV3,0,O$2)</f>
        <v>1/cm</v>
      </c>
    </row>
    <row r="6" spans="1:16" x14ac:dyDescent="0.2">
      <c r="A6" s="1" t="s">
        <v>245</v>
      </c>
      <c r="B6">
        <f>Baza!BV4</f>
        <v>0.60203853819999997</v>
      </c>
      <c r="C6">
        <f ca="1">OFFSET(Baza!$BV4,0,C$2)</f>
        <v>0.62382135800000005</v>
      </c>
      <c r="D6">
        <f ca="1">OFFSET(Baza!$BV4,0,D$2)</f>
        <v>1.225859896</v>
      </c>
      <c r="E6">
        <f ca="1">OFFSET(Baza!$BV4,0,E$2)</f>
        <v>0.44203383349999997</v>
      </c>
      <c r="F6">
        <f ca="1">OFFSET(Baza!$BV4,0,F$2)</f>
        <v>1.225859896</v>
      </c>
      <c r="G6">
        <f ca="1">OFFSET(Baza!$BV4,0,G$2)</f>
        <v>0.15716268550000001</v>
      </c>
      <c r="H6">
        <f ca="1">OFFSET(Baza!$BV4,0,H$2)</f>
        <v>0.19761641460000001</v>
      </c>
      <c r="I6">
        <f ca="1">OFFSET(Baza!$BV4,0,I$2)</f>
        <v>-0.15817841060000001</v>
      </c>
      <c r="J6">
        <f ca="1">OFFSET(Baza!$BV4,0,J$2)</f>
        <v>3.052055132</v>
      </c>
      <c r="K6">
        <f ca="1">OFFSET(Baza!$BV4,0,K$2)</f>
        <v>5.0751269590000002E-2</v>
      </c>
      <c r="L6">
        <f ca="1">OFFSET(Baza!$BV4,0,L$2)</f>
        <v>2.590331495</v>
      </c>
      <c r="M6">
        <f ca="1">OFFSET(Baza!$BV4,0,M$2)</f>
        <v>95.185803590000006</v>
      </c>
      <c r="N6">
        <f ca="1">OFFSET(Baza!$BV4,0,N$2)</f>
        <v>0.32897462249999998</v>
      </c>
      <c r="O6">
        <f ca="1">OFFSET(Baza!$BV4,0,O$2)</f>
        <v>267.91074559999998</v>
      </c>
    </row>
    <row r="7" spans="1:16" x14ac:dyDescent="0.2">
      <c r="A7" s="1" t="s">
        <v>246</v>
      </c>
      <c r="B7">
        <f>Baza!BV5</f>
        <v>0.67880227869999998</v>
      </c>
      <c r="C7">
        <f ca="1">OFFSET(Baza!$BV5,0,C$2)</f>
        <v>0.74538482130000006</v>
      </c>
      <c r="D7">
        <f ca="1">OFFSET(Baza!$BV5,0,D$2)</f>
        <v>1.4241870999999999</v>
      </c>
      <c r="E7">
        <f ca="1">OFFSET(Baza!$BV5,0,E$2)</f>
        <v>0.51127938900000003</v>
      </c>
      <c r="F7">
        <f ca="1">OFFSET(Baza!$BV5,0,F$2)</f>
        <v>1.4241870999999999</v>
      </c>
      <c r="G7">
        <f ca="1">OFFSET(Baza!$BV5,0,G$2)</f>
        <v>0.1772505724</v>
      </c>
      <c r="H7">
        <f ca="1">OFFSET(Baza!$BV5,0,H$2)</f>
        <v>0.22419919520000001</v>
      </c>
      <c r="I7">
        <f ca="1">OFFSET(Baza!$BV5,0,I$2)</f>
        <v>-0.17995646139999999</v>
      </c>
      <c r="J7">
        <f ca="1">OFFSET(Baza!$BV5,0,J$2)</f>
        <v>3.1871386190000002</v>
      </c>
      <c r="K7">
        <f ca="1">OFFSET(Baza!$BV5,0,K$2)</f>
        <v>4.1044190639999999E-2</v>
      </c>
      <c r="L7">
        <f ca="1">OFFSET(Baza!$BV5,0,L$2)</f>
        <v>2.7229614049999999</v>
      </c>
      <c r="M7">
        <f ca="1">OFFSET(Baza!$BV5,0,M$2)</f>
        <v>88.949104230000003</v>
      </c>
      <c r="N7">
        <f ca="1">OFFSET(Baza!$BV5,0,N$2)</f>
        <v>0.36884121530000002</v>
      </c>
      <c r="O7">
        <f ca="1">OFFSET(Baza!$BV5,0,O$2)</f>
        <v>247.06179839999999</v>
      </c>
    </row>
    <row r="8" spans="1:16" x14ac:dyDescent="0.2">
      <c r="A8" s="1" t="s">
        <v>247</v>
      </c>
      <c r="B8">
        <f>Baza!BV6</f>
        <v>0.79292543660000003</v>
      </c>
      <c r="C8">
        <f ca="1">OFFSET(Baza!$BV6,0,C$2)</f>
        <v>0.89912305810000004</v>
      </c>
      <c r="D8">
        <f ca="1">OFFSET(Baza!$BV6,0,D$2)</f>
        <v>1.6920484950000001</v>
      </c>
      <c r="E8">
        <f ca="1">OFFSET(Baza!$BV6,0,E$2)</f>
        <v>0.61674343480000005</v>
      </c>
      <c r="F8">
        <f ca="1">OFFSET(Baza!$BV6,0,F$2)</f>
        <v>1.6920484950000001</v>
      </c>
      <c r="G8">
        <f ca="1">OFFSET(Baza!$BV6,0,G$2)</f>
        <v>0.20884502560000001</v>
      </c>
      <c r="H8">
        <f ca="1">OFFSET(Baza!$BV6,0,H$2)</f>
        <v>0.26622623509999999</v>
      </c>
      <c r="I8">
        <f ca="1">OFFSET(Baza!$BV6,0,I$2)</f>
        <v>-0.15995278509999999</v>
      </c>
      <c r="J8">
        <f ca="1">OFFSET(Baza!$BV6,0,J$2)</f>
        <v>3.31909258</v>
      </c>
      <c r="K8">
        <f ca="1">OFFSET(Baza!$BV6,0,K$2)</f>
        <v>3.7650795700000003E-2</v>
      </c>
      <c r="L8">
        <f ca="1">OFFSET(Baza!$BV6,0,L$2)</f>
        <v>3.4637049530000001</v>
      </c>
      <c r="M8">
        <f ca="1">OFFSET(Baza!$BV6,0,M$2)</f>
        <v>75.678356769999994</v>
      </c>
      <c r="N8">
        <f ca="1">OFFSET(Baza!$BV6,0,N$2)</f>
        <v>0.42976941600000002</v>
      </c>
      <c r="O8">
        <f ca="1">OFFSET(Baza!$BV6,0,O$2)</f>
        <v>269.95745269999998</v>
      </c>
    </row>
    <row r="9" spans="1:16" x14ac:dyDescent="0.2">
      <c r="A9" s="1" t="s">
        <v>248</v>
      </c>
      <c r="B9">
        <f>Baza!BV7</f>
        <v>0.71958189839999998</v>
      </c>
      <c r="C9">
        <f ca="1">OFFSET(Baza!$BV7,0,C$2)</f>
        <v>0.7339564288</v>
      </c>
      <c r="D9">
        <f ca="1">OFFSET(Baza!$BV7,0,D$2)</f>
        <v>1.453538327</v>
      </c>
      <c r="E9">
        <f ca="1">OFFSET(Baza!$BV7,0,E$2)</f>
        <v>0.53236462289999997</v>
      </c>
      <c r="F9">
        <f ca="1">OFFSET(Baza!$BV7,0,F$2)</f>
        <v>1.453538327</v>
      </c>
      <c r="G9">
        <f ca="1">OFFSET(Baza!$BV7,0,G$2)</f>
        <v>0.18226672520000001</v>
      </c>
      <c r="H9">
        <f ca="1">OFFSET(Baza!$BV7,0,H$2)</f>
        <v>0.2298387254</v>
      </c>
      <c r="I9">
        <f ca="1">OFFSET(Baza!$BV7,0,I$2)</f>
        <v>-0.12938462379999999</v>
      </c>
      <c r="J9">
        <f ca="1">OFFSET(Baza!$BV7,0,J$2)</f>
        <v>3.1122230449999999</v>
      </c>
      <c r="K9">
        <f ca="1">OFFSET(Baza!$BV7,0,K$2)</f>
        <v>3.6589448699999999E-2</v>
      </c>
      <c r="L9">
        <f ca="1">OFFSET(Baza!$BV7,0,L$2)</f>
        <v>3.9827331610000001</v>
      </c>
      <c r="M9">
        <f ca="1">OFFSET(Baza!$BV7,0,M$2)</f>
        <v>86.30214187</v>
      </c>
      <c r="N9">
        <f ca="1">OFFSET(Baza!$BV7,0,N$2)</f>
        <v>0.38067259879999998</v>
      </c>
      <c r="O9">
        <f ca="1">OFFSET(Baza!$BV7,0,O$2)</f>
        <v>352.20381500000002</v>
      </c>
    </row>
    <row r="10" spans="1:16" x14ac:dyDescent="0.2">
      <c r="A10" s="1" t="s">
        <v>249</v>
      </c>
      <c r="B10">
        <f>Baza!BV8</f>
        <v>0.74126492740000005</v>
      </c>
      <c r="C10">
        <f ca="1">OFFSET(Baza!$BV8,0,C$2)</f>
        <v>0.87752673049999996</v>
      </c>
      <c r="D10">
        <f ca="1">OFFSET(Baza!$BV8,0,D$2)</f>
        <v>1.6187916579999999</v>
      </c>
      <c r="E10">
        <f ca="1">OFFSET(Baza!$BV8,0,E$2)</f>
        <v>0.58555266910000003</v>
      </c>
      <c r="F10">
        <f ca="1">OFFSET(Baza!$BV8,0,F$2)</f>
        <v>1.6187916579999999</v>
      </c>
      <c r="G10">
        <f ca="1">OFFSET(Baza!$BV8,0,G$2)</f>
        <v>0.19535927040000001</v>
      </c>
      <c r="H10">
        <f ca="1">OFFSET(Baza!$BV8,0,H$2)</f>
        <v>0.24913073550000001</v>
      </c>
      <c r="I10">
        <f ca="1">OFFSET(Baza!$BV8,0,I$2)</f>
        <v>-0.27568766810000001</v>
      </c>
      <c r="J10">
        <f ca="1">OFFSET(Baza!$BV8,0,J$2)</f>
        <v>3.3703891939999999</v>
      </c>
      <c r="K10">
        <f ca="1">OFFSET(Baza!$BV8,0,K$2)</f>
        <v>3.192293962E-2</v>
      </c>
      <c r="L10">
        <f ca="1">OFFSET(Baza!$BV8,0,L$2)</f>
        <v>3.959447275</v>
      </c>
      <c r="M10">
        <f ca="1">OFFSET(Baza!$BV8,0,M$2)</f>
        <v>82.396281500000001</v>
      </c>
      <c r="N10">
        <f ca="1">OFFSET(Baza!$BV8,0,N$2)</f>
        <v>0.40137928210000001</v>
      </c>
      <c r="O10">
        <f ca="1">OFFSET(Baza!$BV8,0,O$2)</f>
        <v>316.48729800000001</v>
      </c>
    </row>
    <row r="11" spans="1:16" x14ac:dyDescent="0.2">
      <c r="A11" s="1" t="s">
        <v>250</v>
      </c>
      <c r="B11">
        <f>Baza!BV9</f>
        <v>0.86428553809999997</v>
      </c>
      <c r="C11">
        <f ca="1">OFFSET(Baza!$BV9,0,C$2)</f>
        <v>1.1131896569999999</v>
      </c>
      <c r="D11">
        <f ca="1">OFFSET(Baza!$BV9,0,D$2)</f>
        <v>1.977475195</v>
      </c>
      <c r="E11">
        <f ca="1">OFFSET(Baza!$BV9,0,E$2)</f>
        <v>0.72129990249999998</v>
      </c>
      <c r="F11">
        <f ca="1">OFFSET(Baza!$BV9,0,F$2)</f>
        <v>1.977475195</v>
      </c>
      <c r="G11">
        <f ca="1">OFFSET(Baza!$BV9,0,G$2)</f>
        <v>0.23333002329999999</v>
      </c>
      <c r="H11">
        <f ca="1">OFFSET(Baza!$BV9,0,H$2)</f>
        <v>0.30083661789999999</v>
      </c>
      <c r="I11">
        <f ca="1">OFFSET(Baza!$BV9,0,I$2)</f>
        <v>-0.32864485919999997</v>
      </c>
      <c r="J11">
        <f ca="1">OFFSET(Baza!$BV9,0,J$2)</f>
        <v>3.591267615</v>
      </c>
      <c r="K11">
        <f ca="1">OFFSET(Baza!$BV9,0,K$2)</f>
        <v>3.0233180629999998E-2</v>
      </c>
      <c r="L11">
        <f ca="1">OFFSET(Baza!$BV9,0,L$2)</f>
        <v>4.9994561119999998</v>
      </c>
      <c r="M11">
        <f ca="1">OFFSET(Baza!$BV9,0,M$2)</f>
        <v>66.980339110000003</v>
      </c>
      <c r="N11">
        <f ca="1">OFFSET(Baza!$BV9,0,N$2)</f>
        <v>0.47188328889999998</v>
      </c>
      <c r="O11">
        <f ca="1">OFFSET(Baza!$BV9,0,O$2)</f>
        <v>335.01038499999999</v>
      </c>
    </row>
    <row r="12" spans="1:16" x14ac:dyDescent="0.2">
      <c r="A12" s="1" t="s">
        <v>251</v>
      </c>
      <c r="B12">
        <f>Baza!BV10</f>
        <v>1.005426189</v>
      </c>
      <c r="C12">
        <f ca="1">OFFSET(Baza!$BV10,0,C$2)</f>
        <v>1.663947332</v>
      </c>
      <c r="D12">
        <f ca="1">OFFSET(Baza!$BV10,0,D$2)</f>
        <v>2.6693735200000002</v>
      </c>
      <c r="E12">
        <f ca="1">OFFSET(Baza!$BV10,0,E$2)</f>
        <v>0.87005758460000004</v>
      </c>
      <c r="F12">
        <f ca="1">OFFSET(Baza!$BV10,0,F$2)</f>
        <v>2.6693735200000002</v>
      </c>
      <c r="G12">
        <f ca="1">OFFSET(Baza!$BV10,0,G$2)</f>
        <v>0.42223621179999998</v>
      </c>
      <c r="H12">
        <f ca="1">OFFSET(Baza!$BV10,0,H$2)</f>
        <v>0.51566864960000003</v>
      </c>
      <c r="I12">
        <f ca="1">OFFSET(Baza!$BV10,0,I$2)</f>
        <v>-0.45907894240000002</v>
      </c>
      <c r="J12">
        <f ca="1">OFFSET(Baza!$BV10,0,J$2)</f>
        <v>2.8137356200000001</v>
      </c>
      <c r="K12">
        <f ca="1">OFFSET(Baza!$BV10,0,K$2)</f>
        <v>0.14128628739999999</v>
      </c>
      <c r="L12">
        <f ca="1">OFFSET(Baza!$BV10,0,L$2)</f>
        <v>2.0923735219999999</v>
      </c>
      <c r="M12">
        <f ca="1">OFFSET(Baza!$BV10,0,M$2)</f>
        <v>54.95164261</v>
      </c>
      <c r="N12">
        <f ca="1">OFFSET(Baza!$BV10,0,N$2)</f>
        <v>0.92180186770000005</v>
      </c>
      <c r="O12">
        <f ca="1">OFFSET(Baza!$BV10,0,O$2)</f>
        <v>79.744994410000004</v>
      </c>
    </row>
    <row r="13" spans="1:16" x14ac:dyDescent="0.2">
      <c r="A13" s="1" t="s">
        <v>252</v>
      </c>
      <c r="B13">
        <f>Baza!BV11</f>
        <v>0.56627565280000003</v>
      </c>
      <c r="C13">
        <f ca="1">OFFSET(Baza!$BV11,0,C$2)</f>
        <v>0.69512172620000001</v>
      </c>
      <c r="D13">
        <f ca="1">OFFSET(Baza!$BV11,0,D$2)</f>
        <v>1.2613973789999999</v>
      </c>
      <c r="E13">
        <f ca="1">OFFSET(Baza!$BV11,0,E$2)</f>
        <v>0.43190066160000001</v>
      </c>
      <c r="F13">
        <f ca="1">OFFSET(Baza!$BV11,0,F$2)</f>
        <v>1.2613973789999999</v>
      </c>
      <c r="G13">
        <f ca="1">OFFSET(Baza!$BV11,0,G$2)</f>
        <v>0.17697988980000001</v>
      </c>
      <c r="H13">
        <f ca="1">OFFSET(Baza!$BV11,0,H$2)</f>
        <v>0.21831103360000001</v>
      </c>
      <c r="I13">
        <f ca="1">OFFSET(Baza!$BV11,0,I$2)</f>
        <v>-0.2295333299</v>
      </c>
      <c r="J13">
        <f ca="1">OFFSET(Baza!$BV11,0,J$2)</f>
        <v>2.8653934730000001</v>
      </c>
      <c r="K13">
        <f ca="1">OFFSET(Baza!$BV11,0,K$2)</f>
        <v>9.5709622199999997E-2</v>
      </c>
      <c r="L13">
        <f ca="1">OFFSET(Baza!$BV11,0,L$2)</f>
        <v>1.1590189799999999</v>
      </c>
      <c r="M13">
        <f ca="1">OFFSET(Baza!$BV11,0,M$2)</f>
        <v>94.228849240000002</v>
      </c>
      <c r="N13">
        <f ca="1">OFFSET(Baza!$BV11,0,N$2)</f>
        <v>0.38194399709999999</v>
      </c>
      <c r="O13">
        <f ca="1">OFFSET(Baza!$BV11,0,O$2)</f>
        <v>106.3986124</v>
      </c>
    </row>
    <row r="14" spans="1:16" x14ac:dyDescent="0.2">
      <c r="A14" s="1" t="s">
        <v>253</v>
      </c>
      <c r="B14">
        <f>Baza!BV12</f>
        <v>0.72770132669999998</v>
      </c>
      <c r="C14">
        <f ca="1">OFFSET(Baza!$BV12,0,C$2)</f>
        <v>0.83911263120000001</v>
      </c>
      <c r="D14">
        <f ca="1">OFFSET(Baza!$BV12,0,D$2)</f>
        <v>1.566813958</v>
      </c>
      <c r="E14">
        <f ca="1">OFFSET(Baza!$BV12,0,E$2)</f>
        <v>0.54175355020000004</v>
      </c>
      <c r="F14">
        <f ca="1">OFFSET(Baza!$BV12,0,F$2)</f>
        <v>1.566813958</v>
      </c>
      <c r="G14">
        <f ca="1">OFFSET(Baza!$BV12,0,G$2)</f>
        <v>0.2182341579</v>
      </c>
      <c r="H14">
        <f ca="1">OFFSET(Baza!$BV12,0,H$2)</f>
        <v>0.26999099370000001</v>
      </c>
      <c r="I14">
        <f ca="1">OFFSET(Baza!$BV12,0,I$2)</f>
        <v>-0.2301340643</v>
      </c>
      <c r="J14">
        <f ca="1">OFFSET(Baza!$BV12,0,J$2)</f>
        <v>2.8422493009999998</v>
      </c>
      <c r="K14">
        <f ca="1">OFFSET(Baza!$BV12,0,K$2)</f>
        <v>0.10074761359999999</v>
      </c>
      <c r="L14">
        <f ca="1">OFFSET(Baza!$BV12,0,L$2)</f>
        <v>1.377742129</v>
      </c>
      <c r="M14">
        <f ca="1">OFFSET(Baza!$BV12,0,M$2)</f>
        <v>79.372564999999994</v>
      </c>
      <c r="N14">
        <f ca="1">OFFSET(Baza!$BV12,0,N$2)</f>
        <v>0.46861377770000001</v>
      </c>
      <c r="O14">
        <f ca="1">OFFSET(Baza!$BV12,0,O$2)</f>
        <v>100.6682766</v>
      </c>
    </row>
    <row r="15" spans="1:16" x14ac:dyDescent="0.2">
      <c r="A15" s="1" t="s">
        <v>254</v>
      </c>
      <c r="B15">
        <f>Baza!BV13</f>
        <v>1.5325922219999999</v>
      </c>
      <c r="C15">
        <f ca="1">OFFSET(Baza!$BV13,0,C$2)</f>
        <v>1.3414391109999999</v>
      </c>
      <c r="D15">
        <f ca="1">OFFSET(Baza!$BV13,0,D$2)</f>
        <v>2.874031333</v>
      </c>
      <c r="E15">
        <f ca="1">OFFSET(Baza!$BV13,0,E$2)</f>
        <v>1.3129473730000001</v>
      </c>
      <c r="F15">
        <f ca="1">OFFSET(Baza!$BV13,0,F$2)</f>
        <v>2.874031333</v>
      </c>
      <c r="G15">
        <f ca="1">OFFSET(Baza!$BV13,0,G$2)</f>
        <v>0.41515028970000001</v>
      </c>
      <c r="H15">
        <f ca="1">OFFSET(Baza!$BV13,0,H$2)</f>
        <v>0.51334236119999999</v>
      </c>
      <c r="I15">
        <f ca="1">OFFSET(Baza!$BV13,0,I$2)</f>
        <v>9.9847026579999998E-2</v>
      </c>
      <c r="J15">
        <f ca="1">OFFSET(Baza!$BV13,0,J$2)</f>
        <v>2.7644931060000002</v>
      </c>
      <c r="K15">
        <f ca="1">OFFSET(Baza!$BV13,0,K$2)</f>
        <v>4.412463355E-2</v>
      </c>
      <c r="L15">
        <f ca="1">OFFSET(Baza!$BV13,0,L$2)</f>
        <v>8.3700903259999997</v>
      </c>
      <c r="M15">
        <f ca="1">OFFSET(Baza!$BV13,0,M$2)</f>
        <v>16.289181549999999</v>
      </c>
      <c r="N15">
        <f ca="1">OFFSET(Baza!$BV13,0,N$2)</f>
        <v>0.89079789369999995</v>
      </c>
      <c r="O15">
        <f ca="1">OFFSET(Baza!$BV13,0,O$2)</f>
        <v>229.16600600000001</v>
      </c>
    </row>
    <row r="16" spans="1:16" x14ac:dyDescent="0.2">
      <c r="A16" s="1" t="s">
        <v>257</v>
      </c>
      <c r="B16">
        <f>Baza!BV14</f>
        <v>1.516224359</v>
      </c>
      <c r="C16">
        <f ca="1">OFFSET(Baza!$BV14,0,C$2)</f>
        <v>1.3416252200000001</v>
      </c>
      <c r="D16">
        <f ca="1">OFFSET(Baza!$BV14,0,D$2)</f>
        <v>2.8578495789999998</v>
      </c>
      <c r="E16">
        <f ca="1">OFFSET(Baza!$BV14,0,E$2)</f>
        <v>1.319359245</v>
      </c>
      <c r="F16">
        <f ca="1">OFFSET(Baza!$BV14,0,F$2)</f>
        <v>2.8578495789999998</v>
      </c>
      <c r="G16">
        <f ca="1">OFFSET(Baza!$BV14,0,G$2)</f>
        <v>0.41660105479999998</v>
      </c>
      <c r="H16">
        <f ca="1">OFFSET(Baza!$BV14,0,H$2)</f>
        <v>0.51466626390000003</v>
      </c>
      <c r="I16">
        <f ca="1">OFFSET(Baza!$BV14,0,I$2)</f>
        <v>9.6311823010000006E-2</v>
      </c>
      <c r="J16">
        <f ca="1">OFFSET(Baza!$BV14,0,J$2)</f>
        <v>2.7455725179999999</v>
      </c>
      <c r="K16">
        <f ca="1">OFFSET(Baza!$BV14,0,K$2)</f>
        <v>4.3354152210000003E-2</v>
      </c>
      <c r="L16">
        <f ca="1">OFFSET(Baza!$BV14,0,L$2)</f>
        <v>8.5075814790000006</v>
      </c>
      <c r="M16">
        <f ca="1">OFFSET(Baza!$BV14,0,M$2)</f>
        <v>17.240006279999999</v>
      </c>
      <c r="N16">
        <f ca="1">OFFSET(Baza!$BV14,0,N$2)</f>
        <v>0.89648233180000003</v>
      </c>
      <c r="O16">
        <f ca="1">OFFSET(Baza!$BV14,0,O$2)</f>
        <v>232.70269260000001</v>
      </c>
    </row>
    <row r="17" spans="1:15" x14ac:dyDescent="0.2">
      <c r="A17" s="1" t="s">
        <v>255</v>
      </c>
      <c r="B17">
        <f>Baza!BV15</f>
        <v>343.6753918</v>
      </c>
      <c r="C17">
        <f ca="1">OFFSET(Baza!$BV15,0,C$2)</f>
        <v>337.47169769999999</v>
      </c>
      <c r="D17">
        <f ca="1">OFFSET(Baza!$BV15,0,D$2)</f>
        <v>681.14708949999999</v>
      </c>
      <c r="E17">
        <f ca="1">OFFSET(Baza!$BV15,0,E$2)</f>
        <v>212.277794</v>
      </c>
      <c r="F17">
        <f ca="1">OFFSET(Baza!$BV15,0,F$2)</f>
        <v>681.14708949999999</v>
      </c>
      <c r="G17">
        <f ca="1">OFFSET(Baza!$BV15,0,G$2)</f>
        <v>90.056832689999993</v>
      </c>
      <c r="H17">
        <f ca="1">OFFSET(Baza!$BV15,0,H$2)</f>
        <v>112.1846817</v>
      </c>
      <c r="I17">
        <f ca="1">OFFSET(Baza!$BV15,0,I$2)</f>
        <v>-6.6742979280000003E-2</v>
      </c>
      <c r="J17">
        <f ca="1">OFFSET(Baza!$BV15,0,J$2)</f>
        <v>2.902613171</v>
      </c>
      <c r="K17">
        <f ca="1">OFFSET(Baza!$BV15,0,K$2)</f>
        <v>0.1065505933</v>
      </c>
      <c r="L17">
        <f ca="1">OFFSET(Baza!$BV15,0,L$2)</f>
        <v>0.59103971730000004</v>
      </c>
      <c r="M17">
        <f ca="1">OFFSET(Baza!$BV15,0,M$2)</f>
        <v>100</v>
      </c>
      <c r="N17">
        <f ca="1">OFFSET(Baza!$BV15,0,N$2)</f>
        <v>191.921853</v>
      </c>
      <c r="O17">
        <f ca="1">OFFSET(Baza!$BV15,0,O$2)</f>
        <v>96.412876690000004</v>
      </c>
    </row>
    <row r="18" spans="1:15" x14ac:dyDescent="0.2">
      <c r="A18" s="1" t="s">
        <v>256</v>
      </c>
      <c r="B18">
        <f>Baza!BV16</f>
        <v>0.53800404570000004</v>
      </c>
      <c r="C18">
        <f ca="1">OFFSET(Baza!$BV16,0,C$2)</f>
        <v>0.51059123849999999</v>
      </c>
      <c r="D18">
        <f ca="1">OFFSET(Baza!$BV16,0,D$2)</f>
        <v>1.0485952839999999</v>
      </c>
      <c r="E18">
        <f ca="1">OFFSET(Baza!$BV16,0,E$2)</f>
        <v>0.36524474779999999</v>
      </c>
      <c r="F18">
        <f ca="1">OFFSET(Baza!$BV16,0,F$2)</f>
        <v>1.0485952839999999</v>
      </c>
      <c r="G18">
        <f ca="1">OFFSET(Baza!$BV16,0,G$2)</f>
        <v>0.1464841409</v>
      </c>
      <c r="H18">
        <f ca="1">OFFSET(Baza!$BV16,0,H$2)</f>
        <v>0.18151397729999999</v>
      </c>
      <c r="I18">
        <f ca="1">OFFSET(Baza!$BV16,0,I$2)</f>
        <v>-2.3550865330000002E-3</v>
      </c>
      <c r="J18">
        <f ca="1">OFFSET(Baza!$BV16,0,J$2)</f>
        <v>2.777982127</v>
      </c>
      <c r="K18">
        <f ca="1">OFFSET(Baza!$BV16,0,K$2)</f>
        <v>7.6678359909999994E-2</v>
      </c>
      <c r="L18">
        <f ca="1">OFFSET(Baza!$BV16,0,L$2)</f>
        <v>1.7756161150000001</v>
      </c>
      <c r="M18">
        <f ca="1">OFFSET(Baza!$BV16,0,M$2)</f>
        <v>99.024965809999998</v>
      </c>
      <c r="N18">
        <f ca="1">OFFSET(Baza!$BV16,0,N$2)</f>
        <v>0.31319283860000002</v>
      </c>
      <c r="O18">
        <f ca="1">OFFSET(Baza!$BV16,0,O$2)</f>
        <v>134.27019609999999</v>
      </c>
    </row>
    <row r="19" spans="1:15" x14ac:dyDescent="0.2">
      <c r="A19" s="1" t="s">
        <v>258</v>
      </c>
      <c r="B19">
        <f>Baza!BV17</f>
        <v>339.70146210000001</v>
      </c>
      <c r="C19">
        <f ca="1">OFFSET(Baza!$BV17,0,C$2)</f>
        <v>322.75328530000002</v>
      </c>
      <c r="D19">
        <f ca="1">OFFSET(Baza!$BV17,0,D$2)</f>
        <v>662.45474739999997</v>
      </c>
      <c r="E19">
        <f ca="1">OFFSET(Baza!$BV17,0,E$2)</f>
        <v>209.0261098</v>
      </c>
      <c r="F19">
        <f ca="1">OFFSET(Baza!$BV17,0,F$2)</f>
        <v>662.45474739999997</v>
      </c>
      <c r="G19">
        <f ca="1">OFFSET(Baza!$BV17,0,G$2)</f>
        <v>88.941012909999998</v>
      </c>
      <c r="H19">
        <f ca="1">OFFSET(Baza!$BV17,0,H$2)</f>
        <v>110.7801106</v>
      </c>
      <c r="I19">
        <f ca="1">OFFSET(Baza!$BV17,0,I$2)</f>
        <v>-5.1473545540000002E-3</v>
      </c>
      <c r="J19">
        <f ca="1">OFFSET(Baza!$BV17,0,J$2)</f>
        <v>2.8799440660000002</v>
      </c>
      <c r="K19">
        <f ca="1">OFFSET(Baza!$BV17,0,K$2)</f>
        <v>0.1116430673</v>
      </c>
      <c r="L19">
        <f ca="1">OFFSET(Baza!$BV17,0,L$2)</f>
        <v>0.52089569660000001</v>
      </c>
      <c r="M19">
        <f ca="1">OFFSET(Baza!$BV17,0,M$2)</f>
        <v>100</v>
      </c>
      <c r="N19">
        <f ca="1">OFFSET(Baza!$BV17,0,N$2)</f>
        <v>189.39527939999999</v>
      </c>
      <c r="O19">
        <f ca="1">OFFSET(Baza!$BV17,0,O$2)</f>
        <v>92.610167029999999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19"/>
  <sheetViews>
    <sheetView topLeftCell="Q1" workbookViewId="0">
      <selection activeCell="U1" sqref="U1:U1048576"/>
    </sheetView>
  </sheetViews>
  <sheetFormatPr baseColWidth="10" defaultColWidth="8.83203125" defaultRowHeight="15" x14ac:dyDescent="0.2"/>
  <cols>
    <col min="1" max="1" width="11.33203125" bestFit="1" customWidth="1"/>
    <col min="2" max="4" width="12" bestFit="1" customWidth="1"/>
    <col min="5" max="5" width="43.6640625" bestFit="1" customWidth="1"/>
    <col min="6" max="8" width="12" bestFit="1" customWidth="1"/>
    <col min="9" max="9" width="12.6640625" bestFit="1" customWidth="1"/>
    <col min="10" max="10" width="12" bestFit="1" customWidth="1"/>
    <col min="11" max="11" width="45.33203125" bestFit="1" customWidth="1"/>
    <col min="12" max="12" width="12" bestFit="1" customWidth="1"/>
    <col min="13" max="13" width="48.5" bestFit="1" customWidth="1"/>
    <col min="14" max="14" width="26.6640625" bestFit="1" customWidth="1"/>
    <col min="15" max="15" width="44.6640625" bestFit="1" customWidth="1"/>
    <col min="16" max="16" width="12" bestFit="1" customWidth="1"/>
    <col min="17" max="17" width="48.6640625" bestFit="1" customWidth="1"/>
    <col min="18" max="18" width="26.83203125" bestFit="1" customWidth="1"/>
    <col min="19" max="19" width="52.6640625" bestFit="1" customWidth="1"/>
    <col min="20" max="20" width="44.83203125" bestFit="1" customWidth="1"/>
    <col min="21" max="22" width="12" bestFit="1" customWidth="1"/>
  </cols>
  <sheetData>
    <row r="1" spans="1:23" x14ac:dyDescent="0.2">
      <c r="B1" t="str">
        <f>B4</f>
        <v>Rp[Średnia]</v>
      </c>
      <c r="C1" t="str">
        <f t="shared" ref="C1:T1" ca="1" si="0">C4</f>
        <v>Rv[Średnia]</v>
      </c>
      <c r="D1" t="str">
        <f t="shared" ca="1" si="0"/>
        <v>Rz[Średnia]</v>
      </c>
      <c r="E1" t="str">
        <f t="shared" ca="1" si="0"/>
        <v>Rc (Brak uśredniania (pojedyncza wartość))[Średnia]</v>
      </c>
      <c r="F1" t="str">
        <f t="shared" ca="1" si="0"/>
        <v>Rt[Średnia]</v>
      </c>
      <c r="G1" t="str">
        <f t="shared" ca="1" si="0"/>
        <v>Ra[Średnia]</v>
      </c>
      <c r="H1" t="str">
        <f t="shared" ca="1" si="0"/>
        <v>Rq[Średnia]</v>
      </c>
      <c r="I1" t="str">
        <f t="shared" ca="1" si="0"/>
        <v>Rsk[Średnia]</v>
      </c>
      <c r="J1" t="str">
        <f t="shared" ca="1" si="0"/>
        <v>Rku[Średnia]</v>
      </c>
      <c r="K1" t="str">
        <f t="shared" ca="1" si="0"/>
        <v>Rp1max[Średnia]</v>
      </c>
      <c r="L1" t="str">
        <f t="shared" ca="1" si="0"/>
        <v>Rv1max[Średnia]</v>
      </c>
      <c r="M1" t="str">
        <f t="shared" ca="1" si="0"/>
        <v>Rz1max[Średnia]</v>
      </c>
      <c r="N1" t="str">
        <f t="shared" ca="1" si="0"/>
        <v>Rz(n) (Wskaźnik λc = 1)[Średnia]</v>
      </c>
      <c r="O1" t="str">
        <f t="shared" ca="1" si="0"/>
        <v>RSm (Brak uśredniania (pojedyncza wartość))[Średnia]</v>
      </c>
      <c r="P1" t="str">
        <f t="shared" ca="1" si="0"/>
        <v>Rdq[Średnia]</v>
      </c>
      <c r="Q1" t="str">
        <f t="shared" ca="1" si="0"/>
        <v>Rmr (c = 1 µm poniżej najwyższego wypiętrzenia)[Średnia]</v>
      </c>
      <c r="R1" t="str">
        <f t="shared" ca="1" si="0"/>
        <v>Rdc (p = 20%, q = 80%)[Średnia]</v>
      </c>
      <c r="S1" t="str">
        <f t="shared" ca="1" si="0"/>
        <v>Rmr (Rz/4) (c = Rz/4 µm powyżej płaszczyzny średniej)[Średnia]</v>
      </c>
      <c r="T1" t="str">
        <f t="shared" ca="1" si="0"/>
        <v>RPc (Brak uśredniania (pojedyncza wartość))[Średnia]</v>
      </c>
      <c r="U1" t="s">
        <v>275</v>
      </c>
    </row>
    <row r="2" spans="1:23" x14ac:dyDescent="0.2">
      <c r="B2" s="5" t="s">
        <v>274</v>
      </c>
      <c r="C2" s="5">
        <v>4</v>
      </c>
      <c r="D2" s="5">
        <f>C2+4</f>
        <v>8</v>
      </c>
      <c r="E2" s="5">
        <f t="shared" ref="E2:W2" si="1">D2+4</f>
        <v>12</v>
      </c>
      <c r="F2" s="5">
        <f t="shared" si="1"/>
        <v>16</v>
      </c>
      <c r="G2" s="5">
        <f t="shared" si="1"/>
        <v>20</v>
      </c>
      <c r="H2" s="5">
        <f t="shared" si="1"/>
        <v>24</v>
      </c>
      <c r="I2" s="5">
        <f t="shared" si="1"/>
        <v>28</v>
      </c>
      <c r="J2" s="5">
        <f t="shared" si="1"/>
        <v>32</v>
      </c>
      <c r="K2" s="5">
        <f t="shared" si="1"/>
        <v>36</v>
      </c>
      <c r="L2" s="5">
        <f t="shared" si="1"/>
        <v>40</v>
      </c>
      <c r="M2" s="5">
        <f t="shared" si="1"/>
        <v>44</v>
      </c>
      <c r="N2" s="5">
        <f t="shared" si="1"/>
        <v>48</v>
      </c>
      <c r="O2" s="5">
        <f t="shared" si="1"/>
        <v>52</v>
      </c>
      <c r="P2" s="5">
        <f t="shared" si="1"/>
        <v>56</v>
      </c>
      <c r="Q2" s="5">
        <f t="shared" si="1"/>
        <v>60</v>
      </c>
      <c r="R2" s="5">
        <f t="shared" si="1"/>
        <v>64</v>
      </c>
      <c r="S2" s="5">
        <f t="shared" si="1"/>
        <v>68</v>
      </c>
      <c r="T2" s="5">
        <f t="shared" si="1"/>
        <v>72</v>
      </c>
      <c r="U2" s="5">
        <f t="shared" si="1"/>
        <v>76</v>
      </c>
      <c r="V2" s="5">
        <f t="shared" si="1"/>
        <v>80</v>
      </c>
      <c r="W2" s="5">
        <f t="shared" si="1"/>
        <v>84</v>
      </c>
    </row>
    <row r="3" spans="1:23" x14ac:dyDescent="0.2">
      <c r="B3">
        <f>Baza!DZ1</f>
        <v>50</v>
      </c>
      <c r="C3">
        <f ca="1">OFFSET(Baza!$DZ1,0,C$2)</f>
        <v>50</v>
      </c>
      <c r="D3">
        <f ca="1">OFFSET(Baza!$DZ1,0,D$2)</f>
        <v>50</v>
      </c>
      <c r="E3">
        <f ca="1">OFFSET(Baza!$DZ1,0,E$2)</f>
        <v>50</v>
      </c>
      <c r="F3">
        <f ca="1">OFFSET(Baza!$DZ1,0,F$2)</f>
        <v>50</v>
      </c>
      <c r="G3">
        <f ca="1">OFFSET(Baza!$DZ1,0,G$2)</f>
        <v>50</v>
      </c>
      <c r="H3">
        <f ca="1">OFFSET(Baza!$DZ1,0,H$2)</f>
        <v>50</v>
      </c>
      <c r="I3">
        <f ca="1">OFFSET(Baza!$DZ1,0,I$2)</f>
        <v>50</v>
      </c>
      <c r="J3">
        <f ca="1">OFFSET(Baza!$DZ1,0,J$2)</f>
        <v>50</v>
      </c>
      <c r="K3">
        <f ca="1">OFFSET(Baza!$DZ1,0,K$2)</f>
        <v>50</v>
      </c>
      <c r="L3">
        <f ca="1">OFFSET(Baza!$DZ1,0,L$2)</f>
        <v>50</v>
      </c>
      <c r="M3">
        <f ca="1">OFFSET(Baza!$DZ1,0,M$2)</f>
        <v>50</v>
      </c>
      <c r="N3">
        <f ca="1">OFFSET(Baza!$DZ1,0,N$2)</f>
        <v>50</v>
      </c>
      <c r="O3">
        <f ca="1">OFFSET(Baza!$DZ1,0,O$2)</f>
        <v>50</v>
      </c>
      <c r="P3">
        <f ca="1">OFFSET(Baza!$DZ1,0,P$2)</f>
        <v>50</v>
      </c>
      <c r="Q3">
        <f ca="1">OFFSET(Baza!$DZ1,0,Q$2)</f>
        <v>50</v>
      </c>
      <c r="R3">
        <f ca="1">OFFSET(Baza!$DZ1,0,R$2)</f>
        <v>50</v>
      </c>
      <c r="S3">
        <f ca="1">OFFSET(Baza!$DZ1,0,S$2)</f>
        <v>50</v>
      </c>
      <c r="T3">
        <f ca="1">OFFSET(Baza!$DZ1,0,T$2)</f>
        <v>50</v>
      </c>
    </row>
    <row r="4" spans="1:23" x14ac:dyDescent="0.2">
      <c r="B4" t="str">
        <f>Baza!DZ2</f>
        <v>Rp[Średnia]</v>
      </c>
      <c r="C4" t="str">
        <f ca="1">OFFSET(Baza!$DZ2,0,C$2)</f>
        <v>Rv[Średnia]</v>
      </c>
      <c r="D4" t="str">
        <f ca="1">OFFSET(Baza!$DZ2,0,D$2)</f>
        <v>Rz[Średnia]</v>
      </c>
      <c r="E4" t="str">
        <f ca="1">OFFSET(Baza!$DZ2,0,E$2)</f>
        <v>Rc (Brak uśredniania (pojedyncza wartość))[Średnia]</v>
      </c>
      <c r="F4" t="str">
        <f ca="1">OFFSET(Baza!$DZ2,0,F$2)</f>
        <v>Rt[Średnia]</v>
      </c>
      <c r="G4" t="str">
        <f ca="1">OFFSET(Baza!$DZ2,0,G$2)</f>
        <v>Ra[Średnia]</v>
      </c>
      <c r="H4" t="str">
        <f ca="1">OFFSET(Baza!$DZ2,0,H$2)</f>
        <v>Rq[Średnia]</v>
      </c>
      <c r="I4" t="str">
        <f ca="1">OFFSET(Baza!$DZ2,0,I$2)</f>
        <v>Rsk[Średnia]</v>
      </c>
      <c r="J4" t="str">
        <f ca="1">OFFSET(Baza!$DZ2,0,J$2)</f>
        <v>Rku[Średnia]</v>
      </c>
      <c r="K4" t="str">
        <f ca="1">OFFSET(Baza!$DZ2,0,K$2)</f>
        <v>Rp1max[Średnia]</v>
      </c>
      <c r="L4" t="str">
        <f ca="1">OFFSET(Baza!$DZ2,0,L$2)</f>
        <v>Rv1max[Średnia]</v>
      </c>
      <c r="M4" t="str">
        <f ca="1">OFFSET(Baza!$DZ2,0,M$2)</f>
        <v>Rz1max[Średnia]</v>
      </c>
      <c r="N4" t="str">
        <f ca="1">OFFSET(Baza!$DZ2,0,N$2)</f>
        <v>Rz(n) (Wskaźnik λc = 1)[Średnia]</v>
      </c>
      <c r="O4" t="str">
        <f ca="1">OFFSET(Baza!$DZ2,0,O$2)</f>
        <v>RSm (Brak uśredniania (pojedyncza wartość))[Średnia]</v>
      </c>
      <c r="P4" t="str">
        <f ca="1">OFFSET(Baza!$DZ2,0,P$2)</f>
        <v>Rdq[Średnia]</v>
      </c>
      <c r="Q4" t="str">
        <f ca="1">OFFSET(Baza!$DZ2,0,Q$2)</f>
        <v>Rmr (c = 1 µm poniżej najwyższego wypiętrzenia)[Średnia]</v>
      </c>
      <c r="R4" t="str">
        <f ca="1">OFFSET(Baza!$DZ2,0,R$2)</f>
        <v>Rdc (p = 20%, q = 80%)[Średnia]</v>
      </c>
      <c r="S4" t="str">
        <f ca="1">OFFSET(Baza!$DZ2,0,S$2)</f>
        <v>Rmr (Rz/4) (c = Rz/4 µm powyżej płaszczyzny średniej)[Średnia]</v>
      </c>
      <c r="T4" t="str">
        <f ca="1">OFFSET(Baza!$DZ2,0,T$2)</f>
        <v>RPc (Brak uśredniania (pojedyncza wartość))[Średnia]</v>
      </c>
    </row>
    <row r="5" spans="1:23" x14ac:dyDescent="0.2">
      <c r="B5" t="str">
        <f>Baza!DZ3</f>
        <v>µm</v>
      </c>
      <c r="C5" t="str">
        <f ca="1">OFFSET(Baza!$DZ3,0,C$2)</f>
        <v>µm</v>
      </c>
      <c r="D5" t="str">
        <f ca="1">OFFSET(Baza!$DZ3,0,D$2)</f>
        <v>µm</v>
      </c>
      <c r="E5" t="str">
        <f ca="1">OFFSET(Baza!$DZ3,0,E$2)</f>
        <v>µm</v>
      </c>
      <c r="F5" t="str">
        <f ca="1">OFFSET(Baza!$DZ3,0,F$2)</f>
        <v>µm</v>
      </c>
      <c r="G5" t="str">
        <f ca="1">OFFSET(Baza!$DZ3,0,G$2)</f>
        <v>µm</v>
      </c>
      <c r="H5" t="str">
        <f ca="1">OFFSET(Baza!$DZ3,0,H$2)</f>
        <v>µm</v>
      </c>
      <c r="I5" t="str">
        <f ca="1">OFFSET(Baza!$DZ3,0,I$2)</f>
        <v>&lt;no unit&gt;</v>
      </c>
      <c r="J5" t="str">
        <f ca="1">OFFSET(Baza!$DZ3,0,J$2)</f>
        <v>&lt;no unit&gt;</v>
      </c>
      <c r="K5" t="str">
        <f ca="1">OFFSET(Baza!$DZ3,0,K$2)</f>
        <v>µm</v>
      </c>
      <c r="L5" t="str">
        <f ca="1">OFFSET(Baza!$DZ3,0,L$2)</f>
        <v>µm</v>
      </c>
      <c r="M5" t="str">
        <f ca="1">OFFSET(Baza!$DZ3,0,M$2)</f>
        <v>µm</v>
      </c>
      <c r="N5" t="str">
        <f ca="1">OFFSET(Baza!$DZ3,0,N$2)</f>
        <v>µm</v>
      </c>
      <c r="O5" t="str">
        <f ca="1">OFFSET(Baza!$DZ3,0,O$2)</f>
        <v>mm</v>
      </c>
      <c r="P5" t="str">
        <f ca="1">OFFSET(Baza!$DZ3,0,P$2)</f>
        <v>°</v>
      </c>
      <c r="Q5" t="str">
        <f ca="1">OFFSET(Baza!$DZ3,0,Q$2)</f>
        <v>%</v>
      </c>
      <c r="R5" t="str">
        <f ca="1">OFFSET(Baza!$DZ3,0,R$2)</f>
        <v>µm</v>
      </c>
      <c r="S5" t="str">
        <f ca="1">OFFSET(Baza!$DZ3,0,S$2)</f>
        <v>%</v>
      </c>
      <c r="T5" t="str">
        <f ca="1">OFFSET(Baza!$DZ3,0,T$2)</f>
        <v>1/cm</v>
      </c>
    </row>
    <row r="6" spans="1:23" x14ac:dyDescent="0.2">
      <c r="A6" s="1" t="s">
        <v>245</v>
      </c>
      <c r="B6">
        <f>Baza!DZ4</f>
        <v>0.51979895870000004</v>
      </c>
      <c r="C6">
        <f ca="1">OFFSET(Baza!$DZ4,0,C$2)</f>
        <v>0.58068751259999996</v>
      </c>
      <c r="D6">
        <f ca="1">OFFSET(Baza!$DZ4,0,D$2)</f>
        <v>1.100486471</v>
      </c>
      <c r="E6">
        <f ca="1">OFFSET(Baza!$DZ4,0,E$2)</f>
        <v>0.4303688691</v>
      </c>
      <c r="F6">
        <f ca="1">OFFSET(Baza!$DZ4,0,F$2)</f>
        <v>1.4929780770000001</v>
      </c>
      <c r="G6">
        <f ca="1">OFFSET(Baza!$DZ4,0,G$2)</f>
        <v>0.1314746758</v>
      </c>
      <c r="H6">
        <f ca="1">OFFSET(Baza!$DZ4,0,H$2)</f>
        <v>0.1692839354</v>
      </c>
      <c r="I6">
        <f ca="1">OFFSET(Baza!$DZ4,0,I$2)</f>
        <v>-0.2174626318</v>
      </c>
      <c r="J6">
        <f ca="1">OFFSET(Baza!$DZ4,0,J$2)</f>
        <v>3.7851335370000001</v>
      </c>
      <c r="K6">
        <f ca="1">OFFSET(Baza!$DZ4,0,K$2)</f>
        <v>0.72720008169999995</v>
      </c>
      <c r="L6">
        <f ca="1">OFFSET(Baza!$DZ4,0,L$2)</f>
        <v>0.76577799489999998</v>
      </c>
      <c r="M6">
        <f ca="1">OFFSET(Baza!$DZ4,0,M$2)</f>
        <v>1.3831970200000001</v>
      </c>
      <c r="N6">
        <f ca="1">OFFSET(Baza!$DZ4,0,N$2)</f>
        <v>1.144577935</v>
      </c>
      <c r="O6">
        <f ca="1">OFFSET(Baza!$DZ4,0,O$2)</f>
        <v>3.6448544729999997E-2</v>
      </c>
      <c r="P6">
        <f ca="1">OFFSET(Baza!$DZ4,0,P$2)</f>
        <v>2.6081315730000001</v>
      </c>
      <c r="Q6">
        <f ca="1">OFFSET(Baza!$DZ4,0,Q$2)</f>
        <v>88.207352189999995</v>
      </c>
      <c r="R6">
        <f ca="1">OFFSET(Baza!$DZ4,0,R$2)</f>
        <v>0.26617975059999999</v>
      </c>
      <c r="S6">
        <f ca="1">OFFSET(Baza!$DZ4,0,S$2)</f>
        <v>4.411037222</v>
      </c>
      <c r="T6">
        <f ca="1">OFFSET(Baza!$DZ4,0,T$2)</f>
        <v>308.65236870000001</v>
      </c>
      <c r="U6" s="6">
        <f ca="1">B6/C6</f>
        <v>0.89514402741781995</v>
      </c>
    </row>
    <row r="7" spans="1:23" x14ac:dyDescent="0.2">
      <c r="A7" s="1" t="s">
        <v>246</v>
      </c>
      <c r="B7">
        <f>Baza!DZ5</f>
        <v>0.57194560480000001</v>
      </c>
      <c r="C7">
        <f ca="1">OFFSET(Baza!$DZ5,0,C$2)</f>
        <v>0.70856967339999999</v>
      </c>
      <c r="D7">
        <f ca="1">OFFSET(Baza!$DZ5,0,D$2)</f>
        <v>1.280515278</v>
      </c>
      <c r="E7">
        <f ca="1">OFFSET(Baza!$DZ5,0,E$2)</f>
        <v>0.49960186439999998</v>
      </c>
      <c r="F7">
        <f ca="1">OFFSET(Baza!$DZ5,0,F$2)</f>
        <v>1.7178142999999999</v>
      </c>
      <c r="G7">
        <f ca="1">OFFSET(Baza!$DZ5,0,G$2)</f>
        <v>0.1509083393</v>
      </c>
      <c r="H7">
        <f ca="1">OFFSET(Baza!$DZ5,0,H$2)</f>
        <v>0.19570793559999999</v>
      </c>
      <c r="I7">
        <f ca="1">OFFSET(Baza!$DZ5,0,I$2)</f>
        <v>-0.29062689310000001</v>
      </c>
      <c r="J7">
        <f ca="1">OFFSET(Baza!$DZ5,0,J$2)</f>
        <v>3.9636683850000001</v>
      </c>
      <c r="K7">
        <f ca="1">OFFSET(Baza!$DZ5,0,K$2)</f>
        <v>0.77327148670000001</v>
      </c>
      <c r="L7">
        <f ca="1">OFFSET(Baza!$DZ5,0,L$2)</f>
        <v>0.94454281330000001</v>
      </c>
      <c r="M7">
        <f ca="1">OFFSET(Baza!$DZ5,0,M$2)</f>
        <v>1.624493905</v>
      </c>
      <c r="N7">
        <f ca="1">OFFSET(Baza!$DZ5,0,N$2)</f>
        <v>1.399275705</v>
      </c>
      <c r="O7">
        <f ca="1">OFFSET(Baza!$DZ5,0,O$2)</f>
        <v>3.4775031739999997E-2</v>
      </c>
      <c r="P7">
        <f ca="1">OFFSET(Baza!$DZ5,0,P$2)</f>
        <v>2.7856760330000001</v>
      </c>
      <c r="Q7">
        <f ca="1">OFFSET(Baza!$DZ5,0,Q$2)</f>
        <v>82.671704120000001</v>
      </c>
      <c r="R7">
        <f ca="1">OFFSET(Baza!$DZ5,0,R$2)</f>
        <v>0.30198104479999999</v>
      </c>
      <c r="S7">
        <f ca="1">OFFSET(Baza!$DZ5,0,S$2)</f>
        <v>4.4445203979999999</v>
      </c>
      <c r="T7">
        <f ca="1">OFFSET(Baza!$DZ5,0,T$2)</f>
        <v>288.90110559999999</v>
      </c>
      <c r="U7" s="6">
        <f t="shared" ref="U7:U19" ca="1" si="2">B7/C7</f>
        <v>0.80718329653536658</v>
      </c>
    </row>
    <row r="8" spans="1:23" x14ac:dyDescent="0.2">
      <c r="A8" s="1" t="s">
        <v>247</v>
      </c>
      <c r="B8">
        <f>Baza!DZ6</f>
        <v>0.70630356429999996</v>
      </c>
      <c r="C8">
        <f ca="1">OFFSET(Baza!$DZ6,0,C$2)</f>
        <v>0.89571865449999999</v>
      </c>
      <c r="D8">
        <f ca="1">OFFSET(Baza!$DZ6,0,D$2)</f>
        <v>1.602022219</v>
      </c>
      <c r="E8">
        <f ca="1">OFFSET(Baza!$DZ6,0,E$2)</f>
        <v>0.6140241018</v>
      </c>
      <c r="F8">
        <f ca="1">OFFSET(Baza!$DZ6,0,F$2)</f>
        <v>2.1461411579999998</v>
      </c>
      <c r="G8">
        <f ca="1">OFFSET(Baza!$DZ6,0,G$2)</f>
        <v>0.18312845050000001</v>
      </c>
      <c r="H8">
        <f ca="1">OFFSET(Baza!$DZ6,0,H$2)</f>
        <v>0.2397491943</v>
      </c>
      <c r="I8">
        <f ca="1">OFFSET(Baza!$DZ6,0,I$2)</f>
        <v>-0.2865088657</v>
      </c>
      <c r="J8">
        <f ca="1">OFFSET(Baza!$DZ6,0,J$2)</f>
        <v>4.1869623640000002</v>
      </c>
      <c r="K8">
        <f ca="1">OFFSET(Baza!$DZ6,0,K$2)</f>
        <v>0.94377349880000005</v>
      </c>
      <c r="L8">
        <f ca="1">OFFSET(Baza!$DZ6,0,L$2)</f>
        <v>1.2023676590000001</v>
      </c>
      <c r="M8">
        <f ca="1">OFFSET(Baza!$DZ6,0,M$2)</f>
        <v>2.041615432</v>
      </c>
      <c r="N8">
        <f ca="1">OFFSET(Baza!$DZ6,0,N$2)</f>
        <v>1.759335632</v>
      </c>
      <c r="O8">
        <f ca="1">OFFSET(Baza!$DZ6,0,O$2)</f>
        <v>3.292686442E-2</v>
      </c>
      <c r="P8">
        <f ca="1">OFFSET(Baza!$DZ6,0,P$2)</f>
        <v>3.5673442259999999</v>
      </c>
      <c r="Q8">
        <f ca="1">OFFSET(Baza!$DZ6,0,Q$2)</f>
        <v>58.813528470000001</v>
      </c>
      <c r="R8">
        <f ca="1">OFFSET(Baza!$DZ6,0,R$2)</f>
        <v>0.36038752699999999</v>
      </c>
      <c r="S8">
        <f ca="1">OFFSET(Baza!$DZ6,0,S$2)</f>
        <v>4.3617597850000003</v>
      </c>
      <c r="T8">
        <f ca="1">OFFSET(Baza!$DZ6,0,T$2)</f>
        <v>305.25354040000002</v>
      </c>
      <c r="U8" s="6">
        <f t="shared" ca="1" si="2"/>
        <v>0.78853282864167473</v>
      </c>
    </row>
    <row r="9" spans="1:23" x14ac:dyDescent="0.2">
      <c r="A9" s="1" t="s">
        <v>248</v>
      </c>
      <c r="B9">
        <f>Baza!DZ7</f>
        <v>0.73088149400000002</v>
      </c>
      <c r="C9">
        <f ca="1">OFFSET(Baza!$DZ7,0,C$2)</f>
        <v>0.75145316660000006</v>
      </c>
      <c r="D9">
        <f ca="1">OFFSET(Baza!$DZ7,0,D$2)</f>
        <v>1.4823346610000001</v>
      </c>
      <c r="E9">
        <f ca="1">OFFSET(Baza!$DZ7,0,E$2)</f>
        <v>0.53404809549999999</v>
      </c>
      <c r="F9">
        <f ca="1">OFFSET(Baza!$DZ7,0,F$2)</f>
        <v>1.975994848</v>
      </c>
      <c r="G9">
        <f ca="1">OFFSET(Baza!$DZ7,0,G$2)</f>
        <v>0.15821241089999999</v>
      </c>
      <c r="H9">
        <f ca="1">OFFSET(Baza!$DZ7,0,H$2)</f>
        <v>0.2069863176</v>
      </c>
      <c r="I9">
        <f ca="1">OFFSET(Baza!$DZ7,0,I$2)</f>
        <v>-0.18710014650000001</v>
      </c>
      <c r="J9">
        <f ca="1">OFFSET(Baza!$DZ7,0,J$2)</f>
        <v>4.2873804529999999</v>
      </c>
      <c r="K9">
        <f ca="1">OFFSET(Baza!$DZ7,0,K$2)</f>
        <v>1.014142584</v>
      </c>
      <c r="L9">
        <f ca="1">OFFSET(Baza!$DZ7,0,L$2)</f>
        <v>0.96185226450000005</v>
      </c>
      <c r="M9">
        <f ca="1">OFFSET(Baza!$DZ7,0,M$2)</f>
        <v>1.8592090670000001</v>
      </c>
      <c r="N9">
        <f ca="1">OFFSET(Baza!$DZ7,0,N$2)</f>
        <v>1.537009691</v>
      </c>
      <c r="O9">
        <f ca="1">OFFSET(Baza!$DZ7,0,O$2)</f>
        <v>2.9152282200000001E-2</v>
      </c>
      <c r="P9">
        <f ca="1">OFFSET(Baza!$DZ7,0,P$2)</f>
        <v>4.0842118369999998</v>
      </c>
      <c r="Q9">
        <f ca="1">OFFSET(Baza!$DZ7,0,Q$2)</f>
        <v>48.401389719999997</v>
      </c>
      <c r="R9">
        <f ca="1">OFFSET(Baza!$DZ7,0,R$2)</f>
        <v>0.31533840010000003</v>
      </c>
      <c r="S9">
        <f ca="1">OFFSET(Baza!$DZ7,0,S$2)</f>
        <v>3.1090723910000002</v>
      </c>
      <c r="T9">
        <f ca="1">OFFSET(Baza!$DZ7,0,T$2)</f>
        <v>384.81741590000001</v>
      </c>
      <c r="U9" s="6">
        <f t="shared" ca="1" si="2"/>
        <v>0.97262414543666387</v>
      </c>
    </row>
    <row r="10" spans="1:23" x14ac:dyDescent="0.2">
      <c r="A10" s="1" t="s">
        <v>249</v>
      </c>
      <c r="B10">
        <f>Baza!DZ8</f>
        <v>0.71641440379999999</v>
      </c>
      <c r="C10">
        <f ca="1">OFFSET(Baza!$DZ8,0,C$2)</f>
        <v>0.90833879539999995</v>
      </c>
      <c r="D10">
        <f ca="1">OFFSET(Baza!$DZ8,0,D$2)</f>
        <v>1.6247531989999999</v>
      </c>
      <c r="E10">
        <f ca="1">OFFSET(Baza!$DZ8,0,E$2)</f>
        <v>0.59533434780000005</v>
      </c>
      <c r="F10">
        <f ca="1">OFFSET(Baza!$DZ8,0,F$2)</f>
        <v>2.175102737</v>
      </c>
      <c r="G10">
        <f ca="1">OFFSET(Baza!$DZ8,0,G$2)</f>
        <v>0.17336665009999999</v>
      </c>
      <c r="H10">
        <f ca="1">OFFSET(Baza!$DZ8,0,H$2)</f>
        <v>0.22852979870000001</v>
      </c>
      <c r="I10">
        <f ca="1">OFFSET(Baza!$DZ8,0,I$2)</f>
        <v>-0.40631973189999998</v>
      </c>
      <c r="J10">
        <f ca="1">OFFSET(Baza!$DZ8,0,J$2)</f>
        <v>4.496094008</v>
      </c>
      <c r="K10">
        <f ca="1">OFFSET(Baza!$DZ8,0,K$2)</f>
        <v>0.97068019110000003</v>
      </c>
      <c r="L10">
        <f ca="1">OFFSET(Baza!$DZ8,0,L$2)</f>
        <v>1.204422546</v>
      </c>
      <c r="M10">
        <f ca="1">OFFSET(Baza!$DZ8,0,M$2)</f>
        <v>2.0444658950000001</v>
      </c>
      <c r="N10">
        <f ca="1">OFFSET(Baza!$DZ8,0,N$2)</f>
        <v>1.751521084</v>
      </c>
      <c r="O10">
        <f ca="1">OFFSET(Baza!$DZ8,0,O$2)</f>
        <v>2.885506493E-2</v>
      </c>
      <c r="P10">
        <f ca="1">OFFSET(Baza!$DZ8,0,P$2)</f>
        <v>4.1128051890000004</v>
      </c>
      <c r="Q10">
        <f ca="1">OFFSET(Baza!$DZ8,0,Q$2)</f>
        <v>55.845475440000001</v>
      </c>
      <c r="R10">
        <f ca="1">OFFSET(Baza!$DZ8,0,R$2)</f>
        <v>0.34061189419999999</v>
      </c>
      <c r="S10">
        <f ca="1">OFFSET(Baza!$DZ8,0,S$2)</f>
        <v>3.088855857</v>
      </c>
      <c r="T10">
        <f ca="1">OFFSET(Baza!$DZ8,0,T$2)</f>
        <v>348.38019750000001</v>
      </c>
      <c r="U10" s="6">
        <f t="shared" ca="1" si="2"/>
        <v>0.78870836237322295</v>
      </c>
    </row>
    <row r="11" spans="1:23" x14ac:dyDescent="0.2">
      <c r="A11" s="1" t="s">
        <v>250</v>
      </c>
      <c r="B11">
        <f>Baza!DZ9</f>
        <v>0.84696011579999997</v>
      </c>
      <c r="C11">
        <f ca="1">OFFSET(Baza!$DZ9,0,C$2)</f>
        <v>1.1949619039999999</v>
      </c>
      <c r="D11">
        <f ca="1">OFFSET(Baza!$DZ9,0,D$2)</f>
        <v>2.0419220199999999</v>
      </c>
      <c r="E11">
        <f ca="1">OFFSET(Baza!$DZ9,0,E$2)</f>
        <v>0.74129638840000001</v>
      </c>
      <c r="F11">
        <f ca="1">OFFSET(Baza!$DZ9,0,F$2)</f>
        <v>2.7342098469999998</v>
      </c>
      <c r="G11">
        <f ca="1">OFFSET(Baza!$DZ9,0,G$2)</f>
        <v>0.21281834059999999</v>
      </c>
      <c r="H11">
        <f ca="1">OFFSET(Baza!$DZ9,0,H$2)</f>
        <v>0.28385749580000003</v>
      </c>
      <c r="I11">
        <f ca="1">OFFSET(Baza!$DZ9,0,I$2)</f>
        <v>-0.51748796620000004</v>
      </c>
      <c r="J11">
        <f ca="1">OFFSET(Baza!$DZ9,0,J$2)</f>
        <v>4.8614609230000001</v>
      </c>
      <c r="K11">
        <f ca="1">OFFSET(Baza!$DZ9,0,K$2)</f>
        <v>1.1323823989999999</v>
      </c>
      <c r="L11">
        <f ca="1">OFFSET(Baza!$DZ9,0,L$2)</f>
        <v>1.6018274480000001</v>
      </c>
      <c r="M11">
        <f ca="1">OFFSET(Baza!$DZ9,0,M$2)</f>
        <v>2.587984611</v>
      </c>
      <c r="N11">
        <f ca="1">OFFSET(Baza!$DZ9,0,N$2)</f>
        <v>2.233244563</v>
      </c>
      <c r="O11">
        <f ca="1">OFFSET(Baza!$DZ9,0,O$2)</f>
        <v>2.783786332E-2</v>
      </c>
      <c r="P11">
        <f ca="1">OFFSET(Baza!$DZ9,0,P$2)</f>
        <v>5.2232126509999999</v>
      </c>
      <c r="Q11">
        <f ca="1">OFFSET(Baza!$DZ9,0,Q$2)</f>
        <v>35.330689290000002</v>
      </c>
      <c r="R11">
        <f ca="1">OFFSET(Baza!$DZ9,0,R$2)</f>
        <v>0.41070381550000001</v>
      </c>
      <c r="S11">
        <f ca="1">OFFSET(Baza!$DZ9,0,S$2)</f>
        <v>2.9945274839999998</v>
      </c>
      <c r="T11">
        <f ca="1">OFFSET(Baza!$DZ9,0,T$2)</f>
        <v>361.20677649999999</v>
      </c>
      <c r="U11" s="6">
        <f t="shared" ca="1" si="2"/>
        <v>0.70877583039668191</v>
      </c>
    </row>
    <row r="12" spans="1:23" x14ac:dyDescent="0.2">
      <c r="A12" s="1" t="s">
        <v>251</v>
      </c>
      <c r="B12">
        <f>Baza!DZ10</f>
        <v>0.57842240069999995</v>
      </c>
      <c r="C12">
        <f ca="1">OFFSET(Baza!$DZ10,0,C$2)</f>
        <v>0.95222548659999995</v>
      </c>
      <c r="D12">
        <f ca="1">OFFSET(Baza!$DZ10,0,D$2)</f>
        <v>1.530647887</v>
      </c>
      <c r="E12">
        <f ca="1">OFFSET(Baza!$DZ10,0,E$2)</f>
        <v>0.67223260520000006</v>
      </c>
      <c r="F12">
        <f ca="1">OFFSET(Baza!$DZ10,0,F$2)</f>
        <v>2.1240285669999999</v>
      </c>
      <c r="G12">
        <f ca="1">OFFSET(Baza!$DZ10,0,G$2)</f>
        <v>0.2179855879</v>
      </c>
      <c r="H12">
        <f ca="1">OFFSET(Baza!$DZ10,0,H$2)</f>
        <v>0.27799824989999999</v>
      </c>
      <c r="I12">
        <f ca="1">OFFSET(Baza!$DZ10,0,I$2)</f>
        <v>-0.68416519710000001</v>
      </c>
      <c r="J12">
        <f ca="1">OFFSET(Baza!$DZ10,0,J$2)</f>
        <v>3.7857786569999998</v>
      </c>
      <c r="K12">
        <f ca="1">OFFSET(Baza!$DZ10,0,K$2)</f>
        <v>0.79078670480000002</v>
      </c>
      <c r="L12">
        <f ca="1">OFFSET(Baza!$DZ10,0,L$2)</f>
        <v>1.3332418619999999</v>
      </c>
      <c r="M12">
        <f ca="1">OFFSET(Baza!$DZ10,0,M$2)</f>
        <v>2.004213257</v>
      </c>
      <c r="N12">
        <f ca="1">OFFSET(Baza!$DZ10,0,N$2)</f>
        <v>1.8032060700000001</v>
      </c>
      <c r="O12">
        <f ca="1">OFFSET(Baza!$DZ10,0,O$2)</f>
        <v>6.3537340669999998E-2</v>
      </c>
      <c r="P12">
        <f ca="1">OFFSET(Baza!$DZ10,0,P$2)</f>
        <v>2.1197222899999999</v>
      </c>
      <c r="Q12">
        <f ca="1">OFFSET(Baza!$DZ10,0,Q$2)</f>
        <v>75.453385659999995</v>
      </c>
      <c r="R12">
        <f ca="1">OFFSET(Baza!$DZ10,0,R$2)</f>
        <v>0.44382855700000001</v>
      </c>
      <c r="S12">
        <f ca="1">OFFSET(Baza!$DZ10,0,S$2)</f>
        <v>5.4600561580000004</v>
      </c>
      <c r="T12">
        <f ca="1">OFFSET(Baza!$DZ10,0,T$2)</f>
        <v>164.87391009999999</v>
      </c>
      <c r="U12" s="6">
        <f t="shared" ca="1" si="2"/>
        <v>0.60744267911301675</v>
      </c>
    </row>
    <row r="13" spans="1:23" x14ac:dyDescent="0.2">
      <c r="A13" s="1" t="s">
        <v>252</v>
      </c>
      <c r="B13">
        <f>Baza!DZ11</f>
        <v>0.41628375919999999</v>
      </c>
      <c r="C13">
        <f ca="1">OFFSET(Baza!$DZ11,0,C$2)</f>
        <v>0.4250765453</v>
      </c>
      <c r="D13">
        <f ca="1">OFFSET(Baza!$DZ11,0,D$2)</f>
        <v>0.84136030449999999</v>
      </c>
      <c r="E13">
        <f ca="1">OFFSET(Baza!$DZ11,0,E$2)</f>
        <v>0.36951518259999999</v>
      </c>
      <c r="F13">
        <f ca="1">OFFSET(Baza!$DZ11,0,F$2)</f>
        <v>1.1542518740000001</v>
      </c>
      <c r="G13">
        <f ca="1">OFFSET(Baza!$DZ11,0,G$2)</f>
        <v>0.1164159379</v>
      </c>
      <c r="H13">
        <f ca="1">OFFSET(Baza!$DZ11,0,H$2)</f>
        <v>0.14801842649999999</v>
      </c>
      <c r="I13">
        <f ca="1">OFFSET(Baza!$DZ11,0,I$2)</f>
        <v>-2.198186907E-2</v>
      </c>
      <c r="J13">
        <f ca="1">OFFSET(Baza!$DZ11,0,J$2)</f>
        <v>3.432825845</v>
      </c>
      <c r="K13">
        <f ca="1">OFFSET(Baza!$DZ11,0,K$2)</f>
        <v>0.57864052460000004</v>
      </c>
      <c r="L13">
        <f ca="1">OFFSET(Baza!$DZ11,0,L$2)</f>
        <v>0.5756113491</v>
      </c>
      <c r="M13">
        <f ca="1">OFFSET(Baza!$DZ11,0,M$2)</f>
        <v>1.0740820259999999</v>
      </c>
      <c r="N13">
        <f ca="1">OFFSET(Baza!$DZ11,0,N$2)</f>
        <v>0.94523839470000004</v>
      </c>
      <c r="O13">
        <f ca="1">OFFSET(Baza!$DZ11,0,O$2)</f>
        <v>5.9203398970000001E-2</v>
      </c>
      <c r="P13">
        <f ca="1">OFFSET(Baza!$DZ11,0,P$2)</f>
        <v>1.160841762</v>
      </c>
      <c r="Q13">
        <f ca="1">OFFSET(Baza!$DZ11,0,Q$2)</f>
        <v>95.572478770000004</v>
      </c>
      <c r="R13">
        <f ca="1">OFFSET(Baza!$DZ11,0,R$2)</f>
        <v>0.2386081172</v>
      </c>
      <c r="S13">
        <f ca="1">OFFSET(Baza!$DZ11,0,S$2)</f>
        <v>7.3154281330000002</v>
      </c>
      <c r="T13">
        <f ca="1">OFFSET(Baza!$DZ11,0,T$2)</f>
        <v>170.01916009999999</v>
      </c>
      <c r="U13" s="6">
        <f t="shared" ca="1" si="2"/>
        <v>0.97931481706713686</v>
      </c>
    </row>
    <row r="14" spans="1:23" x14ac:dyDescent="0.2">
      <c r="A14" s="1" t="s">
        <v>253</v>
      </c>
      <c r="B14">
        <f>Baza!DZ12</f>
        <v>0.55379954529999997</v>
      </c>
      <c r="C14">
        <f ca="1">OFFSET(Baza!$DZ12,0,C$2)</f>
        <v>0.46506284260000003</v>
      </c>
      <c r="D14">
        <f ca="1">OFFSET(Baza!$DZ12,0,D$2)</f>
        <v>1.0188623880000001</v>
      </c>
      <c r="E14">
        <f ca="1">OFFSET(Baza!$DZ12,0,E$2)</f>
        <v>0.45864864859999999</v>
      </c>
      <c r="F14">
        <f ca="1">OFFSET(Baza!$DZ12,0,F$2)</f>
        <v>1.384971653</v>
      </c>
      <c r="G14">
        <f ca="1">OFFSET(Baza!$DZ12,0,G$2)</f>
        <v>0.14435310139999999</v>
      </c>
      <c r="H14">
        <f ca="1">OFFSET(Baza!$DZ12,0,H$2)</f>
        <v>0.18329840319999999</v>
      </c>
      <c r="I14">
        <f ca="1">OFFSET(Baza!$DZ12,0,I$2)</f>
        <v>0.23121914709999999</v>
      </c>
      <c r="J14">
        <f ca="1">OFFSET(Baza!$DZ12,0,J$2)</f>
        <v>3.4008317450000001</v>
      </c>
      <c r="K14">
        <f ca="1">OFFSET(Baza!$DZ12,0,K$2)</f>
        <v>0.7670271085</v>
      </c>
      <c r="L14">
        <f ca="1">OFFSET(Baza!$DZ12,0,L$2)</f>
        <v>0.61794454409999999</v>
      </c>
      <c r="M14">
        <f ca="1">OFFSET(Baza!$DZ12,0,M$2)</f>
        <v>1.307080574</v>
      </c>
      <c r="N14">
        <f ca="1">OFFSET(Baza!$DZ12,0,N$2)</f>
        <v>1.135722747</v>
      </c>
      <c r="O14">
        <f ca="1">OFFSET(Baza!$DZ12,0,O$2)</f>
        <v>6.0993576340000001E-2</v>
      </c>
      <c r="P14">
        <f ca="1">OFFSET(Baza!$DZ12,0,P$2)</f>
        <v>1.382803319</v>
      </c>
      <c r="Q14">
        <f ca="1">OFFSET(Baza!$DZ12,0,Q$2)</f>
        <v>82.782045499999995</v>
      </c>
      <c r="R14">
        <f ca="1">OFFSET(Baza!$DZ12,0,R$2)</f>
        <v>0.2947657461</v>
      </c>
      <c r="S14">
        <f ca="1">OFFSET(Baza!$DZ12,0,S$2)</f>
        <v>8.3473446619999994</v>
      </c>
      <c r="T14">
        <f ca="1">OFFSET(Baza!$DZ12,0,T$2)</f>
        <v>164.9449888</v>
      </c>
      <c r="U14" s="6">
        <f t="shared" ca="1" si="2"/>
        <v>1.1908058321836781</v>
      </c>
    </row>
    <row r="15" spans="1:23" x14ac:dyDescent="0.2">
      <c r="A15" s="1" t="s">
        <v>254</v>
      </c>
      <c r="B15">
        <f>Baza!DZ13</f>
        <v>1.4556290249999999</v>
      </c>
      <c r="C15">
        <f ca="1">OFFSET(Baza!$DZ13,0,C$2)</f>
        <v>1.3013012479999999</v>
      </c>
      <c r="D15">
        <f ca="1">OFFSET(Baza!$DZ13,0,D$2)</f>
        <v>2.756930273</v>
      </c>
      <c r="E15">
        <f ca="1">OFFSET(Baza!$DZ13,0,E$2)</f>
        <v>1.336219067</v>
      </c>
      <c r="F15">
        <f ca="1">OFFSET(Baza!$DZ13,0,F$2)</f>
        <v>3.3788555429999998</v>
      </c>
      <c r="G15">
        <f ca="1">OFFSET(Baza!$DZ13,0,G$2)</f>
        <v>0.39802881340000001</v>
      </c>
      <c r="H15">
        <f ca="1">OFFSET(Baza!$DZ13,0,H$2)</f>
        <v>0.49708886689999998</v>
      </c>
      <c r="I15">
        <f ca="1">OFFSET(Baza!$DZ13,0,I$2)</f>
        <v>0.1053710541</v>
      </c>
      <c r="J15">
        <f ca="1">OFFSET(Baza!$DZ13,0,J$2)</f>
        <v>3.0686875900000001</v>
      </c>
      <c r="K15">
        <f ca="1">OFFSET(Baza!$DZ13,0,K$2)</f>
        <v>1.8201624569999999</v>
      </c>
      <c r="L15">
        <f ca="1">OFFSET(Baza!$DZ13,0,L$2)</f>
        <v>1.5586930859999999</v>
      </c>
      <c r="M15">
        <f ca="1">OFFSET(Baza!$DZ13,0,M$2)</f>
        <v>3.2222463229999998</v>
      </c>
      <c r="N15">
        <f ca="1">OFFSET(Baza!$DZ13,0,N$2)</f>
        <v>2.7795250939999998</v>
      </c>
      <c r="O15">
        <f ca="1">OFFSET(Baza!$DZ13,0,O$2)</f>
        <v>4.1927788620000003E-2</v>
      </c>
      <c r="P15">
        <f ca="1">OFFSET(Baza!$DZ13,0,P$2)</f>
        <v>8.9079861260000008</v>
      </c>
      <c r="Q15">
        <f ca="1">OFFSET(Baza!$DZ13,0,Q$2)</f>
        <v>6.8515568580000004</v>
      </c>
      <c r="R15">
        <f ca="1">OFFSET(Baza!$DZ13,0,R$2)</f>
        <v>0.83746027379999999</v>
      </c>
      <c r="S15">
        <f ca="1">OFFSET(Baza!$DZ13,0,S$2)</f>
        <v>8.5035705180000001</v>
      </c>
      <c r="T15">
        <f ca="1">OFFSET(Baza!$DZ13,0,T$2)</f>
        <v>240.63140509999999</v>
      </c>
      <c r="U15" s="6">
        <f t="shared" ca="1" si="2"/>
        <v>1.1185949657984191</v>
      </c>
    </row>
    <row r="16" spans="1:23" x14ac:dyDescent="0.2">
      <c r="A16" s="1" t="s">
        <v>257</v>
      </c>
      <c r="B16">
        <f>Baza!DZ14</f>
        <v>1.4674012890000001</v>
      </c>
      <c r="C16">
        <f ca="1">OFFSET(Baza!$DZ14,0,C$2)</f>
        <v>1.3104813129999999</v>
      </c>
      <c r="D16">
        <f ca="1">OFFSET(Baza!$DZ14,0,D$2)</f>
        <v>2.777882602</v>
      </c>
      <c r="E16">
        <f ca="1">OFFSET(Baza!$DZ14,0,E$2)</f>
        <v>1.3509689439999999</v>
      </c>
      <c r="F16">
        <f ca="1">OFFSET(Baza!$DZ14,0,F$2)</f>
        <v>3.4037358950000001</v>
      </c>
      <c r="G16">
        <f ca="1">OFFSET(Baza!$DZ14,0,G$2)</f>
        <v>0.40253560040000003</v>
      </c>
      <c r="H16">
        <f ca="1">OFFSET(Baza!$DZ14,0,H$2)</f>
        <v>0.50232250410000001</v>
      </c>
      <c r="I16">
        <f ca="1">OFFSET(Baza!$DZ14,0,I$2)</f>
        <v>0.1088656256</v>
      </c>
      <c r="J16">
        <f ca="1">OFFSET(Baza!$DZ14,0,J$2)</f>
        <v>3.055201947</v>
      </c>
      <c r="K16">
        <f ca="1">OFFSET(Baza!$DZ14,0,K$2)</f>
        <v>1.8298111459999999</v>
      </c>
      <c r="L16">
        <f ca="1">OFFSET(Baza!$DZ14,0,L$2)</f>
        <v>1.5739247489999999</v>
      </c>
      <c r="M16">
        <f ca="1">OFFSET(Baza!$DZ14,0,M$2)</f>
        <v>3.2446923679999999</v>
      </c>
      <c r="N16">
        <f ca="1">OFFSET(Baza!$DZ14,0,N$2)</f>
        <v>2.770690895</v>
      </c>
      <c r="O16">
        <f ca="1">OFFSET(Baza!$DZ14,0,O$2)</f>
        <v>4.1817717140000002E-2</v>
      </c>
      <c r="P16">
        <f ca="1">OFFSET(Baza!$DZ14,0,P$2)</f>
        <v>9.0719442610000005</v>
      </c>
      <c r="Q16">
        <f ca="1">OFFSET(Baza!$DZ14,0,Q$2)</f>
        <v>6.6063899629999998</v>
      </c>
      <c r="R16">
        <f ca="1">OFFSET(Baza!$DZ14,0,R$2)</f>
        <v>0.8475691943</v>
      </c>
      <c r="S16">
        <f ca="1">OFFSET(Baza!$DZ14,0,S$2)</f>
        <v>8.5610350739999994</v>
      </c>
      <c r="T16">
        <f ca="1">OFFSET(Baza!$DZ14,0,T$2)</f>
        <v>241.24610920000001</v>
      </c>
      <c r="U16" s="6">
        <f t="shared" ca="1" si="2"/>
        <v>1.1197422461834068</v>
      </c>
    </row>
    <row r="17" spans="1:21" x14ac:dyDescent="0.2">
      <c r="A17" s="1" t="s">
        <v>255</v>
      </c>
      <c r="B17">
        <f>Baza!DZ15</f>
        <v>0.21002776170000001</v>
      </c>
      <c r="C17">
        <f ca="1">OFFSET(Baza!$DZ15,0,C$2)</f>
        <v>0.19818407369999999</v>
      </c>
      <c r="D17">
        <f ca="1">OFFSET(Baza!$DZ15,0,D$2)</f>
        <v>0.40821183529999999</v>
      </c>
      <c r="E17">
        <f ca="1">OFFSET(Baza!$DZ15,0,E$2)</f>
        <v>0.1829456606</v>
      </c>
      <c r="F17">
        <f ca="1">OFFSET(Baza!$DZ15,0,F$2)</f>
        <v>0.55668525260000001</v>
      </c>
      <c r="G17">
        <f ca="1">OFFSET(Baza!$DZ15,0,G$2)</f>
        <v>5.9598750630000003E-2</v>
      </c>
      <c r="H17">
        <f ca="1">OFFSET(Baza!$DZ15,0,H$2)</f>
        <v>7.4758895160000005E-2</v>
      </c>
      <c r="I17">
        <f ca="1">OFFSET(Baza!$DZ15,0,I$2)</f>
        <v>7.0218532759999994E-2</v>
      </c>
      <c r="J17">
        <f ca="1">OFFSET(Baza!$DZ15,0,J$2)</f>
        <v>3.1042212880000002</v>
      </c>
      <c r="K17">
        <f ca="1">OFFSET(Baza!$DZ15,0,K$2)</f>
        <v>0.28429212329999998</v>
      </c>
      <c r="L17">
        <f ca="1">OFFSET(Baza!$DZ15,0,L$2)</f>
        <v>0.2723349135</v>
      </c>
      <c r="M17">
        <f ca="1">OFFSET(Baza!$DZ15,0,M$2)</f>
        <v>0.52476262630000003</v>
      </c>
      <c r="N17">
        <f ca="1">OFFSET(Baza!$DZ15,0,N$2)</f>
        <v>0.46881784739999999</v>
      </c>
      <c r="O17">
        <f ca="1">OFFSET(Baza!$DZ15,0,O$2)</f>
        <v>6.6517962139999998E-2</v>
      </c>
      <c r="P17">
        <f ca="1">OFFSET(Baza!$DZ15,0,P$2)</f>
        <v>0.59695465110000001</v>
      </c>
      <c r="Q17">
        <f ca="1">OFFSET(Baza!$DZ15,0,Q$2)</f>
        <v>100</v>
      </c>
      <c r="R17">
        <f ca="1">OFFSET(Baza!$DZ15,0,R$2)</f>
        <v>0.1247022708</v>
      </c>
      <c r="S17">
        <f ca="1">OFFSET(Baza!$DZ15,0,S$2)</f>
        <v>8.7659591769999992</v>
      </c>
      <c r="T17">
        <f ca="1">OFFSET(Baza!$DZ15,0,T$2)</f>
        <v>151.7723038</v>
      </c>
      <c r="U17" s="6">
        <f t="shared" ca="1" si="2"/>
        <v>1.0597610482965869</v>
      </c>
    </row>
    <row r="18" spans="1:21" x14ac:dyDescent="0.2">
      <c r="A18" s="1" t="s">
        <v>256</v>
      </c>
      <c r="B18">
        <f>Baza!DZ16</f>
        <v>0.37451779559999998</v>
      </c>
      <c r="C18">
        <f ca="1">OFFSET(Baza!$DZ16,0,C$2)</f>
        <v>0.3630061202</v>
      </c>
      <c r="D18">
        <f ca="1">OFFSET(Baza!$DZ16,0,D$2)</f>
        <v>0.73752391579999999</v>
      </c>
      <c r="E18">
        <f ca="1">OFFSET(Baza!$DZ16,0,E$2)</f>
        <v>0.31704270950000002</v>
      </c>
      <c r="F18">
        <f ca="1">OFFSET(Baza!$DZ16,0,F$2)</f>
        <v>1.0497308999999999</v>
      </c>
      <c r="G18">
        <f ca="1">OFFSET(Baza!$DZ16,0,G$2)</f>
        <v>9.9190926629999995E-2</v>
      </c>
      <c r="H18">
        <f ca="1">OFFSET(Baza!$DZ16,0,H$2)</f>
        <v>0.1271804943</v>
      </c>
      <c r="I18">
        <f ca="1">OFFSET(Baza!$DZ16,0,I$2)</f>
        <v>6.3335077929999997E-2</v>
      </c>
      <c r="J18">
        <f ca="1">OFFSET(Baza!$DZ16,0,J$2)</f>
        <v>3.5125658080000002</v>
      </c>
      <c r="K18">
        <f ca="1">OFFSET(Baza!$DZ16,0,K$2)</f>
        <v>0.53860906180000001</v>
      </c>
      <c r="L18">
        <f ca="1">OFFSET(Baza!$DZ16,0,L$2)</f>
        <v>0.51108604879999997</v>
      </c>
      <c r="M18">
        <f ca="1">OFFSET(Baza!$DZ16,0,M$2)</f>
        <v>0.99584581579999998</v>
      </c>
      <c r="N18">
        <f ca="1">OFFSET(Baza!$DZ16,0,N$2)</f>
        <v>0.76439489469999999</v>
      </c>
      <c r="O18">
        <f ca="1">OFFSET(Baza!$DZ16,0,O$2)</f>
        <v>5.113793782E-2</v>
      </c>
      <c r="P18">
        <f ca="1">OFFSET(Baza!$DZ16,0,P$2)</f>
        <v>1.7559067500000001</v>
      </c>
      <c r="Q18">
        <f ca="1">OFFSET(Baza!$DZ16,0,Q$2)</f>
        <v>99.43624629</v>
      </c>
      <c r="R18">
        <f ca="1">OFFSET(Baza!$DZ16,0,R$2)</f>
        <v>0.1966535878</v>
      </c>
      <c r="S18">
        <f ca="1">OFFSET(Baza!$DZ16,0,S$2)</f>
        <v>7.4065115749999997</v>
      </c>
      <c r="T18">
        <f ca="1">OFFSET(Baza!$DZ16,0,T$2)</f>
        <v>197.47908939999999</v>
      </c>
      <c r="U18" s="6">
        <f t="shared" ca="1" si="2"/>
        <v>1.0317120697404705</v>
      </c>
    </row>
    <row r="19" spans="1:21" x14ac:dyDescent="0.2">
      <c r="A19" s="1" t="s">
        <v>258</v>
      </c>
      <c r="B19">
        <f>Baza!DZ17</f>
        <v>0.1992708343</v>
      </c>
      <c r="C19">
        <f ca="1">OFFSET(Baza!$DZ17,0,C$2)</f>
        <v>0.19346009049999999</v>
      </c>
      <c r="D19">
        <f ca="1">OFFSET(Baza!$DZ17,0,D$2)</f>
        <v>0.39273092479999999</v>
      </c>
      <c r="E19">
        <f ca="1">OFFSET(Baza!$DZ17,0,E$2)</f>
        <v>0.1787498743</v>
      </c>
      <c r="F19">
        <f ca="1">OFFSET(Baza!$DZ17,0,F$2)</f>
        <v>0.53534530000000002</v>
      </c>
      <c r="G19">
        <f ca="1">OFFSET(Baza!$DZ17,0,G$2)</f>
        <v>5.8625806449999998E-2</v>
      </c>
      <c r="H19">
        <f ca="1">OFFSET(Baza!$DZ17,0,H$2)</f>
        <v>7.3439970509999994E-2</v>
      </c>
      <c r="I19">
        <f ca="1">OFFSET(Baza!$DZ17,0,I$2)</f>
        <v>8.5146823590000004E-2</v>
      </c>
      <c r="J19">
        <f ca="1">OFFSET(Baza!$DZ17,0,J$2)</f>
        <v>3.07532425</v>
      </c>
      <c r="K19">
        <f ca="1">OFFSET(Baza!$DZ17,0,K$2)</f>
        <v>0.2704009644</v>
      </c>
      <c r="L19">
        <f ca="1">OFFSET(Baza!$DZ17,0,L$2)</f>
        <v>0.26494433560000002</v>
      </c>
      <c r="M19">
        <f ca="1">OFFSET(Baza!$DZ17,0,M$2)</f>
        <v>0.49884250530000002</v>
      </c>
      <c r="N19">
        <f ca="1">OFFSET(Baza!$DZ17,0,N$2)</f>
        <v>0.3995378</v>
      </c>
      <c r="O19">
        <f ca="1">OFFSET(Baza!$DZ17,0,O$2)</f>
        <v>7.0384320180000001E-2</v>
      </c>
      <c r="P19">
        <f ca="1">OFFSET(Baza!$DZ17,0,P$2)</f>
        <v>0.52264505139999995</v>
      </c>
      <c r="Q19">
        <f ca="1">OFFSET(Baza!$DZ17,0,Q$2)</f>
        <v>100</v>
      </c>
      <c r="R19">
        <f ca="1">OFFSET(Baza!$DZ17,0,R$2)</f>
        <v>0.1230919093</v>
      </c>
      <c r="S19">
        <f ca="1">OFFSET(Baza!$DZ17,0,S$2)</f>
        <v>9.3392712650000007</v>
      </c>
      <c r="T19">
        <f ca="1">OFFSET(Baza!$DZ17,0,T$2)</f>
        <v>142.96724259999999</v>
      </c>
      <c r="U19" s="6">
        <f t="shared" ca="1" si="2"/>
        <v>1.030035878640303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6C9DB-D053-452E-899F-F8882A593DCD}">
  <dimension ref="A1:W18"/>
  <sheetViews>
    <sheetView topLeftCell="Q1" workbookViewId="0">
      <selection activeCell="U1" sqref="U1:U1048576"/>
    </sheetView>
  </sheetViews>
  <sheetFormatPr baseColWidth="10" defaultColWidth="8.83203125" defaultRowHeight="15" x14ac:dyDescent="0.2"/>
  <cols>
    <col min="1" max="1" width="11.33203125" bestFit="1" customWidth="1"/>
    <col min="2" max="4" width="12" bestFit="1" customWidth="1"/>
    <col min="5" max="5" width="43.6640625" bestFit="1" customWidth="1"/>
    <col min="6" max="8" width="12" bestFit="1" customWidth="1"/>
    <col min="9" max="9" width="12.6640625" bestFit="1" customWidth="1"/>
    <col min="10" max="10" width="12" bestFit="1" customWidth="1"/>
    <col min="11" max="11" width="45.33203125" bestFit="1" customWidth="1"/>
    <col min="12" max="12" width="12" bestFit="1" customWidth="1"/>
    <col min="13" max="13" width="48.5" bestFit="1" customWidth="1"/>
    <col min="14" max="14" width="26.6640625" bestFit="1" customWidth="1"/>
    <col min="15" max="15" width="44.6640625" bestFit="1" customWidth="1"/>
    <col min="16" max="16" width="12" bestFit="1" customWidth="1"/>
    <col min="17" max="17" width="48.6640625" bestFit="1" customWidth="1"/>
    <col min="18" max="18" width="26.83203125" bestFit="1" customWidth="1"/>
    <col min="19" max="19" width="52.6640625" bestFit="1" customWidth="1"/>
    <col min="20" max="20" width="44.83203125" bestFit="1" customWidth="1"/>
    <col min="21" max="22" width="12" bestFit="1" customWidth="1"/>
  </cols>
  <sheetData>
    <row r="1" spans="1:23" x14ac:dyDescent="0.2">
      <c r="B1" t="str">
        <f>B4</f>
        <v>Rp[Średnia]</v>
      </c>
      <c r="C1" t="str">
        <f t="shared" ref="C1:T1" ca="1" si="0">C4</f>
        <v>Rv[Średnia]</v>
      </c>
      <c r="D1" t="str">
        <f t="shared" ca="1" si="0"/>
        <v>Rz[Średnia]</v>
      </c>
      <c r="E1" t="str">
        <f t="shared" ca="1" si="0"/>
        <v>Rc (Brak uśredniania (pojedyncza wartość))[Średnia]</v>
      </c>
      <c r="F1" t="str">
        <f t="shared" ca="1" si="0"/>
        <v>Rt[Średnia]</v>
      </c>
      <c r="G1" t="str">
        <f t="shared" ca="1" si="0"/>
        <v>Ra[Średnia]</v>
      </c>
      <c r="H1" t="str">
        <f t="shared" ca="1" si="0"/>
        <v>Rq[Średnia]</v>
      </c>
      <c r="I1" t="str">
        <f t="shared" ca="1" si="0"/>
        <v>Rsk[Średnia]</v>
      </c>
      <c r="J1" t="str">
        <f t="shared" ca="1" si="0"/>
        <v>Rku[Średnia]</v>
      </c>
      <c r="K1" t="str">
        <f t="shared" ca="1" si="0"/>
        <v>Rp1max[Średnia]</v>
      </c>
      <c r="L1" t="str">
        <f t="shared" ca="1" si="0"/>
        <v>Rv1max[Średnia]</v>
      </c>
      <c r="M1" t="str">
        <f t="shared" ca="1" si="0"/>
        <v>Rz1max[Średnia]</v>
      </c>
      <c r="N1" t="str">
        <f t="shared" ca="1" si="0"/>
        <v>Rz(n) (Wskaźnik λc = 1)[Średnia]</v>
      </c>
      <c r="O1" t="str">
        <f t="shared" ca="1" si="0"/>
        <v>RSm (Brak uśredniania (pojedyncza wartość))[Średnia]</v>
      </c>
      <c r="P1" t="str">
        <f t="shared" ca="1" si="0"/>
        <v>Rdq[Średnia]</v>
      </c>
      <c r="Q1" t="str">
        <f t="shared" ca="1" si="0"/>
        <v>Rmr (c = 1 µm poniżej najwyższego wypiętrzenia)[Średnia]</v>
      </c>
      <c r="R1" t="str">
        <f t="shared" ca="1" si="0"/>
        <v>Rdc (p = 20%, q = 80%)[Średnia]</v>
      </c>
      <c r="S1" t="str">
        <f t="shared" ca="1" si="0"/>
        <v>Rmr (Rz/4) (c = Rz/4 µm powyżej płaszczyzny średniej)[Średnia]</v>
      </c>
      <c r="T1" t="str">
        <f t="shared" ca="1" si="0"/>
        <v>RPc (Brak uśredniania (pojedyncza wartość))[Średnia]</v>
      </c>
      <c r="U1" t="s">
        <v>275</v>
      </c>
    </row>
    <row r="2" spans="1:23" x14ac:dyDescent="0.2">
      <c r="B2" s="5" t="s">
        <v>274</v>
      </c>
      <c r="C2" s="5">
        <v>4</v>
      </c>
      <c r="D2" s="5">
        <f>C2+4</f>
        <v>8</v>
      </c>
      <c r="E2" s="5">
        <f t="shared" ref="E2:W2" si="1">D2+4</f>
        <v>12</v>
      </c>
      <c r="F2" s="5">
        <f t="shared" si="1"/>
        <v>16</v>
      </c>
      <c r="G2" s="5">
        <f t="shared" si="1"/>
        <v>20</v>
      </c>
      <c r="H2" s="5">
        <f t="shared" si="1"/>
        <v>24</v>
      </c>
      <c r="I2" s="5">
        <f t="shared" si="1"/>
        <v>28</v>
      </c>
      <c r="J2" s="5">
        <f t="shared" si="1"/>
        <v>32</v>
      </c>
      <c r="K2" s="5">
        <f t="shared" si="1"/>
        <v>36</v>
      </c>
      <c r="L2" s="5">
        <f t="shared" si="1"/>
        <v>40</v>
      </c>
      <c r="M2" s="5">
        <f t="shared" si="1"/>
        <v>44</v>
      </c>
      <c r="N2" s="5">
        <f t="shared" si="1"/>
        <v>48</v>
      </c>
      <c r="O2" s="5">
        <f t="shared" si="1"/>
        <v>52</v>
      </c>
      <c r="P2" s="5">
        <f t="shared" si="1"/>
        <v>56</v>
      </c>
      <c r="Q2" s="5">
        <f t="shared" si="1"/>
        <v>60</v>
      </c>
      <c r="R2" s="5">
        <f t="shared" si="1"/>
        <v>64</v>
      </c>
      <c r="S2" s="5">
        <f t="shared" si="1"/>
        <v>68</v>
      </c>
      <c r="T2" s="5">
        <f t="shared" si="1"/>
        <v>72</v>
      </c>
      <c r="U2" s="5">
        <f t="shared" si="1"/>
        <v>76</v>
      </c>
      <c r="V2" s="5">
        <f t="shared" si="1"/>
        <v>80</v>
      </c>
      <c r="W2" s="5">
        <f t="shared" si="1"/>
        <v>84</v>
      </c>
    </row>
    <row r="3" spans="1:23" x14ac:dyDescent="0.2">
      <c r="B3">
        <f>Baza!DZ1</f>
        <v>50</v>
      </c>
      <c r="C3">
        <f ca="1">OFFSET(Baza!$DZ1,0,C$2)</f>
        <v>50</v>
      </c>
      <c r="D3">
        <f ca="1">OFFSET(Baza!$DZ1,0,D$2)</f>
        <v>50</v>
      </c>
      <c r="E3">
        <f ca="1">OFFSET(Baza!$DZ1,0,E$2)</f>
        <v>50</v>
      </c>
      <c r="F3">
        <f ca="1">OFFSET(Baza!$DZ1,0,F$2)</f>
        <v>50</v>
      </c>
      <c r="G3">
        <f ca="1">OFFSET(Baza!$DZ1,0,G$2)</f>
        <v>50</v>
      </c>
      <c r="H3">
        <f ca="1">OFFSET(Baza!$DZ1,0,H$2)</f>
        <v>50</v>
      </c>
      <c r="I3">
        <f ca="1">OFFSET(Baza!$DZ1,0,I$2)</f>
        <v>50</v>
      </c>
      <c r="J3">
        <f ca="1">OFFSET(Baza!$DZ1,0,J$2)</f>
        <v>50</v>
      </c>
      <c r="K3">
        <f ca="1">OFFSET(Baza!$DZ1,0,K$2)</f>
        <v>50</v>
      </c>
      <c r="L3">
        <f ca="1">OFFSET(Baza!$DZ1,0,L$2)</f>
        <v>50</v>
      </c>
      <c r="M3">
        <f ca="1">OFFSET(Baza!$DZ1,0,M$2)</f>
        <v>50</v>
      </c>
      <c r="N3">
        <f ca="1">OFFSET(Baza!$DZ1,0,N$2)</f>
        <v>50</v>
      </c>
      <c r="O3">
        <f ca="1">OFFSET(Baza!$DZ1,0,O$2)</f>
        <v>50</v>
      </c>
      <c r="P3">
        <f ca="1">OFFSET(Baza!$DZ1,0,P$2)</f>
        <v>50</v>
      </c>
      <c r="Q3">
        <f ca="1">OFFSET(Baza!$DZ1,0,Q$2)</f>
        <v>50</v>
      </c>
      <c r="R3">
        <f ca="1">OFFSET(Baza!$DZ1,0,R$2)</f>
        <v>50</v>
      </c>
      <c r="S3">
        <f ca="1">OFFSET(Baza!$DZ1,0,S$2)</f>
        <v>50</v>
      </c>
      <c r="T3">
        <f ca="1">OFFSET(Baza!$DZ1,0,T$2)</f>
        <v>50</v>
      </c>
    </row>
    <row r="4" spans="1:23" x14ac:dyDescent="0.2">
      <c r="B4" t="str">
        <f>Baza!DZ2</f>
        <v>Rp[Średnia]</v>
      </c>
      <c r="C4" t="str">
        <f ca="1">OFFSET(Baza!$DZ2,0,C$2)</f>
        <v>Rv[Średnia]</v>
      </c>
      <c r="D4" t="str">
        <f ca="1">OFFSET(Baza!$DZ2,0,D$2)</f>
        <v>Rz[Średnia]</v>
      </c>
      <c r="E4" t="str">
        <f ca="1">OFFSET(Baza!$DZ2,0,E$2)</f>
        <v>Rc (Brak uśredniania (pojedyncza wartość))[Średnia]</v>
      </c>
      <c r="F4" t="str">
        <f ca="1">OFFSET(Baza!$DZ2,0,F$2)</f>
        <v>Rt[Średnia]</v>
      </c>
      <c r="G4" t="str">
        <f ca="1">OFFSET(Baza!$DZ2,0,G$2)</f>
        <v>Ra[Średnia]</v>
      </c>
      <c r="H4" t="str">
        <f ca="1">OFFSET(Baza!$DZ2,0,H$2)</f>
        <v>Rq[Średnia]</v>
      </c>
      <c r="I4" t="str">
        <f ca="1">OFFSET(Baza!$DZ2,0,I$2)</f>
        <v>Rsk[Średnia]</v>
      </c>
      <c r="J4" t="str">
        <f ca="1">OFFSET(Baza!$DZ2,0,J$2)</f>
        <v>Rku[Średnia]</v>
      </c>
      <c r="K4" t="str">
        <f ca="1">OFFSET(Baza!$DZ2,0,K$2)</f>
        <v>Rp1max[Średnia]</v>
      </c>
      <c r="L4" t="str">
        <f ca="1">OFFSET(Baza!$DZ2,0,L$2)</f>
        <v>Rv1max[Średnia]</v>
      </c>
      <c r="M4" t="str">
        <f ca="1">OFFSET(Baza!$DZ2,0,M$2)</f>
        <v>Rz1max[Średnia]</v>
      </c>
      <c r="N4" t="str">
        <f ca="1">OFFSET(Baza!$DZ2,0,N$2)</f>
        <v>Rz(n) (Wskaźnik λc = 1)[Średnia]</v>
      </c>
      <c r="O4" t="str">
        <f ca="1">OFFSET(Baza!$DZ2,0,O$2)</f>
        <v>RSm (Brak uśredniania (pojedyncza wartość))[Średnia]</v>
      </c>
      <c r="P4" t="str">
        <f ca="1">OFFSET(Baza!$DZ2,0,P$2)</f>
        <v>Rdq[Średnia]</v>
      </c>
      <c r="Q4" t="str">
        <f ca="1">OFFSET(Baza!$DZ2,0,Q$2)</f>
        <v>Rmr (c = 1 µm poniżej najwyższego wypiętrzenia)[Średnia]</v>
      </c>
      <c r="R4" t="str">
        <f ca="1">OFFSET(Baza!$DZ2,0,R$2)</f>
        <v>Rdc (p = 20%, q = 80%)[Średnia]</v>
      </c>
      <c r="S4" t="str">
        <f ca="1">OFFSET(Baza!$DZ2,0,S$2)</f>
        <v>Rmr (Rz/4) (c = Rz/4 µm powyżej płaszczyzny średniej)[Średnia]</v>
      </c>
      <c r="T4" t="str">
        <f ca="1">OFFSET(Baza!$DZ2,0,T$2)</f>
        <v>RPc (Brak uśredniania (pojedyncza wartość))[Średnia]</v>
      </c>
    </row>
    <row r="5" spans="1:23" x14ac:dyDescent="0.2">
      <c r="B5" t="str">
        <f>Baza!DZ3</f>
        <v>µm</v>
      </c>
      <c r="C5" t="str">
        <f ca="1">OFFSET(Baza!$DZ3,0,C$2)</f>
        <v>µm</v>
      </c>
      <c r="D5" t="str">
        <f ca="1">OFFSET(Baza!$DZ3,0,D$2)</f>
        <v>µm</v>
      </c>
      <c r="E5" t="str">
        <f ca="1">OFFSET(Baza!$DZ3,0,E$2)</f>
        <v>µm</v>
      </c>
      <c r="F5" t="str">
        <f ca="1">OFFSET(Baza!$DZ3,0,F$2)</f>
        <v>µm</v>
      </c>
      <c r="G5" t="str">
        <f ca="1">OFFSET(Baza!$DZ3,0,G$2)</f>
        <v>µm</v>
      </c>
      <c r="H5" t="str">
        <f ca="1">OFFSET(Baza!$DZ3,0,H$2)</f>
        <v>µm</v>
      </c>
      <c r="I5" t="str">
        <f ca="1">OFFSET(Baza!$DZ3,0,I$2)</f>
        <v>&lt;no unit&gt;</v>
      </c>
      <c r="J5" t="str">
        <f ca="1">OFFSET(Baza!$DZ3,0,J$2)</f>
        <v>&lt;no unit&gt;</v>
      </c>
      <c r="K5" t="str">
        <f ca="1">OFFSET(Baza!$DZ3,0,K$2)</f>
        <v>µm</v>
      </c>
      <c r="L5" t="str">
        <f ca="1">OFFSET(Baza!$DZ3,0,L$2)</f>
        <v>µm</v>
      </c>
      <c r="M5" t="str">
        <f ca="1">OFFSET(Baza!$DZ3,0,M$2)</f>
        <v>µm</v>
      </c>
      <c r="N5" t="str">
        <f ca="1">OFFSET(Baza!$DZ3,0,N$2)</f>
        <v>µm</v>
      </c>
      <c r="O5" t="str">
        <f ca="1">OFFSET(Baza!$DZ3,0,O$2)</f>
        <v>mm</v>
      </c>
      <c r="P5" t="str">
        <f ca="1">OFFSET(Baza!$DZ3,0,P$2)</f>
        <v>°</v>
      </c>
      <c r="Q5" t="str">
        <f ca="1">OFFSET(Baza!$DZ3,0,Q$2)</f>
        <v>%</v>
      </c>
      <c r="R5" t="str">
        <f ca="1">OFFSET(Baza!$DZ3,0,R$2)</f>
        <v>µm</v>
      </c>
      <c r="S5" t="str">
        <f ca="1">OFFSET(Baza!$DZ3,0,S$2)</f>
        <v>%</v>
      </c>
      <c r="T5" t="str">
        <f ca="1">OFFSET(Baza!$DZ3,0,T$2)</f>
        <v>1/cm</v>
      </c>
    </row>
    <row r="6" spans="1:23" x14ac:dyDescent="0.2">
      <c r="A6" s="1" t="s">
        <v>245</v>
      </c>
      <c r="B6">
        <f>Baza!DZ4</f>
        <v>0.51979895870000004</v>
      </c>
      <c r="C6">
        <f ca="1">OFFSET(Baza!$DZ4,0,C$2)</f>
        <v>0.58068751259999996</v>
      </c>
      <c r="D6">
        <f ca="1">OFFSET(Baza!$DZ4,0,D$2)</f>
        <v>1.100486471</v>
      </c>
      <c r="E6">
        <f ca="1">OFFSET(Baza!$DZ4,0,E$2)</f>
        <v>0.4303688691</v>
      </c>
      <c r="F6">
        <f ca="1">OFFSET(Baza!$DZ4,0,F$2)</f>
        <v>1.4929780770000001</v>
      </c>
      <c r="G6">
        <f ca="1">OFFSET(Baza!$DZ4,0,G$2)</f>
        <v>0.1314746758</v>
      </c>
      <c r="H6">
        <f ca="1">OFFSET(Baza!$DZ4,0,H$2)</f>
        <v>0.1692839354</v>
      </c>
      <c r="I6">
        <f ca="1">OFFSET(Baza!$DZ4,0,I$2)</f>
        <v>-0.2174626318</v>
      </c>
      <c r="J6">
        <f ca="1">OFFSET(Baza!$DZ4,0,J$2)</f>
        <v>3.7851335370000001</v>
      </c>
      <c r="K6">
        <f ca="1">OFFSET(Baza!$DZ4,0,K$2)</f>
        <v>0.72720008169999995</v>
      </c>
      <c r="L6">
        <f ca="1">OFFSET(Baza!$DZ4,0,L$2)</f>
        <v>0.76577799489999998</v>
      </c>
      <c r="M6">
        <f ca="1">OFFSET(Baza!$DZ4,0,M$2)</f>
        <v>1.3831970200000001</v>
      </c>
      <c r="N6">
        <f ca="1">OFFSET(Baza!$DZ4,0,N$2)</f>
        <v>1.144577935</v>
      </c>
      <c r="O6">
        <f ca="1">OFFSET(Baza!$DZ4,0,O$2)</f>
        <v>3.6448544729999997E-2</v>
      </c>
      <c r="P6">
        <f ca="1">OFFSET(Baza!$DZ4,0,P$2)</f>
        <v>2.6081315730000001</v>
      </c>
      <c r="Q6">
        <f ca="1">OFFSET(Baza!$DZ4,0,Q$2)</f>
        <v>88.207352189999995</v>
      </c>
      <c r="R6">
        <f ca="1">OFFSET(Baza!$DZ4,0,R$2)</f>
        <v>0.26617975059999999</v>
      </c>
      <c r="S6">
        <f ca="1">OFFSET(Baza!$DZ4,0,S$2)</f>
        <v>4.411037222</v>
      </c>
      <c r="T6">
        <f ca="1">OFFSET(Baza!$DZ4,0,T$2)</f>
        <v>308.65236870000001</v>
      </c>
      <c r="U6" s="6">
        <f ca="1">B6/C6</f>
        <v>0.89514402741781995</v>
      </c>
    </row>
    <row r="7" spans="1:23" x14ac:dyDescent="0.2">
      <c r="A7" s="1" t="s">
        <v>246</v>
      </c>
      <c r="B7">
        <f>Baza!DZ5</f>
        <v>0.57194560480000001</v>
      </c>
      <c r="C7">
        <f ca="1">OFFSET(Baza!$DZ5,0,C$2)</f>
        <v>0.70856967339999999</v>
      </c>
      <c r="D7">
        <f ca="1">OFFSET(Baza!$DZ5,0,D$2)</f>
        <v>1.280515278</v>
      </c>
      <c r="E7">
        <f ca="1">OFFSET(Baza!$DZ5,0,E$2)</f>
        <v>0.49960186439999998</v>
      </c>
      <c r="F7">
        <f ca="1">OFFSET(Baza!$DZ5,0,F$2)</f>
        <v>1.7178142999999999</v>
      </c>
      <c r="G7">
        <f ca="1">OFFSET(Baza!$DZ5,0,G$2)</f>
        <v>0.1509083393</v>
      </c>
      <c r="H7">
        <f ca="1">OFFSET(Baza!$DZ5,0,H$2)</f>
        <v>0.19570793559999999</v>
      </c>
      <c r="I7">
        <f ca="1">OFFSET(Baza!$DZ5,0,I$2)</f>
        <v>-0.29062689310000001</v>
      </c>
      <c r="J7">
        <f ca="1">OFFSET(Baza!$DZ5,0,J$2)</f>
        <v>3.9636683850000001</v>
      </c>
      <c r="K7">
        <f ca="1">OFFSET(Baza!$DZ5,0,K$2)</f>
        <v>0.77327148670000001</v>
      </c>
      <c r="L7">
        <f ca="1">OFFSET(Baza!$DZ5,0,L$2)</f>
        <v>0.94454281330000001</v>
      </c>
      <c r="M7">
        <f ca="1">OFFSET(Baza!$DZ5,0,M$2)</f>
        <v>1.624493905</v>
      </c>
      <c r="N7">
        <f ca="1">OFFSET(Baza!$DZ5,0,N$2)</f>
        <v>1.399275705</v>
      </c>
      <c r="O7">
        <f ca="1">OFFSET(Baza!$DZ5,0,O$2)</f>
        <v>3.4775031739999997E-2</v>
      </c>
      <c r="P7">
        <f ca="1">OFFSET(Baza!$DZ5,0,P$2)</f>
        <v>2.7856760330000001</v>
      </c>
      <c r="Q7">
        <f ca="1">OFFSET(Baza!$DZ5,0,Q$2)</f>
        <v>82.671704120000001</v>
      </c>
      <c r="R7">
        <f ca="1">OFFSET(Baza!$DZ5,0,R$2)</f>
        <v>0.30198104479999999</v>
      </c>
      <c r="S7">
        <f ca="1">OFFSET(Baza!$DZ5,0,S$2)</f>
        <v>4.4445203979999999</v>
      </c>
      <c r="T7">
        <f ca="1">OFFSET(Baza!$DZ5,0,T$2)</f>
        <v>288.90110559999999</v>
      </c>
      <c r="U7" s="6">
        <f t="shared" ref="U7:U18" ca="1" si="2">B7/C7</f>
        <v>0.80718329653536658</v>
      </c>
    </row>
    <row r="8" spans="1:23" x14ac:dyDescent="0.2">
      <c r="A8" s="1" t="s">
        <v>247</v>
      </c>
      <c r="B8">
        <f>Baza!DZ6</f>
        <v>0.70630356429999996</v>
      </c>
      <c r="C8">
        <f ca="1">OFFSET(Baza!$DZ6,0,C$2)</f>
        <v>0.89571865449999999</v>
      </c>
      <c r="D8">
        <f ca="1">OFFSET(Baza!$DZ6,0,D$2)</f>
        <v>1.602022219</v>
      </c>
      <c r="E8">
        <f ca="1">OFFSET(Baza!$DZ6,0,E$2)</f>
        <v>0.6140241018</v>
      </c>
      <c r="F8">
        <f ca="1">OFFSET(Baza!$DZ6,0,F$2)</f>
        <v>2.1461411579999998</v>
      </c>
      <c r="G8">
        <f ca="1">OFFSET(Baza!$DZ6,0,G$2)</f>
        <v>0.18312845050000001</v>
      </c>
      <c r="H8">
        <f ca="1">OFFSET(Baza!$DZ6,0,H$2)</f>
        <v>0.2397491943</v>
      </c>
      <c r="I8">
        <f ca="1">OFFSET(Baza!$DZ6,0,I$2)</f>
        <v>-0.2865088657</v>
      </c>
      <c r="J8">
        <f ca="1">OFFSET(Baza!$DZ6,0,J$2)</f>
        <v>4.1869623640000002</v>
      </c>
      <c r="K8">
        <f ca="1">OFFSET(Baza!$DZ6,0,K$2)</f>
        <v>0.94377349880000005</v>
      </c>
      <c r="L8">
        <f ca="1">OFFSET(Baza!$DZ6,0,L$2)</f>
        <v>1.2023676590000001</v>
      </c>
      <c r="M8">
        <f ca="1">OFFSET(Baza!$DZ6,0,M$2)</f>
        <v>2.041615432</v>
      </c>
      <c r="N8">
        <f ca="1">OFFSET(Baza!$DZ6,0,N$2)</f>
        <v>1.759335632</v>
      </c>
      <c r="O8">
        <f ca="1">OFFSET(Baza!$DZ6,0,O$2)</f>
        <v>3.292686442E-2</v>
      </c>
      <c r="P8">
        <f ca="1">OFFSET(Baza!$DZ6,0,P$2)</f>
        <v>3.5673442259999999</v>
      </c>
      <c r="Q8">
        <f ca="1">OFFSET(Baza!$DZ6,0,Q$2)</f>
        <v>58.813528470000001</v>
      </c>
      <c r="R8">
        <f ca="1">OFFSET(Baza!$DZ6,0,R$2)</f>
        <v>0.36038752699999999</v>
      </c>
      <c r="S8">
        <f ca="1">OFFSET(Baza!$DZ6,0,S$2)</f>
        <v>4.3617597850000003</v>
      </c>
      <c r="T8">
        <f ca="1">OFFSET(Baza!$DZ6,0,T$2)</f>
        <v>305.25354040000002</v>
      </c>
      <c r="U8" s="6">
        <f t="shared" ca="1" si="2"/>
        <v>0.78853282864167473</v>
      </c>
    </row>
    <row r="9" spans="1:23" x14ac:dyDescent="0.2">
      <c r="A9" s="1" t="s">
        <v>248</v>
      </c>
      <c r="B9">
        <f>Baza!DZ7</f>
        <v>0.73088149400000002</v>
      </c>
      <c r="C9">
        <f ca="1">OFFSET(Baza!$DZ7,0,C$2)</f>
        <v>0.75145316660000006</v>
      </c>
      <c r="D9">
        <f ca="1">OFFSET(Baza!$DZ7,0,D$2)</f>
        <v>1.4823346610000001</v>
      </c>
      <c r="E9">
        <f ca="1">OFFSET(Baza!$DZ7,0,E$2)</f>
        <v>0.53404809549999999</v>
      </c>
      <c r="F9">
        <f ca="1">OFFSET(Baza!$DZ7,0,F$2)</f>
        <v>1.975994848</v>
      </c>
      <c r="G9">
        <f ca="1">OFFSET(Baza!$DZ7,0,G$2)</f>
        <v>0.15821241089999999</v>
      </c>
      <c r="H9">
        <f ca="1">OFFSET(Baza!$DZ7,0,H$2)</f>
        <v>0.2069863176</v>
      </c>
      <c r="I9">
        <f ca="1">OFFSET(Baza!$DZ7,0,I$2)</f>
        <v>-0.18710014650000001</v>
      </c>
      <c r="J9">
        <f ca="1">OFFSET(Baza!$DZ7,0,J$2)</f>
        <v>4.2873804529999999</v>
      </c>
      <c r="K9">
        <f ca="1">OFFSET(Baza!$DZ7,0,K$2)</f>
        <v>1.014142584</v>
      </c>
      <c r="L9">
        <f ca="1">OFFSET(Baza!$DZ7,0,L$2)</f>
        <v>0.96185226450000005</v>
      </c>
      <c r="M9">
        <f ca="1">OFFSET(Baza!$DZ7,0,M$2)</f>
        <v>1.8592090670000001</v>
      </c>
      <c r="N9">
        <f ca="1">OFFSET(Baza!$DZ7,0,N$2)</f>
        <v>1.537009691</v>
      </c>
      <c r="O9">
        <f ca="1">OFFSET(Baza!$DZ7,0,O$2)</f>
        <v>2.9152282200000001E-2</v>
      </c>
      <c r="P9">
        <f ca="1">OFFSET(Baza!$DZ7,0,P$2)</f>
        <v>4.0842118369999998</v>
      </c>
      <c r="Q9">
        <f ca="1">OFFSET(Baza!$DZ7,0,Q$2)</f>
        <v>48.401389719999997</v>
      </c>
      <c r="R9">
        <f ca="1">OFFSET(Baza!$DZ7,0,R$2)</f>
        <v>0.31533840010000003</v>
      </c>
      <c r="S9">
        <f ca="1">OFFSET(Baza!$DZ7,0,S$2)</f>
        <v>3.1090723910000002</v>
      </c>
      <c r="T9">
        <f ca="1">OFFSET(Baza!$DZ7,0,T$2)</f>
        <v>384.81741590000001</v>
      </c>
      <c r="U9" s="6">
        <f t="shared" ca="1" si="2"/>
        <v>0.97262414543666387</v>
      </c>
    </row>
    <row r="10" spans="1:23" x14ac:dyDescent="0.2">
      <c r="A10" s="1" t="s">
        <v>249</v>
      </c>
      <c r="B10">
        <f>Baza!DZ8</f>
        <v>0.71641440379999999</v>
      </c>
      <c r="C10">
        <f ca="1">OFFSET(Baza!$DZ8,0,C$2)</f>
        <v>0.90833879539999995</v>
      </c>
      <c r="D10">
        <f ca="1">OFFSET(Baza!$DZ8,0,D$2)</f>
        <v>1.6247531989999999</v>
      </c>
      <c r="E10">
        <f ca="1">OFFSET(Baza!$DZ8,0,E$2)</f>
        <v>0.59533434780000005</v>
      </c>
      <c r="F10">
        <f ca="1">OFFSET(Baza!$DZ8,0,F$2)</f>
        <v>2.175102737</v>
      </c>
      <c r="G10">
        <f ca="1">OFFSET(Baza!$DZ8,0,G$2)</f>
        <v>0.17336665009999999</v>
      </c>
      <c r="H10">
        <f ca="1">OFFSET(Baza!$DZ8,0,H$2)</f>
        <v>0.22852979870000001</v>
      </c>
      <c r="I10">
        <f ca="1">OFFSET(Baza!$DZ8,0,I$2)</f>
        <v>-0.40631973189999998</v>
      </c>
      <c r="J10">
        <f ca="1">OFFSET(Baza!$DZ8,0,J$2)</f>
        <v>4.496094008</v>
      </c>
      <c r="K10">
        <f ca="1">OFFSET(Baza!$DZ8,0,K$2)</f>
        <v>0.97068019110000003</v>
      </c>
      <c r="L10">
        <f ca="1">OFFSET(Baza!$DZ8,0,L$2)</f>
        <v>1.204422546</v>
      </c>
      <c r="M10">
        <f ca="1">OFFSET(Baza!$DZ8,0,M$2)</f>
        <v>2.0444658950000001</v>
      </c>
      <c r="N10">
        <f ca="1">OFFSET(Baza!$DZ8,0,N$2)</f>
        <v>1.751521084</v>
      </c>
      <c r="O10">
        <f ca="1">OFFSET(Baza!$DZ8,0,O$2)</f>
        <v>2.885506493E-2</v>
      </c>
      <c r="P10">
        <f ca="1">OFFSET(Baza!$DZ8,0,P$2)</f>
        <v>4.1128051890000004</v>
      </c>
      <c r="Q10">
        <f ca="1">OFFSET(Baza!$DZ8,0,Q$2)</f>
        <v>55.845475440000001</v>
      </c>
      <c r="R10">
        <f ca="1">OFFSET(Baza!$DZ8,0,R$2)</f>
        <v>0.34061189419999999</v>
      </c>
      <c r="S10">
        <f ca="1">OFFSET(Baza!$DZ8,0,S$2)</f>
        <v>3.088855857</v>
      </c>
      <c r="T10">
        <f ca="1">OFFSET(Baza!$DZ8,0,T$2)</f>
        <v>348.38019750000001</v>
      </c>
      <c r="U10" s="6">
        <f t="shared" ca="1" si="2"/>
        <v>0.78870836237322295</v>
      </c>
    </row>
    <row r="11" spans="1:23" x14ac:dyDescent="0.2">
      <c r="A11" s="1" t="s">
        <v>250</v>
      </c>
      <c r="B11">
        <f>Baza!DZ9</f>
        <v>0.84696011579999997</v>
      </c>
      <c r="C11">
        <f ca="1">OFFSET(Baza!$DZ9,0,C$2)</f>
        <v>1.1949619039999999</v>
      </c>
      <c r="D11">
        <f ca="1">OFFSET(Baza!$DZ9,0,D$2)</f>
        <v>2.0419220199999999</v>
      </c>
      <c r="E11">
        <f ca="1">OFFSET(Baza!$DZ9,0,E$2)</f>
        <v>0.74129638840000001</v>
      </c>
      <c r="F11">
        <f ca="1">OFFSET(Baza!$DZ9,0,F$2)</f>
        <v>2.7342098469999998</v>
      </c>
      <c r="G11">
        <f ca="1">OFFSET(Baza!$DZ9,0,G$2)</f>
        <v>0.21281834059999999</v>
      </c>
      <c r="H11">
        <f ca="1">OFFSET(Baza!$DZ9,0,H$2)</f>
        <v>0.28385749580000003</v>
      </c>
      <c r="I11">
        <f ca="1">OFFSET(Baza!$DZ9,0,I$2)</f>
        <v>-0.51748796620000004</v>
      </c>
      <c r="J11">
        <f ca="1">OFFSET(Baza!$DZ9,0,J$2)</f>
        <v>4.8614609230000001</v>
      </c>
      <c r="K11">
        <f ca="1">OFFSET(Baza!$DZ9,0,K$2)</f>
        <v>1.1323823989999999</v>
      </c>
      <c r="L11">
        <f ca="1">OFFSET(Baza!$DZ9,0,L$2)</f>
        <v>1.6018274480000001</v>
      </c>
      <c r="M11">
        <f ca="1">OFFSET(Baza!$DZ9,0,M$2)</f>
        <v>2.587984611</v>
      </c>
      <c r="N11">
        <f ca="1">OFFSET(Baza!$DZ9,0,N$2)</f>
        <v>2.233244563</v>
      </c>
      <c r="O11">
        <f ca="1">OFFSET(Baza!$DZ9,0,O$2)</f>
        <v>2.783786332E-2</v>
      </c>
      <c r="P11">
        <f ca="1">OFFSET(Baza!$DZ9,0,P$2)</f>
        <v>5.2232126509999999</v>
      </c>
      <c r="Q11">
        <f ca="1">OFFSET(Baza!$DZ9,0,Q$2)</f>
        <v>35.330689290000002</v>
      </c>
      <c r="R11">
        <f ca="1">OFFSET(Baza!$DZ9,0,R$2)</f>
        <v>0.41070381550000001</v>
      </c>
      <c r="S11">
        <f ca="1">OFFSET(Baza!$DZ9,0,S$2)</f>
        <v>2.9945274839999998</v>
      </c>
      <c r="T11">
        <f ca="1">OFFSET(Baza!$DZ9,0,T$2)</f>
        <v>361.20677649999999</v>
      </c>
      <c r="U11" s="6">
        <f t="shared" ca="1" si="2"/>
        <v>0.70877583039668191</v>
      </c>
    </row>
    <row r="12" spans="1:23" x14ac:dyDescent="0.2">
      <c r="A12" s="1" t="s">
        <v>251</v>
      </c>
      <c r="B12">
        <f>Baza!DZ10</f>
        <v>0.57842240069999995</v>
      </c>
      <c r="C12">
        <f ca="1">OFFSET(Baza!$DZ10,0,C$2)</f>
        <v>0.95222548659999995</v>
      </c>
      <c r="D12">
        <f ca="1">OFFSET(Baza!$DZ10,0,D$2)</f>
        <v>1.530647887</v>
      </c>
      <c r="E12">
        <f ca="1">OFFSET(Baza!$DZ10,0,E$2)</f>
        <v>0.67223260520000006</v>
      </c>
      <c r="F12">
        <f ca="1">OFFSET(Baza!$DZ10,0,F$2)</f>
        <v>2.1240285669999999</v>
      </c>
      <c r="G12">
        <f ca="1">OFFSET(Baza!$DZ10,0,G$2)</f>
        <v>0.2179855879</v>
      </c>
      <c r="H12">
        <f ca="1">OFFSET(Baza!$DZ10,0,H$2)</f>
        <v>0.27799824989999999</v>
      </c>
      <c r="I12">
        <f ca="1">OFFSET(Baza!$DZ10,0,I$2)</f>
        <v>-0.68416519710000001</v>
      </c>
      <c r="J12">
        <f ca="1">OFFSET(Baza!$DZ10,0,J$2)</f>
        <v>3.7857786569999998</v>
      </c>
      <c r="K12">
        <f ca="1">OFFSET(Baza!$DZ10,0,K$2)</f>
        <v>0.79078670480000002</v>
      </c>
      <c r="L12">
        <f ca="1">OFFSET(Baza!$DZ10,0,L$2)</f>
        <v>1.3332418619999999</v>
      </c>
      <c r="M12">
        <f ca="1">OFFSET(Baza!$DZ10,0,M$2)</f>
        <v>2.004213257</v>
      </c>
      <c r="N12">
        <f ca="1">OFFSET(Baza!$DZ10,0,N$2)</f>
        <v>1.8032060700000001</v>
      </c>
      <c r="O12">
        <f ca="1">OFFSET(Baza!$DZ10,0,O$2)</f>
        <v>6.3537340669999998E-2</v>
      </c>
      <c r="P12">
        <f ca="1">OFFSET(Baza!$DZ10,0,P$2)</f>
        <v>2.1197222899999999</v>
      </c>
      <c r="Q12">
        <f ca="1">OFFSET(Baza!$DZ10,0,Q$2)</f>
        <v>75.453385659999995</v>
      </c>
      <c r="R12">
        <f ca="1">OFFSET(Baza!$DZ10,0,R$2)</f>
        <v>0.44382855700000001</v>
      </c>
      <c r="S12">
        <f ca="1">OFFSET(Baza!$DZ10,0,S$2)</f>
        <v>5.4600561580000004</v>
      </c>
      <c r="T12">
        <f ca="1">OFFSET(Baza!$DZ10,0,T$2)</f>
        <v>164.87391009999999</v>
      </c>
      <c r="U12" s="6">
        <f t="shared" ca="1" si="2"/>
        <v>0.60744267911301675</v>
      </c>
    </row>
    <row r="13" spans="1:23" x14ac:dyDescent="0.2">
      <c r="A13" s="1" t="s">
        <v>252</v>
      </c>
      <c r="B13">
        <f>Baza!DZ11</f>
        <v>0.41628375919999999</v>
      </c>
      <c r="C13">
        <f ca="1">OFFSET(Baza!$DZ11,0,C$2)</f>
        <v>0.4250765453</v>
      </c>
      <c r="D13">
        <f ca="1">OFFSET(Baza!$DZ11,0,D$2)</f>
        <v>0.84136030449999999</v>
      </c>
      <c r="E13">
        <f ca="1">OFFSET(Baza!$DZ11,0,E$2)</f>
        <v>0.36951518259999999</v>
      </c>
      <c r="F13">
        <f ca="1">OFFSET(Baza!$DZ11,0,F$2)</f>
        <v>1.1542518740000001</v>
      </c>
      <c r="G13">
        <f ca="1">OFFSET(Baza!$DZ11,0,G$2)</f>
        <v>0.1164159379</v>
      </c>
      <c r="H13">
        <f ca="1">OFFSET(Baza!$DZ11,0,H$2)</f>
        <v>0.14801842649999999</v>
      </c>
      <c r="I13">
        <f ca="1">OFFSET(Baza!$DZ11,0,I$2)</f>
        <v>-2.198186907E-2</v>
      </c>
      <c r="J13">
        <f ca="1">OFFSET(Baza!$DZ11,0,J$2)</f>
        <v>3.432825845</v>
      </c>
      <c r="K13">
        <f ca="1">OFFSET(Baza!$DZ11,0,K$2)</f>
        <v>0.57864052460000004</v>
      </c>
      <c r="L13">
        <f ca="1">OFFSET(Baza!$DZ11,0,L$2)</f>
        <v>0.5756113491</v>
      </c>
      <c r="M13">
        <f ca="1">OFFSET(Baza!$DZ11,0,M$2)</f>
        <v>1.0740820259999999</v>
      </c>
      <c r="N13">
        <f ca="1">OFFSET(Baza!$DZ11,0,N$2)</f>
        <v>0.94523839470000004</v>
      </c>
      <c r="O13">
        <f ca="1">OFFSET(Baza!$DZ11,0,O$2)</f>
        <v>5.9203398970000001E-2</v>
      </c>
      <c r="P13">
        <f ca="1">OFFSET(Baza!$DZ11,0,P$2)</f>
        <v>1.160841762</v>
      </c>
      <c r="Q13">
        <f ca="1">OFFSET(Baza!$DZ11,0,Q$2)</f>
        <v>95.572478770000004</v>
      </c>
      <c r="R13">
        <f ca="1">OFFSET(Baza!$DZ11,0,R$2)</f>
        <v>0.2386081172</v>
      </c>
      <c r="S13">
        <f ca="1">OFFSET(Baza!$DZ11,0,S$2)</f>
        <v>7.3154281330000002</v>
      </c>
      <c r="T13">
        <f ca="1">OFFSET(Baza!$DZ11,0,T$2)</f>
        <v>170.01916009999999</v>
      </c>
      <c r="U13" s="6">
        <f t="shared" ca="1" si="2"/>
        <v>0.97931481706713686</v>
      </c>
    </row>
    <row r="14" spans="1:23" x14ac:dyDescent="0.2">
      <c r="A14" s="1" t="s">
        <v>253</v>
      </c>
      <c r="B14">
        <f>Baza!DZ12</f>
        <v>0.55379954529999997</v>
      </c>
      <c r="C14">
        <f ca="1">OFFSET(Baza!$DZ12,0,C$2)</f>
        <v>0.46506284260000003</v>
      </c>
      <c r="D14">
        <f ca="1">OFFSET(Baza!$DZ12,0,D$2)</f>
        <v>1.0188623880000001</v>
      </c>
      <c r="E14">
        <f ca="1">OFFSET(Baza!$DZ12,0,E$2)</f>
        <v>0.45864864859999999</v>
      </c>
      <c r="F14">
        <f ca="1">OFFSET(Baza!$DZ12,0,F$2)</f>
        <v>1.384971653</v>
      </c>
      <c r="G14">
        <f ca="1">OFFSET(Baza!$DZ12,0,G$2)</f>
        <v>0.14435310139999999</v>
      </c>
      <c r="H14">
        <f ca="1">OFFSET(Baza!$DZ12,0,H$2)</f>
        <v>0.18329840319999999</v>
      </c>
      <c r="I14">
        <f ca="1">OFFSET(Baza!$DZ12,0,I$2)</f>
        <v>0.23121914709999999</v>
      </c>
      <c r="J14">
        <f ca="1">OFFSET(Baza!$DZ12,0,J$2)</f>
        <v>3.4008317450000001</v>
      </c>
      <c r="K14">
        <f ca="1">OFFSET(Baza!$DZ12,0,K$2)</f>
        <v>0.7670271085</v>
      </c>
      <c r="L14">
        <f ca="1">OFFSET(Baza!$DZ12,0,L$2)</f>
        <v>0.61794454409999999</v>
      </c>
      <c r="M14">
        <f ca="1">OFFSET(Baza!$DZ12,0,M$2)</f>
        <v>1.307080574</v>
      </c>
      <c r="N14">
        <f ca="1">OFFSET(Baza!$DZ12,0,N$2)</f>
        <v>1.135722747</v>
      </c>
      <c r="O14">
        <f ca="1">OFFSET(Baza!$DZ12,0,O$2)</f>
        <v>6.0993576340000001E-2</v>
      </c>
      <c r="P14">
        <f ca="1">OFFSET(Baza!$DZ12,0,P$2)</f>
        <v>1.382803319</v>
      </c>
      <c r="Q14">
        <f ca="1">OFFSET(Baza!$DZ12,0,Q$2)</f>
        <v>82.782045499999995</v>
      </c>
      <c r="R14">
        <f ca="1">OFFSET(Baza!$DZ12,0,R$2)</f>
        <v>0.2947657461</v>
      </c>
      <c r="S14">
        <f ca="1">OFFSET(Baza!$DZ12,0,S$2)</f>
        <v>8.3473446619999994</v>
      </c>
      <c r="T14">
        <f ca="1">OFFSET(Baza!$DZ12,0,T$2)</f>
        <v>164.9449888</v>
      </c>
      <c r="U14" s="6">
        <f t="shared" ca="1" si="2"/>
        <v>1.1908058321836781</v>
      </c>
    </row>
    <row r="15" spans="1:23" s="5" customFormat="1" x14ac:dyDescent="0.2">
      <c r="A15" s="7" t="s">
        <v>257</v>
      </c>
      <c r="B15" s="5">
        <f>Baza!DZ14</f>
        <v>1.4674012890000001</v>
      </c>
      <c r="C15" s="5">
        <f ca="1">OFFSET(Baza!$DZ14,0,C$2)</f>
        <v>1.3104813129999999</v>
      </c>
      <c r="D15" s="5">
        <f ca="1">OFFSET(Baza!$DZ14,0,D$2)</f>
        <v>2.777882602</v>
      </c>
      <c r="E15" s="5">
        <f ca="1">OFFSET(Baza!$DZ14,0,E$2)</f>
        <v>1.3509689439999999</v>
      </c>
      <c r="F15" s="5">
        <f ca="1">OFFSET(Baza!$DZ14,0,F$2)</f>
        <v>3.4037358950000001</v>
      </c>
      <c r="G15" s="5">
        <f ca="1">OFFSET(Baza!$DZ14,0,G$2)</f>
        <v>0.40253560040000003</v>
      </c>
      <c r="H15" s="5">
        <f ca="1">OFFSET(Baza!$DZ14,0,H$2)</f>
        <v>0.50232250410000001</v>
      </c>
      <c r="I15" s="5">
        <f ca="1">OFFSET(Baza!$DZ14,0,I$2)</f>
        <v>0.1088656256</v>
      </c>
      <c r="J15" s="5">
        <f ca="1">OFFSET(Baza!$DZ14,0,J$2)</f>
        <v>3.055201947</v>
      </c>
      <c r="K15" s="5">
        <f ca="1">OFFSET(Baza!$DZ14,0,K$2)</f>
        <v>1.8298111459999999</v>
      </c>
      <c r="L15" s="5">
        <f ca="1">OFFSET(Baza!$DZ14,0,L$2)</f>
        <v>1.5739247489999999</v>
      </c>
      <c r="M15" s="5">
        <f ca="1">OFFSET(Baza!$DZ14,0,M$2)</f>
        <v>3.2446923679999999</v>
      </c>
      <c r="N15" s="5">
        <f ca="1">OFFSET(Baza!$DZ14,0,N$2)</f>
        <v>2.770690895</v>
      </c>
      <c r="O15" s="5">
        <f ca="1">OFFSET(Baza!$DZ14,0,O$2)</f>
        <v>4.1817717140000002E-2</v>
      </c>
      <c r="P15" s="5">
        <f ca="1">OFFSET(Baza!$DZ14,0,P$2)</f>
        <v>9.0719442610000005</v>
      </c>
      <c r="Q15" s="5">
        <f ca="1">OFFSET(Baza!$DZ14,0,Q$2)</f>
        <v>6.6063899629999998</v>
      </c>
      <c r="R15" s="5">
        <f ca="1">OFFSET(Baza!$DZ14,0,R$2)</f>
        <v>0.8475691943</v>
      </c>
      <c r="S15" s="5">
        <f ca="1">OFFSET(Baza!$DZ14,0,S$2)</f>
        <v>8.5610350739999994</v>
      </c>
      <c r="T15" s="5">
        <f ca="1">OFFSET(Baza!$DZ14,0,T$2)</f>
        <v>241.24610920000001</v>
      </c>
      <c r="U15" s="8">
        <f t="shared" ca="1" si="2"/>
        <v>1.1197422461834068</v>
      </c>
    </row>
    <row r="16" spans="1:23" x14ac:dyDescent="0.2">
      <c r="A16" s="1" t="s">
        <v>255</v>
      </c>
      <c r="B16">
        <f>Baza!DZ15</f>
        <v>0.21002776170000001</v>
      </c>
      <c r="C16">
        <f ca="1">OFFSET(Baza!$DZ15,0,C$2)</f>
        <v>0.19818407369999999</v>
      </c>
      <c r="D16">
        <f ca="1">OFFSET(Baza!$DZ15,0,D$2)</f>
        <v>0.40821183529999999</v>
      </c>
      <c r="E16">
        <f ca="1">OFFSET(Baza!$DZ15,0,E$2)</f>
        <v>0.1829456606</v>
      </c>
      <c r="F16">
        <f ca="1">OFFSET(Baza!$DZ15,0,F$2)</f>
        <v>0.55668525260000001</v>
      </c>
      <c r="G16">
        <f ca="1">OFFSET(Baza!$DZ15,0,G$2)</f>
        <v>5.9598750630000003E-2</v>
      </c>
      <c r="H16">
        <f ca="1">OFFSET(Baza!$DZ15,0,H$2)</f>
        <v>7.4758895160000005E-2</v>
      </c>
      <c r="I16">
        <f ca="1">OFFSET(Baza!$DZ15,0,I$2)</f>
        <v>7.0218532759999994E-2</v>
      </c>
      <c r="J16">
        <f ca="1">OFFSET(Baza!$DZ15,0,J$2)</f>
        <v>3.1042212880000002</v>
      </c>
      <c r="K16">
        <f ca="1">OFFSET(Baza!$DZ15,0,K$2)</f>
        <v>0.28429212329999998</v>
      </c>
      <c r="L16">
        <f ca="1">OFFSET(Baza!$DZ15,0,L$2)</f>
        <v>0.2723349135</v>
      </c>
      <c r="M16">
        <f ca="1">OFFSET(Baza!$DZ15,0,M$2)</f>
        <v>0.52476262630000003</v>
      </c>
      <c r="N16">
        <f ca="1">OFFSET(Baza!$DZ15,0,N$2)</f>
        <v>0.46881784739999999</v>
      </c>
      <c r="O16">
        <f ca="1">OFFSET(Baza!$DZ15,0,O$2)</f>
        <v>6.6517962139999998E-2</v>
      </c>
      <c r="P16">
        <f ca="1">OFFSET(Baza!$DZ15,0,P$2)</f>
        <v>0.59695465110000001</v>
      </c>
      <c r="Q16">
        <f ca="1">OFFSET(Baza!$DZ15,0,Q$2)</f>
        <v>100</v>
      </c>
      <c r="R16">
        <f ca="1">OFFSET(Baza!$DZ15,0,R$2)</f>
        <v>0.1247022708</v>
      </c>
      <c r="S16">
        <f ca="1">OFFSET(Baza!$DZ15,0,S$2)</f>
        <v>8.7659591769999992</v>
      </c>
      <c r="T16">
        <f ca="1">OFFSET(Baza!$DZ15,0,T$2)</f>
        <v>151.7723038</v>
      </c>
      <c r="U16" s="6">
        <f t="shared" ca="1" si="2"/>
        <v>1.0597610482965869</v>
      </c>
    </row>
    <row r="17" spans="1:21" x14ac:dyDescent="0.2">
      <c r="A17" s="1" t="s">
        <v>256</v>
      </c>
      <c r="B17">
        <f>Baza!DZ16</f>
        <v>0.37451779559999998</v>
      </c>
      <c r="C17">
        <f ca="1">OFFSET(Baza!$DZ16,0,C$2)</f>
        <v>0.3630061202</v>
      </c>
      <c r="D17">
        <f ca="1">OFFSET(Baza!$DZ16,0,D$2)</f>
        <v>0.73752391579999999</v>
      </c>
      <c r="E17">
        <f ca="1">OFFSET(Baza!$DZ16,0,E$2)</f>
        <v>0.31704270950000002</v>
      </c>
      <c r="F17">
        <f ca="1">OFFSET(Baza!$DZ16,0,F$2)</f>
        <v>1.0497308999999999</v>
      </c>
      <c r="G17">
        <f ca="1">OFFSET(Baza!$DZ16,0,G$2)</f>
        <v>9.9190926629999995E-2</v>
      </c>
      <c r="H17">
        <f ca="1">OFFSET(Baza!$DZ16,0,H$2)</f>
        <v>0.1271804943</v>
      </c>
      <c r="I17">
        <f ca="1">OFFSET(Baza!$DZ16,0,I$2)</f>
        <v>6.3335077929999997E-2</v>
      </c>
      <c r="J17">
        <f ca="1">OFFSET(Baza!$DZ16,0,J$2)</f>
        <v>3.5125658080000002</v>
      </c>
      <c r="K17">
        <f ca="1">OFFSET(Baza!$DZ16,0,K$2)</f>
        <v>0.53860906180000001</v>
      </c>
      <c r="L17">
        <f ca="1">OFFSET(Baza!$DZ16,0,L$2)</f>
        <v>0.51108604879999997</v>
      </c>
      <c r="M17">
        <f ca="1">OFFSET(Baza!$DZ16,0,M$2)</f>
        <v>0.99584581579999998</v>
      </c>
      <c r="N17">
        <f ca="1">OFFSET(Baza!$DZ16,0,N$2)</f>
        <v>0.76439489469999999</v>
      </c>
      <c r="O17">
        <f ca="1">OFFSET(Baza!$DZ16,0,O$2)</f>
        <v>5.113793782E-2</v>
      </c>
      <c r="P17">
        <f ca="1">OFFSET(Baza!$DZ16,0,P$2)</f>
        <v>1.7559067500000001</v>
      </c>
      <c r="Q17">
        <f ca="1">OFFSET(Baza!$DZ16,0,Q$2)</f>
        <v>99.43624629</v>
      </c>
      <c r="R17">
        <f ca="1">OFFSET(Baza!$DZ16,0,R$2)</f>
        <v>0.1966535878</v>
      </c>
      <c r="S17">
        <f ca="1">OFFSET(Baza!$DZ16,0,S$2)</f>
        <v>7.4065115749999997</v>
      </c>
      <c r="T17">
        <f ca="1">OFFSET(Baza!$DZ16,0,T$2)</f>
        <v>197.47908939999999</v>
      </c>
      <c r="U17" s="6">
        <f t="shared" ca="1" si="2"/>
        <v>1.0317120697404705</v>
      </c>
    </row>
    <row r="18" spans="1:21" x14ac:dyDescent="0.2">
      <c r="A18" s="1" t="s">
        <v>258</v>
      </c>
      <c r="B18">
        <f>Baza!DZ17</f>
        <v>0.1992708343</v>
      </c>
      <c r="C18">
        <f ca="1">OFFSET(Baza!$DZ17,0,C$2)</f>
        <v>0.19346009049999999</v>
      </c>
      <c r="D18">
        <f ca="1">OFFSET(Baza!$DZ17,0,D$2)</f>
        <v>0.39273092479999999</v>
      </c>
      <c r="E18">
        <f ca="1">OFFSET(Baza!$DZ17,0,E$2)</f>
        <v>0.1787498743</v>
      </c>
      <c r="F18">
        <f ca="1">OFFSET(Baza!$DZ17,0,F$2)</f>
        <v>0.53534530000000002</v>
      </c>
      <c r="G18">
        <f ca="1">OFFSET(Baza!$DZ17,0,G$2)</f>
        <v>5.8625806449999998E-2</v>
      </c>
      <c r="H18">
        <f ca="1">OFFSET(Baza!$DZ17,0,H$2)</f>
        <v>7.3439970509999994E-2</v>
      </c>
      <c r="I18">
        <f ca="1">OFFSET(Baza!$DZ17,0,I$2)</f>
        <v>8.5146823590000004E-2</v>
      </c>
      <c r="J18">
        <f ca="1">OFFSET(Baza!$DZ17,0,J$2)</f>
        <v>3.07532425</v>
      </c>
      <c r="K18">
        <f ca="1">OFFSET(Baza!$DZ17,0,K$2)</f>
        <v>0.2704009644</v>
      </c>
      <c r="L18">
        <f ca="1">OFFSET(Baza!$DZ17,0,L$2)</f>
        <v>0.26494433560000002</v>
      </c>
      <c r="M18">
        <f ca="1">OFFSET(Baza!$DZ17,0,M$2)</f>
        <v>0.49884250530000002</v>
      </c>
      <c r="N18">
        <f ca="1">OFFSET(Baza!$DZ17,0,N$2)</f>
        <v>0.3995378</v>
      </c>
      <c r="O18">
        <f ca="1">OFFSET(Baza!$DZ17,0,O$2)</f>
        <v>7.0384320180000001E-2</v>
      </c>
      <c r="P18">
        <f ca="1">OFFSET(Baza!$DZ17,0,P$2)</f>
        <v>0.52264505139999995</v>
      </c>
      <c r="Q18">
        <f ca="1">OFFSET(Baza!$DZ17,0,Q$2)</f>
        <v>100</v>
      </c>
      <c r="R18">
        <f ca="1">OFFSET(Baza!$DZ17,0,R$2)</f>
        <v>0.1230919093</v>
      </c>
      <c r="S18">
        <f ca="1">OFFSET(Baza!$DZ17,0,S$2)</f>
        <v>9.3392712650000007</v>
      </c>
      <c r="T18">
        <f ca="1">OFFSET(Baza!$DZ17,0,T$2)</f>
        <v>142.96724259999999</v>
      </c>
      <c r="U18" s="6">
        <f t="shared" ca="1" si="2"/>
        <v>1.030035878640303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19"/>
  <sheetViews>
    <sheetView topLeftCell="Q1" workbookViewId="0">
      <selection activeCell="V21" sqref="V21"/>
    </sheetView>
  </sheetViews>
  <sheetFormatPr baseColWidth="10" defaultColWidth="8.83203125" defaultRowHeight="15" x14ac:dyDescent="0.2"/>
  <cols>
    <col min="1" max="1" width="11.33203125" bestFit="1" customWidth="1"/>
    <col min="2" max="4" width="12" bestFit="1" customWidth="1"/>
    <col min="5" max="5" width="43.6640625" bestFit="1" customWidth="1"/>
    <col min="6" max="8" width="12" bestFit="1" customWidth="1"/>
    <col min="9" max="9" width="12.6640625" bestFit="1" customWidth="1"/>
    <col min="10" max="10" width="12" bestFit="1" customWidth="1"/>
    <col min="11" max="11" width="45.33203125" bestFit="1" customWidth="1"/>
    <col min="12" max="12" width="12" bestFit="1" customWidth="1"/>
    <col min="13" max="13" width="48.5" bestFit="1" customWidth="1"/>
    <col min="14" max="14" width="26.6640625" bestFit="1" customWidth="1"/>
    <col min="15" max="15" width="44.6640625" bestFit="1" customWidth="1"/>
    <col min="16" max="16" width="12" bestFit="1" customWidth="1"/>
    <col min="17" max="17" width="48.6640625" bestFit="1" customWidth="1"/>
    <col min="18" max="18" width="26.83203125" bestFit="1" customWidth="1"/>
    <col min="19" max="19" width="52.6640625" bestFit="1" customWidth="1"/>
    <col min="20" max="20" width="44.83203125" bestFit="1" customWidth="1"/>
    <col min="21" max="22" width="12" bestFit="1" customWidth="1"/>
  </cols>
  <sheetData>
    <row r="1" spans="1:23" x14ac:dyDescent="0.2">
      <c r="B1" t="str">
        <f>B4</f>
        <v>Rp[Średnia]</v>
      </c>
      <c r="C1" t="str">
        <f t="shared" ref="C1:T1" ca="1" si="0">C4</f>
        <v>Rv[Średnia]</v>
      </c>
      <c r="D1" t="str">
        <f t="shared" ca="1" si="0"/>
        <v>Rz[Średnia]</v>
      </c>
      <c r="E1" t="str">
        <f t="shared" ca="1" si="0"/>
        <v>Rc (Brak uśredniania (pojedyncza wartość))[Średnia]</v>
      </c>
      <c r="F1" t="str">
        <f t="shared" ca="1" si="0"/>
        <v>Rt[Średnia]</v>
      </c>
      <c r="G1" t="str">
        <f t="shared" ca="1" si="0"/>
        <v>Ra[Średnia]</v>
      </c>
      <c r="H1" t="str">
        <f t="shared" ca="1" si="0"/>
        <v>Rq[Średnia]</v>
      </c>
      <c r="I1" t="str">
        <f t="shared" ca="1" si="0"/>
        <v>Rsk[Średnia]</v>
      </c>
      <c r="J1" t="str">
        <f t="shared" ca="1" si="0"/>
        <v>Rku[Średnia]</v>
      </c>
      <c r="K1" t="str">
        <f t="shared" ca="1" si="0"/>
        <v>Rp1max[Średnia]</v>
      </c>
      <c r="L1" t="str">
        <f t="shared" ca="1" si="0"/>
        <v>Rv1max[Średnia]</v>
      </c>
      <c r="M1" t="str">
        <f t="shared" ca="1" si="0"/>
        <v>Rz1max[Średnia]</v>
      </c>
      <c r="N1" t="str">
        <f t="shared" ca="1" si="0"/>
        <v>Rz(n) (Wskaźnik λc = 1)[Średnia]</v>
      </c>
      <c r="O1" t="str">
        <f t="shared" ca="1" si="0"/>
        <v>RSm (Brak uśredniania (pojedyncza wartość))[Średnia]</v>
      </c>
      <c r="P1" t="str">
        <f t="shared" ca="1" si="0"/>
        <v>Rdq[Średnia]</v>
      </c>
      <c r="Q1" t="str">
        <f t="shared" ca="1" si="0"/>
        <v>Rmr (c = 1 µm poniżej najwyższego wypiętrzenia)[Średnia]</v>
      </c>
      <c r="R1" t="str">
        <f t="shared" ca="1" si="0"/>
        <v>Rdc (p = 20%, q = 80%)[Średnia]</v>
      </c>
      <c r="S1" t="str">
        <f t="shared" ca="1" si="0"/>
        <v>Rmr (Rz/4) (c = Rz/4 µm powyżej płaszczyzny średniej)[Średnia]</v>
      </c>
      <c r="T1" t="str">
        <f t="shared" ca="1" si="0"/>
        <v>RPc (Brak uśredniania (pojedyncza wartość))[Średnia]</v>
      </c>
      <c r="U1" t="s">
        <v>275</v>
      </c>
    </row>
    <row r="2" spans="1:23" x14ac:dyDescent="0.2">
      <c r="B2" s="5" t="s">
        <v>274</v>
      </c>
      <c r="C2" s="5">
        <v>4</v>
      </c>
      <c r="D2" s="5">
        <f>C2+4</f>
        <v>8</v>
      </c>
      <c r="E2" s="5">
        <f t="shared" ref="E2:W2" si="1">D2+4</f>
        <v>12</v>
      </c>
      <c r="F2" s="5">
        <f t="shared" si="1"/>
        <v>16</v>
      </c>
      <c r="G2" s="5">
        <f t="shared" si="1"/>
        <v>20</v>
      </c>
      <c r="H2" s="5">
        <f t="shared" si="1"/>
        <v>24</v>
      </c>
      <c r="I2" s="5">
        <f t="shared" si="1"/>
        <v>28</v>
      </c>
      <c r="J2" s="5">
        <f t="shared" si="1"/>
        <v>32</v>
      </c>
      <c r="K2" s="5">
        <f t="shared" si="1"/>
        <v>36</v>
      </c>
      <c r="L2" s="5">
        <f t="shared" si="1"/>
        <v>40</v>
      </c>
      <c r="M2" s="5">
        <f t="shared" si="1"/>
        <v>44</v>
      </c>
      <c r="N2" s="5">
        <f t="shared" si="1"/>
        <v>48</v>
      </c>
      <c r="O2" s="5">
        <f t="shared" si="1"/>
        <v>52</v>
      </c>
      <c r="P2" s="5">
        <f t="shared" si="1"/>
        <v>56</v>
      </c>
      <c r="Q2" s="5">
        <f t="shared" si="1"/>
        <v>60</v>
      </c>
      <c r="R2" s="5">
        <f t="shared" si="1"/>
        <v>64</v>
      </c>
      <c r="S2" s="5">
        <f t="shared" si="1"/>
        <v>68</v>
      </c>
      <c r="T2" s="5">
        <f t="shared" si="1"/>
        <v>72</v>
      </c>
      <c r="U2" s="5">
        <f t="shared" si="1"/>
        <v>76</v>
      </c>
      <c r="V2" s="5">
        <f t="shared" si="1"/>
        <v>80</v>
      </c>
      <c r="W2" s="5">
        <f t="shared" si="1"/>
        <v>84</v>
      </c>
    </row>
    <row r="3" spans="1:23" x14ac:dyDescent="0.2">
      <c r="B3">
        <f>Baza!GX1</f>
        <v>51</v>
      </c>
      <c r="C3">
        <f ca="1">OFFSET(Baza!$GX1,0,C$2)</f>
        <v>51</v>
      </c>
      <c r="D3">
        <f ca="1">OFFSET(Baza!$GX1,0,D$2)</f>
        <v>51</v>
      </c>
      <c r="E3">
        <f ca="1">OFFSET(Baza!$GX1,0,E$2)</f>
        <v>51</v>
      </c>
      <c r="F3">
        <f ca="1">OFFSET(Baza!$GX1,0,F$2)</f>
        <v>51</v>
      </c>
      <c r="G3">
        <f ca="1">OFFSET(Baza!$GX1,0,G$2)</f>
        <v>51</v>
      </c>
      <c r="H3">
        <f ca="1">OFFSET(Baza!$GX1,0,H$2)</f>
        <v>51</v>
      </c>
      <c r="I3">
        <f ca="1">OFFSET(Baza!$GX1,0,I$2)</f>
        <v>51</v>
      </c>
      <c r="J3">
        <f ca="1">OFFSET(Baza!$GX1,0,J$2)</f>
        <v>51</v>
      </c>
      <c r="K3">
        <f ca="1">OFFSET(Baza!$GX1,0,K$2)</f>
        <v>51</v>
      </c>
      <c r="L3">
        <f ca="1">OFFSET(Baza!$GX1,0,L$2)</f>
        <v>51</v>
      </c>
      <c r="M3">
        <f ca="1">OFFSET(Baza!$GX1,0,M$2)</f>
        <v>51</v>
      </c>
      <c r="N3">
        <f ca="1">OFFSET(Baza!$GX1,0,N$2)</f>
        <v>51</v>
      </c>
      <c r="O3">
        <f ca="1">OFFSET(Baza!$GX1,0,O$2)</f>
        <v>51</v>
      </c>
      <c r="P3">
        <f ca="1">OFFSET(Baza!$GX1,0,P$2)</f>
        <v>51</v>
      </c>
      <c r="Q3">
        <f ca="1">OFFSET(Baza!$GX1,0,Q$2)</f>
        <v>51</v>
      </c>
      <c r="R3">
        <f ca="1">OFFSET(Baza!$GX1,0,R$2)</f>
        <v>51</v>
      </c>
      <c r="S3">
        <f ca="1">OFFSET(Baza!$GX1,0,S$2)</f>
        <v>51</v>
      </c>
      <c r="T3">
        <f ca="1">OFFSET(Baza!$GX1,0,T$2)</f>
        <v>51</v>
      </c>
    </row>
    <row r="4" spans="1:23" x14ac:dyDescent="0.2">
      <c r="B4" t="str">
        <f>Baza!GX2</f>
        <v>Rp[Średnia]</v>
      </c>
      <c r="C4" t="str">
        <f ca="1">OFFSET(Baza!$GX2,0,C$2)</f>
        <v>Rv[Średnia]</v>
      </c>
      <c r="D4" t="str">
        <f ca="1">OFFSET(Baza!$GX2,0,D$2)</f>
        <v>Rz[Średnia]</v>
      </c>
      <c r="E4" t="str">
        <f ca="1">OFFSET(Baza!$GX2,0,E$2)</f>
        <v>Rc (Brak uśredniania (pojedyncza wartość))[Średnia]</v>
      </c>
      <c r="F4" t="str">
        <f ca="1">OFFSET(Baza!$GX2,0,F$2)</f>
        <v>Rt[Średnia]</v>
      </c>
      <c r="G4" t="str">
        <f ca="1">OFFSET(Baza!$GX2,0,G$2)</f>
        <v>Ra[Średnia]</v>
      </c>
      <c r="H4" t="str">
        <f ca="1">OFFSET(Baza!$GX2,0,H$2)</f>
        <v>Rq[Średnia]</v>
      </c>
      <c r="I4" t="str">
        <f ca="1">OFFSET(Baza!$GX2,0,I$2)</f>
        <v>Rsk[Średnia]</v>
      </c>
      <c r="J4" t="str">
        <f ca="1">OFFSET(Baza!$GX2,0,J$2)</f>
        <v>Rku[Średnia]</v>
      </c>
      <c r="K4" t="str">
        <f ca="1">OFFSET(Baza!$GX2,0,K$2)</f>
        <v>Rp1max[Średnia]</v>
      </c>
      <c r="L4" t="str">
        <f ca="1">OFFSET(Baza!$GX2,0,L$2)</f>
        <v>Rv1max[Średnia]</v>
      </c>
      <c r="M4" t="str">
        <f ca="1">OFFSET(Baza!$GX2,0,M$2)</f>
        <v>Rz1max[Średnia]</v>
      </c>
      <c r="N4" t="str">
        <f ca="1">OFFSET(Baza!$GX2,0,N$2)</f>
        <v>Rz(n) (Wskaźnik λc = 1)[Średnia]</v>
      </c>
      <c r="O4" t="str">
        <f ca="1">OFFSET(Baza!$GX2,0,O$2)</f>
        <v>RSm (Brak uśredniania (pojedyncza wartość))[Średnia]</v>
      </c>
      <c r="P4" t="str">
        <f ca="1">OFFSET(Baza!$GX2,0,P$2)</f>
        <v>Rdq[Średnia]</v>
      </c>
      <c r="Q4" t="str">
        <f ca="1">OFFSET(Baza!$GX2,0,Q$2)</f>
        <v>Rmr (c = 1 µm poniżej najwyższego wypiętrzenia)[Średnia]</v>
      </c>
      <c r="R4" t="str">
        <f ca="1">OFFSET(Baza!$GX2,0,R$2)</f>
        <v>Rdc (p = 20%, q = 80%)[Średnia]</v>
      </c>
      <c r="S4" t="str">
        <f ca="1">OFFSET(Baza!$GX2,0,S$2)</f>
        <v>Rmr (Rz/4) (c = Rz/4 µm powyżej płaszczyzny średniej)[Średnia]</v>
      </c>
      <c r="T4" t="str">
        <f ca="1">OFFSET(Baza!$GX2,0,T$2)</f>
        <v>RPc (Brak uśredniania (pojedyncza wartość))[Średnia]</v>
      </c>
    </row>
    <row r="5" spans="1:23" x14ac:dyDescent="0.2">
      <c r="B5" t="str">
        <f>Baza!GX3</f>
        <v>µm</v>
      </c>
      <c r="C5" t="str">
        <f ca="1">OFFSET(Baza!$GX3,0,C$2)</f>
        <v>µm</v>
      </c>
      <c r="D5" t="str">
        <f ca="1">OFFSET(Baza!$GX3,0,D$2)</f>
        <v>µm</v>
      </c>
      <c r="E5" t="str">
        <f ca="1">OFFSET(Baza!$GX3,0,E$2)</f>
        <v>µm</v>
      </c>
      <c r="F5" t="str">
        <f ca="1">OFFSET(Baza!$GX3,0,F$2)</f>
        <v>µm</v>
      </c>
      <c r="G5" t="str">
        <f ca="1">OFFSET(Baza!$GX3,0,G$2)</f>
        <v>µm</v>
      </c>
      <c r="H5" t="str">
        <f ca="1">OFFSET(Baza!$GX3,0,H$2)</f>
        <v>µm</v>
      </c>
      <c r="I5" t="str">
        <f ca="1">OFFSET(Baza!$GX3,0,I$2)</f>
        <v>&lt;no unit&gt;</v>
      </c>
      <c r="J5" t="str">
        <f ca="1">OFFSET(Baza!$GX3,0,J$2)</f>
        <v>&lt;no unit&gt;</v>
      </c>
      <c r="K5" t="str">
        <f ca="1">OFFSET(Baza!$GX3,0,K$2)</f>
        <v>µm</v>
      </c>
      <c r="L5" t="str">
        <f ca="1">OFFSET(Baza!$GX3,0,L$2)</f>
        <v>µm</v>
      </c>
      <c r="M5" t="str">
        <f ca="1">OFFSET(Baza!$GX3,0,M$2)</f>
        <v>µm</v>
      </c>
      <c r="N5" t="str">
        <f ca="1">OFFSET(Baza!$GX3,0,N$2)</f>
        <v>µm</v>
      </c>
      <c r="O5" t="str">
        <f ca="1">OFFSET(Baza!$GX3,0,O$2)</f>
        <v>mm</v>
      </c>
      <c r="P5" t="str">
        <f ca="1">OFFSET(Baza!$GX3,0,P$2)</f>
        <v>°</v>
      </c>
      <c r="Q5" t="str">
        <f ca="1">OFFSET(Baza!$GX3,0,Q$2)</f>
        <v>%</v>
      </c>
      <c r="R5" t="str">
        <f ca="1">OFFSET(Baza!$GX3,0,R$2)</f>
        <v>µm</v>
      </c>
      <c r="S5" t="str">
        <f ca="1">OFFSET(Baza!$GX3,0,S$2)</f>
        <v>%</v>
      </c>
      <c r="T5" t="str">
        <f ca="1">OFFSET(Baza!$GX3,0,T$2)</f>
        <v>1/cm</v>
      </c>
    </row>
    <row r="6" spans="1:23" x14ac:dyDescent="0.2">
      <c r="A6" s="1" t="s">
        <v>245</v>
      </c>
      <c r="B6">
        <f>Baza!GX4</f>
        <v>0.4630807414</v>
      </c>
      <c r="C6">
        <f ca="1">OFFSET(Baza!$GX4,0,C$2)</f>
        <v>0.5187361492</v>
      </c>
      <c r="D6">
        <f ca="1">OFFSET(Baza!$GX4,0,D$2)</f>
        <v>0.98181689059999999</v>
      </c>
      <c r="E6">
        <f ca="1">OFFSET(Baza!$GX4,0,E$2)</f>
        <v>0.409482175</v>
      </c>
      <c r="F6">
        <f ca="1">OFFSET(Baza!$GX4,0,F$2)</f>
        <v>1.2362436189999999</v>
      </c>
      <c r="G6">
        <f ca="1">OFFSET(Baza!$GX4,0,G$2)</f>
        <v>0.12939248149999999</v>
      </c>
      <c r="H6">
        <f ca="1">OFFSET(Baza!$GX4,0,H$2)</f>
        <v>0.16457487509999999</v>
      </c>
      <c r="I6">
        <f ca="1">OFFSET(Baza!$GX4,0,I$2)</f>
        <v>-0.21042035670000001</v>
      </c>
      <c r="J6">
        <f ca="1">OFFSET(Baza!$GX4,0,J$2)</f>
        <v>3.3563250779999998</v>
      </c>
      <c r="K6">
        <f ca="1">OFFSET(Baza!$GX4,0,K$2)</f>
        <v>0.5971963294</v>
      </c>
      <c r="L6">
        <f ca="1">OFFSET(Baza!$GX4,0,L$2)</f>
        <v>0.63904728980000003</v>
      </c>
      <c r="M6">
        <f ca="1">OFFSET(Baza!$GX4,0,M$2)</f>
        <v>1.1552208509999999</v>
      </c>
      <c r="N6">
        <f ca="1">OFFSET(Baza!$GX4,0,N$2)</f>
        <v>1.019140749</v>
      </c>
      <c r="O6">
        <f ca="1">OFFSET(Baza!$GX4,0,O$2)</f>
        <v>3.5082466499999999E-2</v>
      </c>
      <c r="P6">
        <f ca="1">OFFSET(Baza!$GX4,0,P$2)</f>
        <v>2.542653059</v>
      </c>
      <c r="Q6">
        <f ca="1">OFFSET(Baza!$GX4,0,Q$2)</f>
        <v>96.977594370000006</v>
      </c>
      <c r="R6">
        <f ca="1">OFFSET(Baza!$GX4,0,R$2)</f>
        <v>0.26524757669999999</v>
      </c>
      <c r="S6">
        <f ca="1">OFFSET(Baza!$GX4,0,S$2)</f>
        <v>5.9483410860000001</v>
      </c>
      <c r="T6">
        <f ca="1">OFFSET(Baza!$GX4,0,T$2)</f>
        <v>319.30065619999999</v>
      </c>
      <c r="U6" s="6">
        <f ca="1">B6/C6</f>
        <v>0.89270960220175066</v>
      </c>
    </row>
    <row r="7" spans="1:23" x14ac:dyDescent="0.2">
      <c r="A7" s="1" t="s">
        <v>246</v>
      </c>
      <c r="B7">
        <f>Baza!GX5</f>
        <v>0.53423231400000004</v>
      </c>
      <c r="C7">
        <f ca="1">OFFSET(Baza!$GX5,0,C$2)</f>
        <v>0.61587945820000001</v>
      </c>
      <c r="D7">
        <f ca="1">OFFSET(Baza!$GX5,0,D$2)</f>
        <v>1.150111772</v>
      </c>
      <c r="E7">
        <f ca="1">OFFSET(Baza!$GX5,0,E$2)</f>
        <v>0.47699086709999999</v>
      </c>
      <c r="F7">
        <f ca="1">OFFSET(Baza!$GX5,0,F$2)</f>
        <v>1.438323432</v>
      </c>
      <c r="G7">
        <f ca="1">OFFSET(Baza!$GX5,0,G$2)</f>
        <v>0.14889260300000001</v>
      </c>
      <c r="H7">
        <f ca="1">OFFSET(Baza!$GX5,0,H$2)</f>
        <v>0.19067421530000001</v>
      </c>
      <c r="I7">
        <f ca="1">OFFSET(Baza!$GX5,0,I$2)</f>
        <v>-0.2273326527</v>
      </c>
      <c r="J7">
        <f ca="1">OFFSET(Baza!$GX5,0,J$2)</f>
        <v>3.5202407149999999</v>
      </c>
      <c r="K7">
        <f ca="1">OFFSET(Baza!$GX5,0,K$2)</f>
        <v>0.6895701501</v>
      </c>
      <c r="L7">
        <f ca="1">OFFSET(Baza!$GX5,0,L$2)</f>
        <v>0.74875328149999998</v>
      </c>
      <c r="M7">
        <f ca="1">OFFSET(Baza!$GX5,0,M$2)</f>
        <v>1.3574289470000001</v>
      </c>
      <c r="N7">
        <f ca="1">OFFSET(Baza!$GX5,0,N$2)</f>
        <v>1.237964737</v>
      </c>
      <c r="O7">
        <f ca="1">OFFSET(Baza!$GX5,0,O$2)</f>
        <v>3.3579226109999999E-2</v>
      </c>
      <c r="P7">
        <f ca="1">OFFSET(Baza!$GX5,0,P$2)</f>
        <v>2.7236924629999999</v>
      </c>
      <c r="Q7">
        <f ca="1">OFFSET(Baza!$GX5,0,Q$2)</f>
        <v>91.173287819999999</v>
      </c>
      <c r="R7">
        <f ca="1">OFFSET(Baza!$GX5,0,R$2)</f>
        <v>0.30189424450000002</v>
      </c>
      <c r="S7">
        <f ca="1">OFFSET(Baza!$GX5,0,S$2)</f>
        <v>5.8046362870000001</v>
      </c>
      <c r="T7">
        <f ca="1">OFFSET(Baza!$GX5,0,T$2)</f>
        <v>299.04954199999997</v>
      </c>
      <c r="U7" s="6">
        <f t="shared" ref="U7:U19" ca="1" si="2">B7/C7</f>
        <v>0.86742999281283717</v>
      </c>
    </row>
    <row r="8" spans="1:23" x14ac:dyDescent="0.2">
      <c r="A8" s="1" t="s">
        <v>247</v>
      </c>
      <c r="B8">
        <f>Baza!GX6</f>
        <v>0.6491829053</v>
      </c>
      <c r="C8">
        <f ca="1">OFFSET(Baza!$GX6,0,C$2)</f>
        <v>0.75853484510000002</v>
      </c>
      <c r="D8">
        <f ca="1">OFFSET(Baza!$GX6,0,D$2)</f>
        <v>1.40771775</v>
      </c>
      <c r="E8">
        <f ca="1">OFFSET(Baza!$GX6,0,E$2)</f>
        <v>0.58246262660000003</v>
      </c>
      <c r="F8">
        <f ca="1">OFFSET(Baza!$GX6,0,F$2)</f>
        <v>1.7359030470000001</v>
      </c>
      <c r="G8">
        <f ca="1">OFFSET(Baza!$GX6,0,G$2)</f>
        <v>0.18030976060000001</v>
      </c>
      <c r="H8">
        <f ca="1">OFFSET(Baza!$GX6,0,H$2)</f>
        <v>0.23236172899999999</v>
      </c>
      <c r="I8">
        <f ca="1">OFFSET(Baza!$GX6,0,I$2)</f>
        <v>-0.2052461257</v>
      </c>
      <c r="J8">
        <f ca="1">OFFSET(Baza!$GX6,0,J$2)</f>
        <v>3.6077235509999999</v>
      </c>
      <c r="K8">
        <f ca="1">OFFSET(Baza!$GX6,0,K$2)</f>
        <v>0.82491950300000005</v>
      </c>
      <c r="L8">
        <f ca="1">OFFSET(Baza!$GX6,0,L$2)</f>
        <v>0.91098354439999996</v>
      </c>
      <c r="M8">
        <f ca="1">OFFSET(Baza!$GX6,0,M$2)</f>
        <v>1.6427280369999999</v>
      </c>
      <c r="N8">
        <f ca="1">OFFSET(Baza!$GX6,0,N$2)</f>
        <v>1.515494205</v>
      </c>
      <c r="O8">
        <f ca="1">OFFSET(Baza!$GX6,0,O$2)</f>
        <v>3.1649745899999998E-2</v>
      </c>
      <c r="P8">
        <f ca="1">OFFSET(Baza!$GX6,0,P$2)</f>
        <v>3.4735336650000002</v>
      </c>
      <c r="Q8">
        <f ca="1">OFFSET(Baza!$GX6,0,Q$2)</f>
        <v>75.985370509999996</v>
      </c>
      <c r="R8">
        <f ca="1">OFFSET(Baza!$GX6,0,R$2)</f>
        <v>0.36056731009999998</v>
      </c>
      <c r="S8">
        <f ca="1">OFFSET(Baza!$GX6,0,S$2)</f>
        <v>5.9801707400000002</v>
      </c>
      <c r="T8">
        <f ca="1">OFFSET(Baza!$GX6,0,T$2)</f>
        <v>317.68101669999999</v>
      </c>
      <c r="U8" s="6">
        <f t="shared" ca="1" si="2"/>
        <v>0.85583794797774415</v>
      </c>
    </row>
    <row r="9" spans="1:23" x14ac:dyDescent="0.2">
      <c r="A9" s="1" t="s">
        <v>248</v>
      </c>
      <c r="B9">
        <f>Baza!GX7</f>
        <v>0.59135679159999999</v>
      </c>
      <c r="C9">
        <f ca="1">OFFSET(Baza!$GX7,0,C$2)</f>
        <v>0.64668368030000001</v>
      </c>
      <c r="D9">
        <f ca="1">OFFSET(Baza!$GX7,0,D$2)</f>
        <v>1.238040472</v>
      </c>
      <c r="E9">
        <f ca="1">OFFSET(Baza!$GX7,0,E$2)</f>
        <v>0.49690394100000002</v>
      </c>
      <c r="F9">
        <f ca="1">OFFSET(Baza!$GX7,0,F$2)</f>
        <v>1.503561267</v>
      </c>
      <c r="G9">
        <f ca="1">OFFSET(Baza!$GX7,0,G$2)</f>
        <v>0.15454886100000001</v>
      </c>
      <c r="H9">
        <f ca="1">OFFSET(Baza!$GX7,0,H$2)</f>
        <v>0.19810056140000001</v>
      </c>
      <c r="I9">
        <f ca="1">OFFSET(Baza!$GX7,0,I$2)</f>
        <v>-0.225964894</v>
      </c>
      <c r="J9">
        <f ca="1">OFFSET(Baza!$GX7,0,J$2)</f>
        <v>3.5209402120000002</v>
      </c>
      <c r="K9">
        <f ca="1">OFFSET(Baza!$GX7,0,K$2)</f>
        <v>0.72817791710000002</v>
      </c>
      <c r="L9">
        <f ca="1">OFFSET(Baza!$GX7,0,L$2)</f>
        <v>0.77538334959999999</v>
      </c>
      <c r="M9">
        <f ca="1">OFFSET(Baza!$GX7,0,M$2)</f>
        <v>1.4082382</v>
      </c>
      <c r="N9">
        <f ca="1">OFFSET(Baza!$GX7,0,N$2)</f>
        <v>1.277613382</v>
      </c>
      <c r="O9">
        <f ca="1">OFFSET(Baza!$GX7,0,O$2)</f>
        <v>2.78150666E-2</v>
      </c>
      <c r="P9">
        <f ca="1">OFFSET(Baza!$GX7,0,P$2)</f>
        <v>3.9225049319999998</v>
      </c>
      <c r="Q9">
        <f ca="1">OFFSET(Baza!$GX7,0,Q$2)</f>
        <v>88.115921950000001</v>
      </c>
      <c r="R9">
        <f ca="1">OFFSET(Baza!$GX7,0,R$2)</f>
        <v>0.31402341030000003</v>
      </c>
      <c r="S9">
        <f ca="1">OFFSET(Baza!$GX7,0,S$2)</f>
        <v>5.0968334479999999</v>
      </c>
      <c r="T9">
        <f ca="1">OFFSET(Baza!$GX7,0,T$2)</f>
        <v>407.92337470000001</v>
      </c>
      <c r="U9" s="6">
        <f t="shared" ca="1" si="2"/>
        <v>0.91444520654312234</v>
      </c>
    </row>
    <row r="10" spans="1:23" x14ac:dyDescent="0.2">
      <c r="A10" s="1" t="s">
        <v>249</v>
      </c>
      <c r="B10">
        <f>Baza!GX8</f>
        <v>0.61867134859999995</v>
      </c>
      <c r="C10">
        <f ca="1">OFFSET(Baza!$GX8,0,C$2)</f>
        <v>0.75678920620000001</v>
      </c>
      <c r="D10">
        <f ca="1">OFFSET(Baza!$GX8,0,D$2)</f>
        <v>1.3754605550000001</v>
      </c>
      <c r="E10">
        <f ca="1">OFFSET(Baza!$GX8,0,E$2)</f>
        <v>0.55583292620000002</v>
      </c>
      <c r="F10">
        <f ca="1">OFFSET(Baza!$GX8,0,F$2)</f>
        <v>1.6781693580000001</v>
      </c>
      <c r="G10">
        <f ca="1">OFFSET(Baza!$GX8,0,G$2)</f>
        <v>0.16999372530000001</v>
      </c>
      <c r="H10">
        <f ca="1">OFFSET(Baza!$GX8,0,H$2)</f>
        <v>0.21977102339999999</v>
      </c>
      <c r="I10">
        <f ca="1">OFFSET(Baza!$GX8,0,I$2)</f>
        <v>-0.3410845569</v>
      </c>
      <c r="J10">
        <f ca="1">OFFSET(Baza!$GX8,0,J$2)</f>
        <v>3.739247207</v>
      </c>
      <c r="K10">
        <f ca="1">OFFSET(Baza!$GX8,0,K$2)</f>
        <v>0.77362371259999996</v>
      </c>
      <c r="L10">
        <f ca="1">OFFSET(Baza!$GX8,0,L$2)</f>
        <v>0.90454564530000003</v>
      </c>
      <c r="M10">
        <f ca="1">OFFSET(Baza!$GX8,0,M$2)</f>
        <v>1.5780401260000001</v>
      </c>
      <c r="N10">
        <f ca="1">OFFSET(Baza!$GX8,0,N$2)</f>
        <v>1.4545387160000001</v>
      </c>
      <c r="O10">
        <f ca="1">OFFSET(Baza!$GX8,0,O$2)</f>
        <v>2.7338086679999998E-2</v>
      </c>
      <c r="P10">
        <f ca="1">OFFSET(Baza!$GX8,0,P$2)</f>
        <v>3.964417128</v>
      </c>
      <c r="Q10">
        <f ca="1">OFFSET(Baza!$GX8,0,Q$2)</f>
        <v>82.548828439999994</v>
      </c>
      <c r="R10">
        <f ca="1">OFFSET(Baza!$GX8,0,R$2)</f>
        <v>0.34032240050000001</v>
      </c>
      <c r="S10">
        <f ca="1">OFFSET(Baza!$GX8,0,S$2)</f>
        <v>4.8172232839999998</v>
      </c>
      <c r="T10">
        <f ca="1">OFFSET(Baza!$GX8,0,T$2)</f>
        <v>367.48994090000002</v>
      </c>
      <c r="U10" s="6">
        <f t="shared" ca="1" si="2"/>
        <v>0.81749494249063182</v>
      </c>
    </row>
    <row r="11" spans="1:23" x14ac:dyDescent="0.2">
      <c r="A11" s="1" t="s">
        <v>250</v>
      </c>
      <c r="B11">
        <f>Baza!GX9</f>
        <v>0.73990731279999999</v>
      </c>
      <c r="C11">
        <f ca="1">OFFSET(Baza!$GX9,0,C$2)</f>
        <v>0.9626324557</v>
      </c>
      <c r="D11">
        <f ca="1">OFFSET(Baza!$GX9,0,D$2)</f>
        <v>1.7025397680000001</v>
      </c>
      <c r="E11">
        <f ca="1">OFFSET(Baza!$GX9,0,E$2)</f>
        <v>0.68926344350000002</v>
      </c>
      <c r="F11">
        <f ca="1">OFFSET(Baza!$GX9,0,F$2)</f>
        <v>2.0451518210000001</v>
      </c>
      <c r="G11">
        <f ca="1">OFFSET(Baza!$GX9,0,G$2)</f>
        <v>0.2082442863</v>
      </c>
      <c r="H11">
        <f ca="1">OFFSET(Baza!$GX9,0,H$2)</f>
        <v>0.27150736110000001</v>
      </c>
      <c r="I11">
        <f ca="1">OFFSET(Baza!$GX9,0,I$2)</f>
        <v>-0.39305192119999999</v>
      </c>
      <c r="J11">
        <f ca="1">OFFSET(Baza!$GX9,0,J$2)</f>
        <v>3.9046961050000002</v>
      </c>
      <c r="K11">
        <f ca="1">OFFSET(Baza!$GX9,0,K$2)</f>
        <v>0.91698560070000001</v>
      </c>
      <c r="L11">
        <f ca="1">OFFSET(Baza!$GX9,0,L$2)</f>
        <v>1.12816622</v>
      </c>
      <c r="M11">
        <f ca="1">OFFSET(Baza!$GX9,0,M$2)</f>
        <v>1.941504468</v>
      </c>
      <c r="N11">
        <f ca="1">OFFSET(Baza!$GX9,0,N$2)</f>
        <v>1.8063754839999999</v>
      </c>
      <c r="O11">
        <f ca="1">OFFSET(Baza!$GX9,0,O$2)</f>
        <v>2.6229134679999998E-2</v>
      </c>
      <c r="P11">
        <f ca="1">OFFSET(Baza!$GX9,0,P$2)</f>
        <v>5.0219325970000002</v>
      </c>
      <c r="Q11">
        <f ca="1">OFFSET(Baza!$GX9,0,Q$2)</f>
        <v>63.642032559999997</v>
      </c>
      <c r="R11">
        <f ca="1">OFFSET(Baza!$GX9,0,R$2)</f>
        <v>0.4103739032</v>
      </c>
      <c r="S11">
        <f ca="1">OFFSET(Baza!$GX9,0,S$2)</f>
        <v>4.936658102</v>
      </c>
      <c r="T11">
        <f ca="1">OFFSET(Baza!$GX9,0,T$2)</f>
        <v>383.35919180000002</v>
      </c>
      <c r="U11" s="6">
        <f t="shared" ca="1" si="2"/>
        <v>0.76862909454051143</v>
      </c>
    </row>
    <row r="12" spans="1:23" x14ac:dyDescent="0.2">
      <c r="A12" s="1" t="s">
        <v>251</v>
      </c>
      <c r="B12">
        <f>Baza!GX10</f>
        <v>0.56915387780000004</v>
      </c>
      <c r="C12">
        <f ca="1">OFFSET(Baza!$GX10,0,C$2)</f>
        <v>0.88732812719999998</v>
      </c>
      <c r="D12">
        <f ca="1">OFFSET(Baza!$GX10,0,D$2)</f>
        <v>1.456482005</v>
      </c>
      <c r="E12">
        <f ca="1">OFFSET(Baza!$GX10,0,E$2)</f>
        <v>0.65438584119999998</v>
      </c>
      <c r="F12">
        <f ca="1">OFFSET(Baza!$GX10,0,F$2)</f>
        <v>1.957253111</v>
      </c>
      <c r="G12">
        <f ca="1">OFFSET(Baza!$GX10,0,G$2)</f>
        <v>0.2158028823</v>
      </c>
      <c r="H12">
        <f ca="1">OFFSET(Baza!$GX10,0,H$2)</f>
        <v>0.27277903040000001</v>
      </c>
      <c r="I12">
        <f ca="1">OFFSET(Baza!$GX10,0,I$2)</f>
        <v>-0.63456143769999995</v>
      </c>
      <c r="J12">
        <f ca="1">OFFSET(Baza!$GX10,0,J$2)</f>
        <v>3.5479335679999999</v>
      </c>
      <c r="K12">
        <f ca="1">OFFSET(Baza!$GX10,0,K$2)</f>
        <v>0.77082091959999999</v>
      </c>
      <c r="L12">
        <f ca="1">OFFSET(Baza!$GX10,0,L$2)</f>
        <v>1.1864321920000001</v>
      </c>
      <c r="M12">
        <f ca="1">OFFSET(Baza!$GX10,0,M$2)</f>
        <v>1.8294672919999999</v>
      </c>
      <c r="N12">
        <f ca="1">OFFSET(Baza!$GX10,0,N$2)</f>
        <v>1.5888104679999999</v>
      </c>
      <c r="O12">
        <f ca="1">OFFSET(Baza!$GX10,0,O$2)</f>
        <v>6.2709111420000005E-2</v>
      </c>
      <c r="P12">
        <f ca="1">OFFSET(Baza!$GX10,0,P$2)</f>
        <v>2.0873013519999999</v>
      </c>
      <c r="Q12">
        <f ca="1">OFFSET(Baza!$GX10,0,Q$2)</f>
        <v>77.185257129999997</v>
      </c>
      <c r="R12">
        <f ca="1">OFFSET(Baza!$GX10,0,R$2)</f>
        <v>0.44343150539999998</v>
      </c>
      <c r="S12">
        <f ca="1">OFFSET(Baza!$GX10,0,S$2)</f>
        <v>6.1301085869999996</v>
      </c>
      <c r="T12">
        <f ca="1">OFFSET(Baza!$GX10,0,T$2)</f>
        <v>167.040538</v>
      </c>
      <c r="U12" s="6">
        <f t="shared" ca="1" si="2"/>
        <v>0.6414243619166996</v>
      </c>
    </row>
    <row r="13" spans="1:23" x14ac:dyDescent="0.2">
      <c r="A13" s="1" t="s">
        <v>252</v>
      </c>
      <c r="B13">
        <f>Baza!GX11</f>
        <v>0.40034756030000002</v>
      </c>
      <c r="C13">
        <f ca="1">OFFSET(Baza!$GX11,0,C$2)</f>
        <v>0.41137434719999999</v>
      </c>
      <c r="D13">
        <f ca="1">OFFSET(Baza!$GX11,0,D$2)</f>
        <v>0.81172190749999995</v>
      </c>
      <c r="E13">
        <f ca="1">OFFSET(Baza!$GX11,0,E$2)</f>
        <v>0.36186356660000002</v>
      </c>
      <c r="F13">
        <f ca="1">OFFSET(Baza!$GX11,0,F$2)</f>
        <v>1.0858585679999999</v>
      </c>
      <c r="G13">
        <f ca="1">OFFSET(Baza!$GX11,0,G$2)</f>
        <v>0.1156063692</v>
      </c>
      <c r="H13">
        <f ca="1">OFFSET(Baza!$GX11,0,H$2)</f>
        <v>0.14627253339999999</v>
      </c>
      <c r="I13">
        <f ca="1">OFFSET(Baza!$GX11,0,I$2)</f>
        <v>-3.4352364679999997E-2</v>
      </c>
      <c r="J13">
        <f ca="1">OFFSET(Baza!$GX11,0,J$2)</f>
        <v>3.3126512309999998</v>
      </c>
      <c r="K13">
        <f ca="1">OFFSET(Baza!$GX11,0,K$2)</f>
        <v>0.54580247609999999</v>
      </c>
      <c r="L13">
        <f ca="1">OFFSET(Baza!$GX11,0,L$2)</f>
        <v>0.54005609229999996</v>
      </c>
      <c r="M13">
        <f ca="1">OFFSET(Baza!$GX11,0,M$2)</f>
        <v>1.0154219950000001</v>
      </c>
      <c r="N13">
        <f ca="1">OFFSET(Baza!$GX11,0,N$2)</f>
        <v>0.90485919999999997</v>
      </c>
      <c r="O13">
        <f ca="1">OFFSET(Baza!$GX11,0,O$2)</f>
        <v>5.8591627610000002E-2</v>
      </c>
      <c r="P13">
        <f ca="1">OFFSET(Baza!$GX11,0,P$2)</f>
        <v>1.1501457049999999</v>
      </c>
      <c r="Q13">
        <f ca="1">OFFSET(Baza!$GX11,0,Q$2)</f>
        <v>97.68300404</v>
      </c>
      <c r="R13">
        <f ca="1">OFFSET(Baza!$GX11,0,R$2)</f>
        <v>0.23840958579999999</v>
      </c>
      <c r="S13">
        <f ca="1">OFFSET(Baza!$GX11,0,S$2)</f>
        <v>7.8562163859999998</v>
      </c>
      <c r="T13">
        <f ca="1">OFFSET(Baza!$GX11,0,T$2)</f>
        <v>171.68667719999999</v>
      </c>
      <c r="U13" s="6">
        <f t="shared" ca="1" si="2"/>
        <v>0.97319524910813404</v>
      </c>
    </row>
    <row r="14" spans="1:23" x14ac:dyDescent="0.2">
      <c r="A14" s="1" t="s">
        <v>253</v>
      </c>
      <c r="B14">
        <f>Baza!GX12</f>
        <v>0.53071209829999999</v>
      </c>
      <c r="C14">
        <f ca="1">OFFSET(Baza!$GX12,0,C$2)</f>
        <v>0.45732753250000002</v>
      </c>
      <c r="D14">
        <f ca="1">OFFSET(Baza!$GX12,0,D$2)</f>
        <v>0.98803963080000001</v>
      </c>
      <c r="E14">
        <f ca="1">OFFSET(Baza!$GX12,0,E$2)</f>
        <v>0.45024708540000002</v>
      </c>
      <c r="F14">
        <f ca="1">OFFSET(Baza!$GX12,0,F$2)</f>
        <v>1.3154890420000001</v>
      </c>
      <c r="G14">
        <f ca="1">OFFSET(Baza!$GX12,0,G$2)</f>
        <v>0.14335094910000001</v>
      </c>
      <c r="H14">
        <f ca="1">OFFSET(Baza!$GX12,0,H$2)</f>
        <v>0.18128161849999999</v>
      </c>
      <c r="I14">
        <f ca="1">OFFSET(Baza!$GX12,0,I$2)</f>
        <v>0.2002989728</v>
      </c>
      <c r="J14">
        <f ca="1">OFFSET(Baza!$GX12,0,J$2)</f>
        <v>3.302610321</v>
      </c>
      <c r="K14">
        <f ca="1">OFFSET(Baza!$GX12,0,K$2)</f>
        <v>0.71294576750000005</v>
      </c>
      <c r="L14">
        <f ca="1">OFFSET(Baza!$GX12,0,L$2)</f>
        <v>0.60254327460000001</v>
      </c>
      <c r="M14">
        <f ca="1">OFFSET(Baza!$GX12,0,M$2)</f>
        <v>1.2428996839999999</v>
      </c>
      <c r="N14">
        <f ca="1">OFFSET(Baza!$GX12,0,N$2)</f>
        <v>1.098217837</v>
      </c>
      <c r="O14">
        <f ca="1">OFFSET(Baza!$GX12,0,O$2)</f>
        <v>6.0484864690000001E-2</v>
      </c>
      <c r="P14">
        <f ca="1">OFFSET(Baza!$GX12,0,P$2)</f>
        <v>1.370833602</v>
      </c>
      <c r="Q14">
        <f ca="1">OFFSET(Baza!$GX12,0,Q$2)</f>
        <v>87.688733389999996</v>
      </c>
      <c r="R14">
        <f ca="1">OFFSET(Baza!$GX12,0,R$2)</f>
        <v>0.29425943719999997</v>
      </c>
      <c r="S14">
        <f ca="1">OFFSET(Baza!$GX12,0,S$2)</f>
        <v>8.7906669639999997</v>
      </c>
      <c r="T14">
        <f ca="1">OFFSET(Baza!$GX12,0,T$2)</f>
        <v>166.2940692</v>
      </c>
      <c r="U14" s="6">
        <f t="shared" ca="1" si="2"/>
        <v>1.160463913901794</v>
      </c>
    </row>
    <row r="15" spans="1:23" x14ac:dyDescent="0.2">
      <c r="A15" s="1" t="s">
        <v>254</v>
      </c>
      <c r="B15">
        <f>Baza!GX13</f>
        <v>1.3163668369999999</v>
      </c>
      <c r="C15">
        <f ca="1">OFFSET(Baza!$GX13,0,C$2)</f>
        <v>1.212511098</v>
      </c>
      <c r="D15">
        <f ca="1">OFFSET(Baza!$GX13,0,D$2)</f>
        <v>2.5288779350000001</v>
      </c>
      <c r="E15">
        <f ca="1">OFFSET(Baza!$GX13,0,E$2)</f>
        <v>1.2772616990000001</v>
      </c>
      <c r="F15">
        <f ca="1">OFFSET(Baza!$GX13,0,F$2)</f>
        <v>2.9649340149999999</v>
      </c>
      <c r="G15">
        <f ca="1">OFFSET(Baza!$GX13,0,G$2)</f>
        <v>0.39097593860000002</v>
      </c>
      <c r="H15">
        <f ca="1">OFFSET(Baza!$GX13,0,H$2)</f>
        <v>0.48486482920000001</v>
      </c>
      <c r="I15">
        <f ca="1">OFFSET(Baza!$GX13,0,I$2)</f>
        <v>8.5495252980000006E-2</v>
      </c>
      <c r="J15">
        <f ca="1">OFFSET(Baza!$GX13,0,J$2)</f>
        <v>2.8749098659999999</v>
      </c>
      <c r="K15">
        <f ca="1">OFFSET(Baza!$GX13,0,K$2)</f>
        <v>1.547925671</v>
      </c>
      <c r="L15">
        <f ca="1">OFFSET(Baza!$GX13,0,L$2)</f>
        <v>1.4170083449999999</v>
      </c>
      <c r="M15">
        <f ca="1">OFFSET(Baza!$GX13,0,M$2)</f>
        <v>2.8183889569999998</v>
      </c>
      <c r="N15">
        <f ca="1">OFFSET(Baza!$GX13,0,N$2)</f>
        <v>2.5341864200000002</v>
      </c>
      <c r="O15">
        <f ca="1">OFFSET(Baza!$GX13,0,O$2)</f>
        <v>4.152376294E-2</v>
      </c>
      <c r="P15">
        <f ca="1">OFFSET(Baza!$GX13,0,P$2)</f>
        <v>8.2783932419999999</v>
      </c>
      <c r="Q15">
        <f ca="1">OFFSET(Baza!$GX13,0,Q$2)</f>
        <v>14.244284589999999</v>
      </c>
      <c r="R15">
        <f ca="1">OFFSET(Baza!$GX13,0,R$2)</f>
        <v>0.82985168990000002</v>
      </c>
      <c r="S15">
        <f ca="1">OFFSET(Baza!$GX13,0,S$2)</f>
        <v>10.033939589999999</v>
      </c>
      <c r="T15">
        <f ca="1">OFFSET(Baza!$GX13,0,T$2)</f>
        <v>242.77998830000001</v>
      </c>
      <c r="U15" s="6">
        <f t="shared" ca="1" si="2"/>
        <v>1.0856534337469625</v>
      </c>
    </row>
    <row r="16" spans="1:23" x14ac:dyDescent="0.2">
      <c r="A16" s="1" t="s">
        <v>257</v>
      </c>
      <c r="B16">
        <f>Baza!GX14</f>
        <v>1.3204449709999999</v>
      </c>
      <c r="C16">
        <f ca="1">OFFSET(Baza!$GX14,0,C$2)</f>
        <v>1.219084405</v>
      </c>
      <c r="D16">
        <f ca="1">OFFSET(Baza!$GX14,0,D$2)</f>
        <v>2.5395293759999999</v>
      </c>
      <c r="E16">
        <f ca="1">OFFSET(Baza!$GX14,0,E$2)</f>
        <v>1.2887875200000001</v>
      </c>
      <c r="F16">
        <f ca="1">OFFSET(Baza!$GX14,0,F$2)</f>
        <v>2.9413911050000001</v>
      </c>
      <c r="G16">
        <f ca="1">OFFSET(Baza!$GX14,0,G$2)</f>
        <v>0.39515995840000001</v>
      </c>
      <c r="H16">
        <f ca="1">OFFSET(Baza!$GX14,0,H$2)</f>
        <v>0.48938941749999998</v>
      </c>
      <c r="I16">
        <f ca="1">OFFSET(Baza!$GX14,0,I$2)</f>
        <v>8.2627983079999995E-2</v>
      </c>
      <c r="J16">
        <f ca="1">OFFSET(Baza!$GX14,0,J$2)</f>
        <v>2.8460954589999998</v>
      </c>
      <c r="K16">
        <f ca="1">OFFSET(Baza!$GX14,0,K$2)</f>
        <v>1.537606926</v>
      </c>
      <c r="L16">
        <f ca="1">OFFSET(Baza!$GX14,0,L$2)</f>
        <v>1.4037841790000001</v>
      </c>
      <c r="M16">
        <f ca="1">OFFSET(Baza!$GX14,0,M$2)</f>
        <v>2.8291444210000001</v>
      </c>
      <c r="N16">
        <f ca="1">OFFSET(Baza!$GX14,0,N$2)</f>
        <v>2.536744632</v>
      </c>
      <c r="O16">
        <f ca="1">OFFSET(Baza!$GX14,0,O$2)</f>
        <v>4.1328401760000001E-2</v>
      </c>
      <c r="P16">
        <f ca="1">OFFSET(Baza!$GX14,0,P$2)</f>
        <v>8.3986231549999992</v>
      </c>
      <c r="Q16">
        <f ca="1">OFFSET(Baza!$GX14,0,Q$2)</f>
        <v>14.99636488</v>
      </c>
      <c r="R16">
        <f ca="1">OFFSET(Baza!$GX14,0,R$2)</f>
        <v>0.83972755730000004</v>
      </c>
      <c r="S16">
        <f ca="1">OFFSET(Baza!$GX14,0,S$2)</f>
        <v>10.19053587</v>
      </c>
      <c r="T16">
        <f ca="1">OFFSET(Baza!$GX14,0,T$2)</f>
        <v>243.9715717</v>
      </c>
      <c r="U16" s="6">
        <f t="shared" ca="1" si="2"/>
        <v>1.0831448303204239</v>
      </c>
    </row>
    <row r="17" spans="1:21" x14ac:dyDescent="0.2">
      <c r="A17" s="1" t="s">
        <v>255</v>
      </c>
      <c r="B17">
        <f>Baza!GX15</f>
        <v>206.8160178</v>
      </c>
      <c r="C17">
        <f ca="1">OFFSET(Baza!$GX15,0,C$2)</f>
        <v>193.46137540000001</v>
      </c>
      <c r="D17">
        <f ca="1">OFFSET(Baza!$GX15,0,D$2)</f>
        <v>400.27739320000001</v>
      </c>
      <c r="E17">
        <f ca="1">OFFSET(Baza!$GX15,0,E$2)</f>
        <v>180.17879740000001</v>
      </c>
      <c r="F17">
        <f ca="1">OFFSET(Baza!$GX15,0,F$2)</f>
        <v>541.01826840000001</v>
      </c>
      <c r="G17">
        <f ca="1">OFFSET(Baza!$GX15,0,G$2)</f>
        <v>59.070001769999998</v>
      </c>
      <c r="H17">
        <f ca="1">OFFSET(Baza!$GX15,0,H$2)</f>
        <v>73.985590439999996</v>
      </c>
      <c r="I17">
        <f ca="1">OFFSET(Baza!$GX15,0,I$2)</f>
        <v>6.7716193399999999E-2</v>
      </c>
      <c r="J17">
        <f ca="1">OFFSET(Baza!$GX15,0,J$2)</f>
        <v>3.0867414329999998</v>
      </c>
      <c r="K17">
        <f ca="1">OFFSET(Baza!$GX15,0,K$2)</f>
        <v>278.77845769999999</v>
      </c>
      <c r="L17">
        <f ca="1">OFFSET(Baza!$GX15,0,L$2)</f>
        <v>262.18160019999999</v>
      </c>
      <c r="M17">
        <f ca="1">OFFSET(Baza!$GX15,0,M$2)</f>
        <v>510.96497369999997</v>
      </c>
      <c r="N17">
        <f ca="1">OFFSET(Baza!$GX15,0,N$2)</f>
        <v>456.81591049999997</v>
      </c>
      <c r="O17">
        <f ca="1">OFFSET(Baza!$GX15,0,O$2)</f>
        <v>6.6261935110000003E-2</v>
      </c>
      <c r="P17">
        <f ca="1">OFFSET(Baza!$GX15,0,P$2)</f>
        <v>0.59055664220000004</v>
      </c>
      <c r="Q17">
        <f ca="1">OFFSET(Baza!$GX15,0,Q$2)</f>
        <v>100</v>
      </c>
      <c r="R17">
        <f ca="1">OFFSET(Baza!$GX15,0,R$2)</f>
        <v>123.5027587</v>
      </c>
      <c r="S17">
        <f ca="1">OFFSET(Baza!$GX15,0,S$2)</f>
        <v>8.9768953410000005</v>
      </c>
      <c r="T17">
        <f ca="1">OFFSET(Baza!$GX15,0,T$2)</f>
        <v>152.3503394</v>
      </c>
      <c r="U17" s="6">
        <f t="shared" ca="1" si="2"/>
        <v>1.0690300188985422</v>
      </c>
    </row>
    <row r="18" spans="1:21" x14ac:dyDescent="0.2">
      <c r="A18" s="1" t="s">
        <v>256</v>
      </c>
      <c r="B18">
        <f>Baza!GX16</f>
        <v>0.36127450529999999</v>
      </c>
      <c r="C18">
        <f ca="1">OFFSET(Baza!$GX16,0,C$2)</f>
        <v>0.35095568040000003</v>
      </c>
      <c r="D18">
        <f ca="1">OFFSET(Baza!$GX16,0,D$2)</f>
        <v>0.71223018569999996</v>
      </c>
      <c r="E18">
        <f ca="1">OFFSET(Baza!$GX16,0,E$2)</f>
        <v>0.3091941695</v>
      </c>
      <c r="F18">
        <f ca="1">OFFSET(Baza!$GX16,0,F$2)</f>
        <v>0.99483551579999996</v>
      </c>
      <c r="G18">
        <f ca="1">OFFSET(Baza!$GX16,0,G$2)</f>
        <v>9.7760364249999995E-2</v>
      </c>
      <c r="H18">
        <f ca="1">OFFSET(Baza!$GX16,0,H$2)</f>
        <v>0.12480889520000001</v>
      </c>
      <c r="I18">
        <f ca="1">OFFSET(Baza!$GX16,0,I$2)</f>
        <v>5.5576132649999999E-2</v>
      </c>
      <c r="J18">
        <f ca="1">OFFSET(Baza!$GX16,0,J$2)</f>
        <v>3.4332451819999998</v>
      </c>
      <c r="K18">
        <f ca="1">OFFSET(Baza!$GX16,0,K$2)</f>
        <v>0.50880565870000005</v>
      </c>
      <c r="L18">
        <f ca="1">OFFSET(Baza!$GX16,0,L$2)</f>
        <v>0.48599431500000001</v>
      </c>
      <c r="M18">
        <f ca="1">OFFSET(Baza!$GX16,0,M$2)</f>
        <v>0.93464458949999996</v>
      </c>
      <c r="N18">
        <f ca="1">OFFSET(Baza!$GX16,0,N$2)</f>
        <v>0.74171667890000004</v>
      </c>
      <c r="O18">
        <f ca="1">OFFSET(Baza!$GX16,0,O$2)</f>
        <v>5.0664592949999997E-2</v>
      </c>
      <c r="P18">
        <f ca="1">OFFSET(Baza!$GX16,0,P$2)</f>
        <v>1.7125098569999999</v>
      </c>
      <c r="Q18">
        <f ca="1">OFFSET(Baza!$GX16,0,Q$2)</f>
        <v>99.764856269999996</v>
      </c>
      <c r="R18">
        <f ca="1">OFFSET(Baza!$GX16,0,R$2)</f>
        <v>0.19510062019999999</v>
      </c>
      <c r="S18">
        <f ca="1">OFFSET(Baza!$GX16,0,S$2)</f>
        <v>7.7372068509999998</v>
      </c>
      <c r="T18">
        <f ca="1">OFFSET(Baza!$GX16,0,T$2)</f>
        <v>199.2541525</v>
      </c>
      <c r="U18" s="6">
        <f t="shared" ca="1" si="2"/>
        <v>1.0294020740403436</v>
      </c>
    </row>
    <row r="19" spans="1:21" x14ac:dyDescent="0.2">
      <c r="A19" s="1" t="s">
        <v>258</v>
      </c>
      <c r="B19">
        <f>Baza!GX17</f>
        <v>195.3518431</v>
      </c>
      <c r="C19">
        <f ca="1">OFFSET(Baza!$GX17,0,C$2)</f>
        <v>189.35275540000001</v>
      </c>
      <c r="D19">
        <f ca="1">OFFSET(Baza!$GX17,0,D$2)</f>
        <v>384.70459849999997</v>
      </c>
      <c r="E19">
        <f ca="1">OFFSET(Baza!$GX17,0,E$2)</f>
        <v>176.15440659999999</v>
      </c>
      <c r="F19">
        <f ca="1">OFFSET(Baza!$GX17,0,F$2)</f>
        <v>516.31291050000004</v>
      </c>
      <c r="G19">
        <f ca="1">OFFSET(Baza!$GX17,0,G$2)</f>
        <v>58.075513860000001</v>
      </c>
      <c r="H19">
        <f ca="1">OFFSET(Baza!$GX17,0,H$2)</f>
        <v>72.635669649999997</v>
      </c>
      <c r="I19">
        <f ca="1">OFFSET(Baza!$GX17,0,I$2)</f>
        <v>7.9236723209999999E-2</v>
      </c>
      <c r="J19">
        <f ca="1">OFFSET(Baza!$GX17,0,J$2)</f>
        <v>3.0448349139999999</v>
      </c>
      <c r="K19">
        <f ca="1">OFFSET(Baza!$GX17,0,K$2)</f>
        <v>260.9532198</v>
      </c>
      <c r="L19">
        <f ca="1">OFFSET(Baza!$GX17,0,L$2)</f>
        <v>255.35969069999999</v>
      </c>
      <c r="M19">
        <f ca="1">OFFSET(Baza!$GX17,0,M$2)</f>
        <v>481.0409947</v>
      </c>
      <c r="N19">
        <f ca="1">OFFSET(Baza!$GX17,0,N$2)</f>
        <v>392.87444740000001</v>
      </c>
      <c r="O19">
        <f ca="1">OFFSET(Baza!$GX17,0,O$2)</f>
        <v>7.0153391090000003E-2</v>
      </c>
      <c r="P19">
        <f ca="1">OFFSET(Baza!$GX17,0,P$2)</f>
        <v>0.51759057549999998</v>
      </c>
      <c r="Q19">
        <f ca="1">OFFSET(Baza!$GX17,0,Q$2)</f>
        <v>100</v>
      </c>
      <c r="R19">
        <f ca="1">OFFSET(Baza!$GX17,0,R$2)</f>
        <v>121.7898881</v>
      </c>
      <c r="S19">
        <f ca="1">OFFSET(Baza!$GX17,0,S$2)</f>
        <v>9.5592934609999993</v>
      </c>
      <c r="T19">
        <f ca="1">OFFSET(Baza!$GX17,0,T$2)</f>
        <v>143.44602219999999</v>
      </c>
      <c r="U19" s="6">
        <f t="shared" ca="1" si="2"/>
        <v>1.0316820723697797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85016-74E5-4EA4-B465-1B31CE3FF76E}">
  <dimension ref="A1:W18"/>
  <sheetViews>
    <sheetView workbookViewId="0">
      <selection activeCell="A15" sqref="A15:XFD15"/>
    </sheetView>
  </sheetViews>
  <sheetFormatPr baseColWidth="10" defaultColWidth="8.83203125" defaultRowHeight="15" x14ac:dyDescent="0.2"/>
  <cols>
    <col min="1" max="1" width="11.33203125" bestFit="1" customWidth="1"/>
    <col min="2" max="4" width="12" bestFit="1" customWidth="1"/>
    <col min="5" max="5" width="43.6640625" bestFit="1" customWidth="1"/>
    <col min="6" max="8" width="12" bestFit="1" customWidth="1"/>
    <col min="9" max="9" width="12.6640625" bestFit="1" customWidth="1"/>
    <col min="10" max="10" width="12" bestFit="1" customWidth="1"/>
    <col min="11" max="11" width="45.33203125" bestFit="1" customWidth="1"/>
    <col min="12" max="12" width="12" bestFit="1" customWidth="1"/>
    <col min="13" max="13" width="48.5" bestFit="1" customWidth="1"/>
    <col min="14" max="14" width="26.6640625" bestFit="1" customWidth="1"/>
    <col min="15" max="15" width="44.6640625" bestFit="1" customWidth="1"/>
    <col min="16" max="16" width="12" bestFit="1" customWidth="1"/>
    <col min="17" max="17" width="48.6640625" bestFit="1" customWidth="1"/>
    <col min="18" max="18" width="26.83203125" bestFit="1" customWidth="1"/>
    <col min="19" max="19" width="52.6640625" bestFit="1" customWidth="1"/>
    <col min="20" max="20" width="44.83203125" bestFit="1" customWidth="1"/>
    <col min="21" max="22" width="12" bestFit="1" customWidth="1"/>
  </cols>
  <sheetData>
    <row r="1" spans="1:23" x14ac:dyDescent="0.2">
      <c r="B1" t="str">
        <f>B4</f>
        <v>Rp[Średnia]</v>
      </c>
      <c r="C1" t="str">
        <f t="shared" ref="C1:T1" ca="1" si="0">C4</f>
        <v>Rv[Średnia]</v>
      </c>
      <c r="D1" t="str">
        <f t="shared" ca="1" si="0"/>
        <v>Rz[Średnia]</v>
      </c>
      <c r="E1" t="str">
        <f t="shared" ca="1" si="0"/>
        <v>Rc (Brak uśredniania (pojedyncza wartość))[Średnia]</v>
      </c>
      <c r="F1" t="str">
        <f t="shared" ca="1" si="0"/>
        <v>Rt[Średnia]</v>
      </c>
      <c r="G1" t="str">
        <f t="shared" ca="1" si="0"/>
        <v>Ra[Średnia]</v>
      </c>
      <c r="H1" t="str">
        <f t="shared" ca="1" si="0"/>
        <v>Rq[Średnia]</v>
      </c>
      <c r="I1" t="str">
        <f t="shared" ca="1" si="0"/>
        <v>Rsk[Średnia]</v>
      </c>
      <c r="J1" t="str">
        <f t="shared" ca="1" si="0"/>
        <v>Rku[Średnia]</v>
      </c>
      <c r="K1" t="str">
        <f t="shared" ca="1" si="0"/>
        <v>Rp1max[Średnia]</v>
      </c>
      <c r="L1" t="str">
        <f t="shared" ca="1" si="0"/>
        <v>Rv1max[Średnia]</v>
      </c>
      <c r="M1" t="str">
        <f t="shared" ca="1" si="0"/>
        <v>Rz1max[Średnia]</v>
      </c>
      <c r="N1" t="str">
        <f t="shared" ca="1" si="0"/>
        <v>Rz(n) (Wskaźnik λc = 1)[Średnia]</v>
      </c>
      <c r="O1" t="str">
        <f t="shared" ca="1" si="0"/>
        <v>RSm (Brak uśredniania (pojedyncza wartość))[Średnia]</v>
      </c>
      <c r="P1" t="str">
        <f t="shared" ca="1" si="0"/>
        <v>Rdq[Średnia]</v>
      </c>
      <c r="Q1" t="str">
        <f t="shared" ca="1" si="0"/>
        <v>Rmr (c = 1 µm poniżej najwyższego wypiętrzenia)[Średnia]</v>
      </c>
      <c r="R1" t="str">
        <f t="shared" ca="1" si="0"/>
        <v>Rdc (p = 20%, q = 80%)[Średnia]</v>
      </c>
      <c r="S1" t="str">
        <f t="shared" ca="1" si="0"/>
        <v>Rmr (Rz/4) (c = Rz/4 µm powyżej płaszczyzny średniej)[Średnia]</v>
      </c>
      <c r="T1" t="str">
        <f t="shared" ca="1" si="0"/>
        <v>RPc (Brak uśredniania (pojedyncza wartość))[Średnia]</v>
      </c>
      <c r="U1" t="s">
        <v>275</v>
      </c>
    </row>
    <row r="2" spans="1:23" x14ac:dyDescent="0.2">
      <c r="B2" s="5" t="s">
        <v>274</v>
      </c>
      <c r="C2" s="5">
        <v>4</v>
      </c>
      <c r="D2" s="5">
        <f>C2+4</f>
        <v>8</v>
      </c>
      <c r="E2" s="5">
        <f t="shared" ref="E2:W2" si="1">D2+4</f>
        <v>12</v>
      </c>
      <c r="F2" s="5">
        <f t="shared" si="1"/>
        <v>16</v>
      </c>
      <c r="G2" s="5">
        <f t="shared" si="1"/>
        <v>20</v>
      </c>
      <c r="H2" s="5">
        <f t="shared" si="1"/>
        <v>24</v>
      </c>
      <c r="I2" s="5">
        <f t="shared" si="1"/>
        <v>28</v>
      </c>
      <c r="J2" s="5">
        <f t="shared" si="1"/>
        <v>32</v>
      </c>
      <c r="K2" s="5">
        <f t="shared" si="1"/>
        <v>36</v>
      </c>
      <c r="L2" s="5">
        <f t="shared" si="1"/>
        <v>40</v>
      </c>
      <c r="M2" s="5">
        <f t="shared" si="1"/>
        <v>44</v>
      </c>
      <c r="N2" s="5">
        <f t="shared" si="1"/>
        <v>48</v>
      </c>
      <c r="O2" s="5">
        <f t="shared" si="1"/>
        <v>52</v>
      </c>
      <c r="P2" s="5">
        <f t="shared" si="1"/>
        <v>56</v>
      </c>
      <c r="Q2" s="5">
        <f t="shared" si="1"/>
        <v>60</v>
      </c>
      <c r="R2" s="5">
        <f t="shared" si="1"/>
        <v>64</v>
      </c>
      <c r="S2" s="5">
        <f t="shared" si="1"/>
        <v>68</v>
      </c>
      <c r="T2" s="5">
        <f t="shared" si="1"/>
        <v>72</v>
      </c>
      <c r="U2" s="5">
        <f t="shared" si="1"/>
        <v>76</v>
      </c>
      <c r="V2" s="5">
        <f t="shared" si="1"/>
        <v>80</v>
      </c>
      <c r="W2" s="5">
        <f t="shared" si="1"/>
        <v>84</v>
      </c>
    </row>
    <row r="3" spans="1:23" x14ac:dyDescent="0.2">
      <c r="B3">
        <f>Baza!GX1</f>
        <v>51</v>
      </c>
      <c r="C3">
        <f ca="1">OFFSET(Baza!$GX1,0,C$2)</f>
        <v>51</v>
      </c>
      <c r="D3">
        <f ca="1">OFFSET(Baza!$GX1,0,D$2)</f>
        <v>51</v>
      </c>
      <c r="E3">
        <f ca="1">OFFSET(Baza!$GX1,0,E$2)</f>
        <v>51</v>
      </c>
      <c r="F3">
        <f ca="1">OFFSET(Baza!$GX1,0,F$2)</f>
        <v>51</v>
      </c>
      <c r="G3">
        <f ca="1">OFFSET(Baza!$GX1,0,G$2)</f>
        <v>51</v>
      </c>
      <c r="H3">
        <f ca="1">OFFSET(Baza!$GX1,0,H$2)</f>
        <v>51</v>
      </c>
      <c r="I3">
        <f ca="1">OFFSET(Baza!$GX1,0,I$2)</f>
        <v>51</v>
      </c>
      <c r="J3">
        <f ca="1">OFFSET(Baza!$GX1,0,J$2)</f>
        <v>51</v>
      </c>
      <c r="K3">
        <f ca="1">OFFSET(Baza!$GX1,0,K$2)</f>
        <v>51</v>
      </c>
      <c r="L3">
        <f ca="1">OFFSET(Baza!$GX1,0,L$2)</f>
        <v>51</v>
      </c>
      <c r="M3">
        <f ca="1">OFFSET(Baza!$GX1,0,M$2)</f>
        <v>51</v>
      </c>
      <c r="N3">
        <f ca="1">OFFSET(Baza!$GX1,0,N$2)</f>
        <v>51</v>
      </c>
      <c r="O3">
        <f ca="1">OFFSET(Baza!$GX1,0,O$2)</f>
        <v>51</v>
      </c>
      <c r="P3">
        <f ca="1">OFFSET(Baza!$GX1,0,P$2)</f>
        <v>51</v>
      </c>
      <c r="Q3">
        <f ca="1">OFFSET(Baza!$GX1,0,Q$2)</f>
        <v>51</v>
      </c>
      <c r="R3">
        <f ca="1">OFFSET(Baza!$GX1,0,R$2)</f>
        <v>51</v>
      </c>
      <c r="S3">
        <f ca="1">OFFSET(Baza!$GX1,0,S$2)</f>
        <v>51</v>
      </c>
      <c r="T3">
        <f ca="1">OFFSET(Baza!$GX1,0,T$2)</f>
        <v>51</v>
      </c>
    </row>
    <row r="4" spans="1:23" x14ac:dyDescent="0.2">
      <c r="B4" t="str">
        <f>Baza!GX2</f>
        <v>Rp[Średnia]</v>
      </c>
      <c r="C4" t="str">
        <f ca="1">OFFSET(Baza!$GX2,0,C$2)</f>
        <v>Rv[Średnia]</v>
      </c>
      <c r="D4" t="str">
        <f ca="1">OFFSET(Baza!$GX2,0,D$2)</f>
        <v>Rz[Średnia]</v>
      </c>
      <c r="E4" t="str">
        <f ca="1">OFFSET(Baza!$GX2,0,E$2)</f>
        <v>Rc (Brak uśredniania (pojedyncza wartość))[Średnia]</v>
      </c>
      <c r="F4" t="str">
        <f ca="1">OFFSET(Baza!$GX2,0,F$2)</f>
        <v>Rt[Średnia]</v>
      </c>
      <c r="G4" t="str">
        <f ca="1">OFFSET(Baza!$GX2,0,G$2)</f>
        <v>Ra[Średnia]</v>
      </c>
      <c r="H4" t="str">
        <f ca="1">OFFSET(Baza!$GX2,0,H$2)</f>
        <v>Rq[Średnia]</v>
      </c>
      <c r="I4" t="str">
        <f ca="1">OFFSET(Baza!$GX2,0,I$2)</f>
        <v>Rsk[Średnia]</v>
      </c>
      <c r="J4" t="str">
        <f ca="1">OFFSET(Baza!$GX2,0,J$2)</f>
        <v>Rku[Średnia]</v>
      </c>
      <c r="K4" t="str">
        <f ca="1">OFFSET(Baza!$GX2,0,K$2)</f>
        <v>Rp1max[Średnia]</v>
      </c>
      <c r="L4" t="str">
        <f ca="1">OFFSET(Baza!$GX2,0,L$2)</f>
        <v>Rv1max[Średnia]</v>
      </c>
      <c r="M4" t="str">
        <f ca="1">OFFSET(Baza!$GX2,0,M$2)</f>
        <v>Rz1max[Średnia]</v>
      </c>
      <c r="N4" t="str">
        <f ca="1">OFFSET(Baza!$GX2,0,N$2)</f>
        <v>Rz(n) (Wskaźnik λc = 1)[Średnia]</v>
      </c>
      <c r="O4" t="str">
        <f ca="1">OFFSET(Baza!$GX2,0,O$2)</f>
        <v>RSm (Brak uśredniania (pojedyncza wartość))[Średnia]</v>
      </c>
      <c r="P4" t="str">
        <f ca="1">OFFSET(Baza!$GX2,0,P$2)</f>
        <v>Rdq[Średnia]</v>
      </c>
      <c r="Q4" t="str">
        <f ca="1">OFFSET(Baza!$GX2,0,Q$2)</f>
        <v>Rmr (c = 1 µm poniżej najwyższego wypiętrzenia)[Średnia]</v>
      </c>
      <c r="R4" t="str">
        <f ca="1">OFFSET(Baza!$GX2,0,R$2)</f>
        <v>Rdc (p = 20%, q = 80%)[Średnia]</v>
      </c>
      <c r="S4" t="str">
        <f ca="1">OFFSET(Baza!$GX2,0,S$2)</f>
        <v>Rmr (Rz/4) (c = Rz/4 µm powyżej płaszczyzny średniej)[Średnia]</v>
      </c>
      <c r="T4" t="str">
        <f ca="1">OFFSET(Baza!$GX2,0,T$2)</f>
        <v>RPc (Brak uśredniania (pojedyncza wartość))[Średnia]</v>
      </c>
    </row>
    <row r="5" spans="1:23" x14ac:dyDescent="0.2">
      <c r="B5" t="str">
        <f>Baza!GX3</f>
        <v>µm</v>
      </c>
      <c r="C5" t="str">
        <f ca="1">OFFSET(Baza!$GX3,0,C$2)</f>
        <v>µm</v>
      </c>
      <c r="D5" t="str">
        <f ca="1">OFFSET(Baza!$GX3,0,D$2)</f>
        <v>µm</v>
      </c>
      <c r="E5" t="str">
        <f ca="1">OFFSET(Baza!$GX3,0,E$2)</f>
        <v>µm</v>
      </c>
      <c r="F5" t="str">
        <f ca="1">OFFSET(Baza!$GX3,0,F$2)</f>
        <v>µm</v>
      </c>
      <c r="G5" t="str">
        <f ca="1">OFFSET(Baza!$GX3,0,G$2)</f>
        <v>µm</v>
      </c>
      <c r="H5" t="str">
        <f ca="1">OFFSET(Baza!$GX3,0,H$2)</f>
        <v>µm</v>
      </c>
      <c r="I5" t="str">
        <f ca="1">OFFSET(Baza!$GX3,0,I$2)</f>
        <v>&lt;no unit&gt;</v>
      </c>
      <c r="J5" t="str">
        <f ca="1">OFFSET(Baza!$GX3,0,J$2)</f>
        <v>&lt;no unit&gt;</v>
      </c>
      <c r="K5" t="str">
        <f ca="1">OFFSET(Baza!$GX3,0,K$2)</f>
        <v>µm</v>
      </c>
      <c r="L5" t="str">
        <f ca="1">OFFSET(Baza!$GX3,0,L$2)</f>
        <v>µm</v>
      </c>
      <c r="M5" t="str">
        <f ca="1">OFFSET(Baza!$GX3,0,M$2)</f>
        <v>µm</v>
      </c>
      <c r="N5" t="str">
        <f ca="1">OFFSET(Baza!$GX3,0,N$2)</f>
        <v>µm</v>
      </c>
      <c r="O5" t="str">
        <f ca="1">OFFSET(Baza!$GX3,0,O$2)</f>
        <v>mm</v>
      </c>
      <c r="P5" t="str">
        <f ca="1">OFFSET(Baza!$GX3,0,P$2)</f>
        <v>°</v>
      </c>
      <c r="Q5" t="str">
        <f ca="1">OFFSET(Baza!$GX3,0,Q$2)</f>
        <v>%</v>
      </c>
      <c r="R5" t="str">
        <f ca="1">OFFSET(Baza!$GX3,0,R$2)</f>
        <v>µm</v>
      </c>
      <c r="S5" t="str">
        <f ca="1">OFFSET(Baza!$GX3,0,S$2)</f>
        <v>%</v>
      </c>
      <c r="T5" t="str">
        <f ca="1">OFFSET(Baza!$GX3,0,T$2)</f>
        <v>1/cm</v>
      </c>
    </row>
    <row r="6" spans="1:23" x14ac:dyDescent="0.2">
      <c r="A6" s="1" t="s">
        <v>245</v>
      </c>
      <c r="B6">
        <f>Baza!GX4</f>
        <v>0.4630807414</v>
      </c>
      <c r="C6">
        <f ca="1">OFFSET(Baza!$GX4,0,C$2)</f>
        <v>0.5187361492</v>
      </c>
      <c r="D6">
        <f ca="1">OFFSET(Baza!$GX4,0,D$2)</f>
        <v>0.98181689059999999</v>
      </c>
      <c r="E6">
        <f ca="1">OFFSET(Baza!$GX4,0,E$2)</f>
        <v>0.409482175</v>
      </c>
      <c r="F6">
        <f ca="1">OFFSET(Baza!$GX4,0,F$2)</f>
        <v>1.2362436189999999</v>
      </c>
      <c r="G6">
        <f ca="1">OFFSET(Baza!$GX4,0,G$2)</f>
        <v>0.12939248149999999</v>
      </c>
      <c r="H6">
        <f ca="1">OFFSET(Baza!$GX4,0,H$2)</f>
        <v>0.16457487509999999</v>
      </c>
      <c r="I6">
        <f ca="1">OFFSET(Baza!$GX4,0,I$2)</f>
        <v>-0.21042035670000001</v>
      </c>
      <c r="J6">
        <f ca="1">OFFSET(Baza!$GX4,0,J$2)</f>
        <v>3.3563250779999998</v>
      </c>
      <c r="K6">
        <f ca="1">OFFSET(Baza!$GX4,0,K$2)</f>
        <v>0.5971963294</v>
      </c>
      <c r="L6">
        <f ca="1">OFFSET(Baza!$GX4,0,L$2)</f>
        <v>0.63904728980000003</v>
      </c>
      <c r="M6">
        <f ca="1">OFFSET(Baza!$GX4,0,M$2)</f>
        <v>1.1552208509999999</v>
      </c>
      <c r="N6">
        <f ca="1">OFFSET(Baza!$GX4,0,N$2)</f>
        <v>1.019140749</v>
      </c>
      <c r="O6">
        <f ca="1">OFFSET(Baza!$GX4,0,O$2)</f>
        <v>3.5082466499999999E-2</v>
      </c>
      <c r="P6">
        <f ca="1">OFFSET(Baza!$GX4,0,P$2)</f>
        <v>2.542653059</v>
      </c>
      <c r="Q6">
        <f ca="1">OFFSET(Baza!$GX4,0,Q$2)</f>
        <v>96.977594370000006</v>
      </c>
      <c r="R6">
        <f ca="1">OFFSET(Baza!$GX4,0,R$2)</f>
        <v>0.26524757669999999</v>
      </c>
      <c r="S6">
        <f ca="1">OFFSET(Baza!$GX4,0,S$2)</f>
        <v>5.9483410860000001</v>
      </c>
      <c r="T6">
        <f ca="1">OFFSET(Baza!$GX4,0,T$2)</f>
        <v>319.30065619999999</v>
      </c>
      <c r="U6" s="6">
        <f ca="1">B6/C6</f>
        <v>0.89270960220175066</v>
      </c>
    </row>
    <row r="7" spans="1:23" x14ac:dyDescent="0.2">
      <c r="A7" s="1" t="s">
        <v>246</v>
      </c>
      <c r="B7">
        <f>Baza!GX5</f>
        <v>0.53423231400000004</v>
      </c>
      <c r="C7">
        <f ca="1">OFFSET(Baza!$GX5,0,C$2)</f>
        <v>0.61587945820000001</v>
      </c>
      <c r="D7">
        <f ca="1">OFFSET(Baza!$GX5,0,D$2)</f>
        <v>1.150111772</v>
      </c>
      <c r="E7">
        <f ca="1">OFFSET(Baza!$GX5,0,E$2)</f>
        <v>0.47699086709999999</v>
      </c>
      <c r="F7">
        <f ca="1">OFFSET(Baza!$GX5,0,F$2)</f>
        <v>1.438323432</v>
      </c>
      <c r="G7">
        <f ca="1">OFFSET(Baza!$GX5,0,G$2)</f>
        <v>0.14889260300000001</v>
      </c>
      <c r="H7">
        <f ca="1">OFFSET(Baza!$GX5,0,H$2)</f>
        <v>0.19067421530000001</v>
      </c>
      <c r="I7">
        <f ca="1">OFFSET(Baza!$GX5,0,I$2)</f>
        <v>-0.2273326527</v>
      </c>
      <c r="J7">
        <f ca="1">OFFSET(Baza!$GX5,0,J$2)</f>
        <v>3.5202407149999999</v>
      </c>
      <c r="K7">
        <f ca="1">OFFSET(Baza!$GX5,0,K$2)</f>
        <v>0.6895701501</v>
      </c>
      <c r="L7">
        <f ca="1">OFFSET(Baza!$GX5,0,L$2)</f>
        <v>0.74875328149999998</v>
      </c>
      <c r="M7">
        <f ca="1">OFFSET(Baza!$GX5,0,M$2)</f>
        <v>1.3574289470000001</v>
      </c>
      <c r="N7">
        <f ca="1">OFFSET(Baza!$GX5,0,N$2)</f>
        <v>1.237964737</v>
      </c>
      <c r="O7">
        <f ca="1">OFFSET(Baza!$GX5,0,O$2)</f>
        <v>3.3579226109999999E-2</v>
      </c>
      <c r="P7">
        <f ca="1">OFFSET(Baza!$GX5,0,P$2)</f>
        <v>2.7236924629999999</v>
      </c>
      <c r="Q7">
        <f ca="1">OFFSET(Baza!$GX5,0,Q$2)</f>
        <v>91.173287819999999</v>
      </c>
      <c r="R7">
        <f ca="1">OFFSET(Baza!$GX5,0,R$2)</f>
        <v>0.30189424450000002</v>
      </c>
      <c r="S7">
        <f ca="1">OFFSET(Baza!$GX5,0,S$2)</f>
        <v>5.8046362870000001</v>
      </c>
      <c r="T7">
        <f ca="1">OFFSET(Baza!$GX5,0,T$2)</f>
        <v>299.04954199999997</v>
      </c>
      <c r="U7" s="6">
        <f t="shared" ref="U7:U18" ca="1" si="2">B7/C7</f>
        <v>0.86742999281283717</v>
      </c>
    </row>
    <row r="8" spans="1:23" x14ac:dyDescent="0.2">
      <c r="A8" s="1" t="s">
        <v>247</v>
      </c>
      <c r="B8">
        <f>Baza!GX6</f>
        <v>0.6491829053</v>
      </c>
      <c r="C8">
        <f ca="1">OFFSET(Baza!$GX6,0,C$2)</f>
        <v>0.75853484510000002</v>
      </c>
      <c r="D8">
        <f ca="1">OFFSET(Baza!$GX6,0,D$2)</f>
        <v>1.40771775</v>
      </c>
      <c r="E8">
        <f ca="1">OFFSET(Baza!$GX6,0,E$2)</f>
        <v>0.58246262660000003</v>
      </c>
      <c r="F8">
        <f ca="1">OFFSET(Baza!$GX6,0,F$2)</f>
        <v>1.7359030470000001</v>
      </c>
      <c r="G8">
        <f ca="1">OFFSET(Baza!$GX6,0,G$2)</f>
        <v>0.18030976060000001</v>
      </c>
      <c r="H8">
        <f ca="1">OFFSET(Baza!$GX6,0,H$2)</f>
        <v>0.23236172899999999</v>
      </c>
      <c r="I8">
        <f ca="1">OFFSET(Baza!$GX6,0,I$2)</f>
        <v>-0.2052461257</v>
      </c>
      <c r="J8">
        <f ca="1">OFFSET(Baza!$GX6,0,J$2)</f>
        <v>3.6077235509999999</v>
      </c>
      <c r="K8">
        <f ca="1">OFFSET(Baza!$GX6,0,K$2)</f>
        <v>0.82491950300000005</v>
      </c>
      <c r="L8">
        <f ca="1">OFFSET(Baza!$GX6,0,L$2)</f>
        <v>0.91098354439999996</v>
      </c>
      <c r="M8">
        <f ca="1">OFFSET(Baza!$GX6,0,M$2)</f>
        <v>1.6427280369999999</v>
      </c>
      <c r="N8">
        <f ca="1">OFFSET(Baza!$GX6,0,N$2)</f>
        <v>1.515494205</v>
      </c>
      <c r="O8">
        <f ca="1">OFFSET(Baza!$GX6,0,O$2)</f>
        <v>3.1649745899999998E-2</v>
      </c>
      <c r="P8">
        <f ca="1">OFFSET(Baza!$GX6,0,P$2)</f>
        <v>3.4735336650000002</v>
      </c>
      <c r="Q8">
        <f ca="1">OFFSET(Baza!$GX6,0,Q$2)</f>
        <v>75.985370509999996</v>
      </c>
      <c r="R8">
        <f ca="1">OFFSET(Baza!$GX6,0,R$2)</f>
        <v>0.36056731009999998</v>
      </c>
      <c r="S8">
        <f ca="1">OFFSET(Baza!$GX6,0,S$2)</f>
        <v>5.9801707400000002</v>
      </c>
      <c r="T8">
        <f ca="1">OFFSET(Baza!$GX6,0,T$2)</f>
        <v>317.68101669999999</v>
      </c>
      <c r="U8" s="6">
        <f t="shared" ca="1" si="2"/>
        <v>0.85583794797774415</v>
      </c>
    </row>
    <row r="9" spans="1:23" x14ac:dyDescent="0.2">
      <c r="A9" s="1" t="s">
        <v>248</v>
      </c>
      <c r="B9">
        <f>Baza!GX7</f>
        <v>0.59135679159999999</v>
      </c>
      <c r="C9">
        <f ca="1">OFFSET(Baza!$GX7,0,C$2)</f>
        <v>0.64668368030000001</v>
      </c>
      <c r="D9">
        <f ca="1">OFFSET(Baza!$GX7,0,D$2)</f>
        <v>1.238040472</v>
      </c>
      <c r="E9">
        <f ca="1">OFFSET(Baza!$GX7,0,E$2)</f>
        <v>0.49690394100000002</v>
      </c>
      <c r="F9">
        <f ca="1">OFFSET(Baza!$GX7,0,F$2)</f>
        <v>1.503561267</v>
      </c>
      <c r="G9">
        <f ca="1">OFFSET(Baza!$GX7,0,G$2)</f>
        <v>0.15454886100000001</v>
      </c>
      <c r="H9">
        <f ca="1">OFFSET(Baza!$GX7,0,H$2)</f>
        <v>0.19810056140000001</v>
      </c>
      <c r="I9">
        <f ca="1">OFFSET(Baza!$GX7,0,I$2)</f>
        <v>-0.225964894</v>
      </c>
      <c r="J9">
        <f ca="1">OFFSET(Baza!$GX7,0,J$2)</f>
        <v>3.5209402120000002</v>
      </c>
      <c r="K9">
        <f ca="1">OFFSET(Baza!$GX7,0,K$2)</f>
        <v>0.72817791710000002</v>
      </c>
      <c r="L9">
        <f ca="1">OFFSET(Baza!$GX7,0,L$2)</f>
        <v>0.77538334959999999</v>
      </c>
      <c r="M9">
        <f ca="1">OFFSET(Baza!$GX7,0,M$2)</f>
        <v>1.4082382</v>
      </c>
      <c r="N9">
        <f ca="1">OFFSET(Baza!$GX7,0,N$2)</f>
        <v>1.277613382</v>
      </c>
      <c r="O9">
        <f ca="1">OFFSET(Baza!$GX7,0,O$2)</f>
        <v>2.78150666E-2</v>
      </c>
      <c r="P9">
        <f ca="1">OFFSET(Baza!$GX7,0,P$2)</f>
        <v>3.9225049319999998</v>
      </c>
      <c r="Q9">
        <f ca="1">OFFSET(Baza!$GX7,0,Q$2)</f>
        <v>88.115921950000001</v>
      </c>
      <c r="R9">
        <f ca="1">OFFSET(Baza!$GX7,0,R$2)</f>
        <v>0.31402341030000003</v>
      </c>
      <c r="S9">
        <f ca="1">OFFSET(Baza!$GX7,0,S$2)</f>
        <v>5.0968334479999999</v>
      </c>
      <c r="T9">
        <f ca="1">OFFSET(Baza!$GX7,0,T$2)</f>
        <v>407.92337470000001</v>
      </c>
      <c r="U9" s="6">
        <f t="shared" ca="1" si="2"/>
        <v>0.91444520654312234</v>
      </c>
    </row>
    <row r="10" spans="1:23" x14ac:dyDescent="0.2">
      <c r="A10" s="1" t="s">
        <v>249</v>
      </c>
      <c r="B10">
        <f>Baza!GX8</f>
        <v>0.61867134859999995</v>
      </c>
      <c r="C10">
        <f ca="1">OFFSET(Baza!$GX8,0,C$2)</f>
        <v>0.75678920620000001</v>
      </c>
      <c r="D10">
        <f ca="1">OFFSET(Baza!$GX8,0,D$2)</f>
        <v>1.3754605550000001</v>
      </c>
      <c r="E10">
        <f ca="1">OFFSET(Baza!$GX8,0,E$2)</f>
        <v>0.55583292620000002</v>
      </c>
      <c r="F10">
        <f ca="1">OFFSET(Baza!$GX8,0,F$2)</f>
        <v>1.6781693580000001</v>
      </c>
      <c r="G10">
        <f ca="1">OFFSET(Baza!$GX8,0,G$2)</f>
        <v>0.16999372530000001</v>
      </c>
      <c r="H10">
        <f ca="1">OFFSET(Baza!$GX8,0,H$2)</f>
        <v>0.21977102339999999</v>
      </c>
      <c r="I10">
        <f ca="1">OFFSET(Baza!$GX8,0,I$2)</f>
        <v>-0.3410845569</v>
      </c>
      <c r="J10">
        <f ca="1">OFFSET(Baza!$GX8,0,J$2)</f>
        <v>3.739247207</v>
      </c>
      <c r="K10">
        <f ca="1">OFFSET(Baza!$GX8,0,K$2)</f>
        <v>0.77362371259999996</v>
      </c>
      <c r="L10">
        <f ca="1">OFFSET(Baza!$GX8,0,L$2)</f>
        <v>0.90454564530000003</v>
      </c>
      <c r="M10">
        <f ca="1">OFFSET(Baza!$GX8,0,M$2)</f>
        <v>1.5780401260000001</v>
      </c>
      <c r="N10">
        <f ca="1">OFFSET(Baza!$GX8,0,N$2)</f>
        <v>1.4545387160000001</v>
      </c>
      <c r="O10">
        <f ca="1">OFFSET(Baza!$GX8,0,O$2)</f>
        <v>2.7338086679999998E-2</v>
      </c>
      <c r="P10">
        <f ca="1">OFFSET(Baza!$GX8,0,P$2)</f>
        <v>3.964417128</v>
      </c>
      <c r="Q10">
        <f ca="1">OFFSET(Baza!$GX8,0,Q$2)</f>
        <v>82.548828439999994</v>
      </c>
      <c r="R10">
        <f ca="1">OFFSET(Baza!$GX8,0,R$2)</f>
        <v>0.34032240050000001</v>
      </c>
      <c r="S10">
        <f ca="1">OFFSET(Baza!$GX8,0,S$2)</f>
        <v>4.8172232839999998</v>
      </c>
      <c r="T10">
        <f ca="1">OFFSET(Baza!$GX8,0,T$2)</f>
        <v>367.48994090000002</v>
      </c>
      <c r="U10" s="6">
        <f t="shared" ca="1" si="2"/>
        <v>0.81749494249063182</v>
      </c>
    </row>
    <row r="11" spans="1:23" x14ac:dyDescent="0.2">
      <c r="A11" s="1" t="s">
        <v>250</v>
      </c>
      <c r="B11">
        <f>Baza!GX9</f>
        <v>0.73990731279999999</v>
      </c>
      <c r="C11">
        <f ca="1">OFFSET(Baza!$GX9,0,C$2)</f>
        <v>0.9626324557</v>
      </c>
      <c r="D11">
        <f ca="1">OFFSET(Baza!$GX9,0,D$2)</f>
        <v>1.7025397680000001</v>
      </c>
      <c r="E11">
        <f ca="1">OFFSET(Baza!$GX9,0,E$2)</f>
        <v>0.68926344350000002</v>
      </c>
      <c r="F11">
        <f ca="1">OFFSET(Baza!$GX9,0,F$2)</f>
        <v>2.0451518210000001</v>
      </c>
      <c r="G11">
        <f ca="1">OFFSET(Baza!$GX9,0,G$2)</f>
        <v>0.2082442863</v>
      </c>
      <c r="H11">
        <f ca="1">OFFSET(Baza!$GX9,0,H$2)</f>
        <v>0.27150736110000001</v>
      </c>
      <c r="I11">
        <f ca="1">OFFSET(Baza!$GX9,0,I$2)</f>
        <v>-0.39305192119999999</v>
      </c>
      <c r="J11">
        <f ca="1">OFFSET(Baza!$GX9,0,J$2)</f>
        <v>3.9046961050000002</v>
      </c>
      <c r="K11">
        <f ca="1">OFFSET(Baza!$GX9,0,K$2)</f>
        <v>0.91698560070000001</v>
      </c>
      <c r="L11">
        <f ca="1">OFFSET(Baza!$GX9,0,L$2)</f>
        <v>1.12816622</v>
      </c>
      <c r="M11">
        <f ca="1">OFFSET(Baza!$GX9,0,M$2)</f>
        <v>1.941504468</v>
      </c>
      <c r="N11">
        <f ca="1">OFFSET(Baza!$GX9,0,N$2)</f>
        <v>1.8063754839999999</v>
      </c>
      <c r="O11">
        <f ca="1">OFFSET(Baza!$GX9,0,O$2)</f>
        <v>2.6229134679999998E-2</v>
      </c>
      <c r="P11">
        <f ca="1">OFFSET(Baza!$GX9,0,P$2)</f>
        <v>5.0219325970000002</v>
      </c>
      <c r="Q11">
        <f ca="1">OFFSET(Baza!$GX9,0,Q$2)</f>
        <v>63.642032559999997</v>
      </c>
      <c r="R11">
        <f ca="1">OFFSET(Baza!$GX9,0,R$2)</f>
        <v>0.4103739032</v>
      </c>
      <c r="S11">
        <f ca="1">OFFSET(Baza!$GX9,0,S$2)</f>
        <v>4.936658102</v>
      </c>
      <c r="T11">
        <f ca="1">OFFSET(Baza!$GX9,0,T$2)</f>
        <v>383.35919180000002</v>
      </c>
      <c r="U11" s="6">
        <f t="shared" ca="1" si="2"/>
        <v>0.76862909454051143</v>
      </c>
    </row>
    <row r="12" spans="1:23" x14ac:dyDescent="0.2">
      <c r="A12" s="1" t="s">
        <v>251</v>
      </c>
      <c r="B12">
        <f>Baza!GX10</f>
        <v>0.56915387780000004</v>
      </c>
      <c r="C12">
        <f ca="1">OFFSET(Baza!$GX10,0,C$2)</f>
        <v>0.88732812719999998</v>
      </c>
      <c r="D12">
        <f ca="1">OFFSET(Baza!$GX10,0,D$2)</f>
        <v>1.456482005</v>
      </c>
      <c r="E12">
        <f ca="1">OFFSET(Baza!$GX10,0,E$2)</f>
        <v>0.65438584119999998</v>
      </c>
      <c r="F12">
        <f ca="1">OFFSET(Baza!$GX10,0,F$2)</f>
        <v>1.957253111</v>
      </c>
      <c r="G12">
        <f ca="1">OFFSET(Baza!$GX10,0,G$2)</f>
        <v>0.2158028823</v>
      </c>
      <c r="H12">
        <f ca="1">OFFSET(Baza!$GX10,0,H$2)</f>
        <v>0.27277903040000001</v>
      </c>
      <c r="I12">
        <f ca="1">OFFSET(Baza!$GX10,0,I$2)</f>
        <v>-0.63456143769999995</v>
      </c>
      <c r="J12">
        <f ca="1">OFFSET(Baza!$GX10,0,J$2)</f>
        <v>3.5479335679999999</v>
      </c>
      <c r="K12">
        <f ca="1">OFFSET(Baza!$GX10,0,K$2)</f>
        <v>0.77082091959999999</v>
      </c>
      <c r="L12">
        <f ca="1">OFFSET(Baza!$GX10,0,L$2)</f>
        <v>1.1864321920000001</v>
      </c>
      <c r="M12">
        <f ca="1">OFFSET(Baza!$GX10,0,M$2)</f>
        <v>1.8294672919999999</v>
      </c>
      <c r="N12">
        <f ca="1">OFFSET(Baza!$GX10,0,N$2)</f>
        <v>1.5888104679999999</v>
      </c>
      <c r="O12">
        <f ca="1">OFFSET(Baza!$GX10,0,O$2)</f>
        <v>6.2709111420000005E-2</v>
      </c>
      <c r="P12">
        <f ca="1">OFFSET(Baza!$GX10,0,P$2)</f>
        <v>2.0873013519999999</v>
      </c>
      <c r="Q12">
        <f ca="1">OFFSET(Baza!$GX10,0,Q$2)</f>
        <v>77.185257129999997</v>
      </c>
      <c r="R12">
        <f ca="1">OFFSET(Baza!$GX10,0,R$2)</f>
        <v>0.44343150539999998</v>
      </c>
      <c r="S12">
        <f ca="1">OFFSET(Baza!$GX10,0,S$2)</f>
        <v>6.1301085869999996</v>
      </c>
      <c r="T12">
        <f ca="1">OFFSET(Baza!$GX10,0,T$2)</f>
        <v>167.040538</v>
      </c>
      <c r="U12" s="6">
        <f t="shared" ca="1" si="2"/>
        <v>0.6414243619166996</v>
      </c>
    </row>
    <row r="13" spans="1:23" x14ac:dyDescent="0.2">
      <c r="A13" s="1" t="s">
        <v>252</v>
      </c>
      <c r="B13">
        <f>Baza!GX11</f>
        <v>0.40034756030000002</v>
      </c>
      <c r="C13">
        <f ca="1">OFFSET(Baza!$GX11,0,C$2)</f>
        <v>0.41137434719999999</v>
      </c>
      <c r="D13">
        <f ca="1">OFFSET(Baza!$GX11,0,D$2)</f>
        <v>0.81172190749999995</v>
      </c>
      <c r="E13">
        <f ca="1">OFFSET(Baza!$GX11,0,E$2)</f>
        <v>0.36186356660000002</v>
      </c>
      <c r="F13">
        <f ca="1">OFFSET(Baza!$GX11,0,F$2)</f>
        <v>1.0858585679999999</v>
      </c>
      <c r="G13">
        <f ca="1">OFFSET(Baza!$GX11,0,G$2)</f>
        <v>0.1156063692</v>
      </c>
      <c r="H13">
        <f ca="1">OFFSET(Baza!$GX11,0,H$2)</f>
        <v>0.14627253339999999</v>
      </c>
      <c r="I13">
        <f ca="1">OFFSET(Baza!$GX11,0,I$2)</f>
        <v>-3.4352364679999997E-2</v>
      </c>
      <c r="J13">
        <f ca="1">OFFSET(Baza!$GX11,0,J$2)</f>
        <v>3.3126512309999998</v>
      </c>
      <c r="K13">
        <f ca="1">OFFSET(Baza!$GX11,0,K$2)</f>
        <v>0.54580247609999999</v>
      </c>
      <c r="L13">
        <f ca="1">OFFSET(Baza!$GX11,0,L$2)</f>
        <v>0.54005609229999996</v>
      </c>
      <c r="M13">
        <f ca="1">OFFSET(Baza!$GX11,0,M$2)</f>
        <v>1.0154219950000001</v>
      </c>
      <c r="N13">
        <f ca="1">OFFSET(Baza!$GX11,0,N$2)</f>
        <v>0.90485919999999997</v>
      </c>
      <c r="O13">
        <f ca="1">OFFSET(Baza!$GX11,0,O$2)</f>
        <v>5.8591627610000002E-2</v>
      </c>
      <c r="P13">
        <f ca="1">OFFSET(Baza!$GX11,0,P$2)</f>
        <v>1.1501457049999999</v>
      </c>
      <c r="Q13">
        <f ca="1">OFFSET(Baza!$GX11,0,Q$2)</f>
        <v>97.68300404</v>
      </c>
      <c r="R13">
        <f ca="1">OFFSET(Baza!$GX11,0,R$2)</f>
        <v>0.23840958579999999</v>
      </c>
      <c r="S13">
        <f ca="1">OFFSET(Baza!$GX11,0,S$2)</f>
        <v>7.8562163859999998</v>
      </c>
      <c r="T13">
        <f ca="1">OFFSET(Baza!$GX11,0,T$2)</f>
        <v>171.68667719999999</v>
      </c>
      <c r="U13" s="6">
        <f t="shared" ca="1" si="2"/>
        <v>0.97319524910813404</v>
      </c>
    </row>
    <row r="14" spans="1:23" x14ac:dyDescent="0.2">
      <c r="A14" s="1" t="s">
        <v>253</v>
      </c>
      <c r="B14">
        <f>Baza!GX12</f>
        <v>0.53071209829999999</v>
      </c>
      <c r="C14">
        <f ca="1">OFFSET(Baza!$GX12,0,C$2)</f>
        <v>0.45732753250000002</v>
      </c>
      <c r="D14">
        <f ca="1">OFFSET(Baza!$GX12,0,D$2)</f>
        <v>0.98803963080000001</v>
      </c>
      <c r="E14">
        <f ca="1">OFFSET(Baza!$GX12,0,E$2)</f>
        <v>0.45024708540000002</v>
      </c>
      <c r="F14">
        <f ca="1">OFFSET(Baza!$GX12,0,F$2)</f>
        <v>1.3154890420000001</v>
      </c>
      <c r="G14">
        <f ca="1">OFFSET(Baza!$GX12,0,G$2)</f>
        <v>0.14335094910000001</v>
      </c>
      <c r="H14">
        <f ca="1">OFFSET(Baza!$GX12,0,H$2)</f>
        <v>0.18128161849999999</v>
      </c>
      <c r="I14">
        <f ca="1">OFFSET(Baza!$GX12,0,I$2)</f>
        <v>0.2002989728</v>
      </c>
      <c r="J14">
        <f ca="1">OFFSET(Baza!$GX12,0,J$2)</f>
        <v>3.302610321</v>
      </c>
      <c r="K14">
        <f ca="1">OFFSET(Baza!$GX12,0,K$2)</f>
        <v>0.71294576750000005</v>
      </c>
      <c r="L14">
        <f ca="1">OFFSET(Baza!$GX12,0,L$2)</f>
        <v>0.60254327460000001</v>
      </c>
      <c r="M14">
        <f ca="1">OFFSET(Baza!$GX12,0,M$2)</f>
        <v>1.2428996839999999</v>
      </c>
      <c r="N14">
        <f ca="1">OFFSET(Baza!$GX12,0,N$2)</f>
        <v>1.098217837</v>
      </c>
      <c r="O14">
        <f ca="1">OFFSET(Baza!$GX12,0,O$2)</f>
        <v>6.0484864690000001E-2</v>
      </c>
      <c r="P14">
        <f ca="1">OFFSET(Baza!$GX12,0,P$2)</f>
        <v>1.370833602</v>
      </c>
      <c r="Q14">
        <f ca="1">OFFSET(Baza!$GX12,0,Q$2)</f>
        <v>87.688733389999996</v>
      </c>
      <c r="R14">
        <f ca="1">OFFSET(Baza!$GX12,0,R$2)</f>
        <v>0.29425943719999997</v>
      </c>
      <c r="S14">
        <f ca="1">OFFSET(Baza!$GX12,0,S$2)</f>
        <v>8.7906669639999997</v>
      </c>
      <c r="T14">
        <f ca="1">OFFSET(Baza!$GX12,0,T$2)</f>
        <v>166.2940692</v>
      </c>
      <c r="U14" s="6">
        <f t="shared" ca="1" si="2"/>
        <v>1.160463913901794</v>
      </c>
    </row>
    <row r="15" spans="1:23" s="5" customFormat="1" x14ac:dyDescent="0.2">
      <c r="A15" s="7" t="s">
        <v>257</v>
      </c>
      <c r="B15" s="5">
        <f>Baza!GX14</f>
        <v>1.3204449709999999</v>
      </c>
      <c r="C15" s="5">
        <f ca="1">OFFSET(Baza!$GX14,0,C$2)</f>
        <v>1.219084405</v>
      </c>
      <c r="D15" s="5">
        <f ca="1">OFFSET(Baza!$GX14,0,D$2)</f>
        <v>2.5395293759999999</v>
      </c>
      <c r="E15" s="5">
        <f ca="1">OFFSET(Baza!$GX14,0,E$2)</f>
        <v>1.2887875200000001</v>
      </c>
      <c r="F15" s="5">
        <f ca="1">OFFSET(Baza!$GX14,0,F$2)</f>
        <v>2.9413911050000001</v>
      </c>
      <c r="G15" s="5">
        <f ca="1">OFFSET(Baza!$GX14,0,G$2)</f>
        <v>0.39515995840000001</v>
      </c>
      <c r="H15" s="5">
        <f ca="1">OFFSET(Baza!$GX14,0,H$2)</f>
        <v>0.48938941749999998</v>
      </c>
      <c r="I15" s="5">
        <f ca="1">OFFSET(Baza!$GX14,0,I$2)</f>
        <v>8.2627983079999995E-2</v>
      </c>
      <c r="J15" s="5">
        <f ca="1">OFFSET(Baza!$GX14,0,J$2)</f>
        <v>2.8460954589999998</v>
      </c>
      <c r="K15" s="5">
        <f ca="1">OFFSET(Baza!$GX14,0,K$2)</f>
        <v>1.537606926</v>
      </c>
      <c r="L15" s="5">
        <f ca="1">OFFSET(Baza!$GX14,0,L$2)</f>
        <v>1.4037841790000001</v>
      </c>
      <c r="M15" s="5">
        <f ca="1">OFFSET(Baza!$GX14,0,M$2)</f>
        <v>2.8291444210000001</v>
      </c>
      <c r="N15" s="5">
        <f ca="1">OFFSET(Baza!$GX14,0,N$2)</f>
        <v>2.536744632</v>
      </c>
      <c r="O15" s="5">
        <f ca="1">OFFSET(Baza!$GX14,0,O$2)</f>
        <v>4.1328401760000001E-2</v>
      </c>
      <c r="P15" s="5">
        <f ca="1">OFFSET(Baza!$GX14,0,P$2)</f>
        <v>8.3986231549999992</v>
      </c>
      <c r="Q15" s="5">
        <f ca="1">OFFSET(Baza!$GX14,0,Q$2)</f>
        <v>14.99636488</v>
      </c>
      <c r="R15" s="5">
        <f ca="1">OFFSET(Baza!$GX14,0,R$2)</f>
        <v>0.83972755730000004</v>
      </c>
      <c r="S15" s="5">
        <f ca="1">OFFSET(Baza!$GX14,0,S$2)</f>
        <v>10.19053587</v>
      </c>
      <c r="T15" s="5">
        <f ca="1">OFFSET(Baza!$GX14,0,T$2)</f>
        <v>243.9715717</v>
      </c>
      <c r="U15" s="8">
        <f t="shared" ca="1" si="2"/>
        <v>1.0831448303204239</v>
      </c>
    </row>
    <row r="16" spans="1:23" x14ac:dyDescent="0.2">
      <c r="A16" s="1" t="s">
        <v>255</v>
      </c>
      <c r="B16">
        <f>Baza!GX15</f>
        <v>206.8160178</v>
      </c>
      <c r="C16">
        <f ca="1">OFFSET(Baza!$GX15,0,C$2)</f>
        <v>193.46137540000001</v>
      </c>
      <c r="D16">
        <f ca="1">OFFSET(Baza!$GX15,0,D$2)</f>
        <v>400.27739320000001</v>
      </c>
      <c r="E16">
        <f ca="1">OFFSET(Baza!$GX15,0,E$2)</f>
        <v>180.17879740000001</v>
      </c>
      <c r="F16">
        <f ca="1">OFFSET(Baza!$GX15,0,F$2)</f>
        <v>541.01826840000001</v>
      </c>
      <c r="G16">
        <f ca="1">OFFSET(Baza!$GX15,0,G$2)</f>
        <v>59.070001769999998</v>
      </c>
      <c r="H16">
        <f ca="1">OFFSET(Baza!$GX15,0,H$2)</f>
        <v>73.985590439999996</v>
      </c>
      <c r="I16">
        <f ca="1">OFFSET(Baza!$GX15,0,I$2)</f>
        <v>6.7716193399999999E-2</v>
      </c>
      <c r="J16">
        <f ca="1">OFFSET(Baza!$GX15,0,J$2)</f>
        <v>3.0867414329999998</v>
      </c>
      <c r="K16">
        <f ca="1">OFFSET(Baza!$GX15,0,K$2)</f>
        <v>278.77845769999999</v>
      </c>
      <c r="L16">
        <f ca="1">OFFSET(Baza!$GX15,0,L$2)</f>
        <v>262.18160019999999</v>
      </c>
      <c r="M16">
        <f ca="1">OFFSET(Baza!$GX15,0,M$2)</f>
        <v>510.96497369999997</v>
      </c>
      <c r="N16">
        <f ca="1">OFFSET(Baza!$GX15,0,N$2)</f>
        <v>456.81591049999997</v>
      </c>
      <c r="O16">
        <f ca="1">OFFSET(Baza!$GX15,0,O$2)</f>
        <v>6.6261935110000003E-2</v>
      </c>
      <c r="P16">
        <f ca="1">OFFSET(Baza!$GX15,0,P$2)</f>
        <v>0.59055664220000004</v>
      </c>
      <c r="Q16">
        <f ca="1">OFFSET(Baza!$GX15,0,Q$2)</f>
        <v>100</v>
      </c>
      <c r="R16">
        <f ca="1">OFFSET(Baza!$GX15,0,R$2)</f>
        <v>123.5027587</v>
      </c>
      <c r="S16">
        <f ca="1">OFFSET(Baza!$GX15,0,S$2)</f>
        <v>8.9768953410000005</v>
      </c>
      <c r="T16">
        <f ca="1">OFFSET(Baza!$GX15,0,T$2)</f>
        <v>152.3503394</v>
      </c>
      <c r="U16" s="6">
        <f t="shared" ca="1" si="2"/>
        <v>1.0690300188985422</v>
      </c>
    </row>
    <row r="17" spans="1:21" x14ac:dyDescent="0.2">
      <c r="A17" s="1" t="s">
        <v>256</v>
      </c>
      <c r="B17">
        <f>Baza!GX16</f>
        <v>0.36127450529999999</v>
      </c>
      <c r="C17">
        <f ca="1">OFFSET(Baza!$GX16,0,C$2)</f>
        <v>0.35095568040000003</v>
      </c>
      <c r="D17">
        <f ca="1">OFFSET(Baza!$GX16,0,D$2)</f>
        <v>0.71223018569999996</v>
      </c>
      <c r="E17">
        <f ca="1">OFFSET(Baza!$GX16,0,E$2)</f>
        <v>0.3091941695</v>
      </c>
      <c r="F17">
        <f ca="1">OFFSET(Baza!$GX16,0,F$2)</f>
        <v>0.99483551579999996</v>
      </c>
      <c r="G17">
        <f ca="1">OFFSET(Baza!$GX16,0,G$2)</f>
        <v>9.7760364249999995E-2</v>
      </c>
      <c r="H17">
        <f ca="1">OFFSET(Baza!$GX16,0,H$2)</f>
        <v>0.12480889520000001</v>
      </c>
      <c r="I17">
        <f ca="1">OFFSET(Baza!$GX16,0,I$2)</f>
        <v>5.5576132649999999E-2</v>
      </c>
      <c r="J17">
        <f ca="1">OFFSET(Baza!$GX16,0,J$2)</f>
        <v>3.4332451819999998</v>
      </c>
      <c r="K17">
        <f ca="1">OFFSET(Baza!$GX16,0,K$2)</f>
        <v>0.50880565870000005</v>
      </c>
      <c r="L17">
        <f ca="1">OFFSET(Baza!$GX16,0,L$2)</f>
        <v>0.48599431500000001</v>
      </c>
      <c r="M17">
        <f ca="1">OFFSET(Baza!$GX16,0,M$2)</f>
        <v>0.93464458949999996</v>
      </c>
      <c r="N17">
        <f ca="1">OFFSET(Baza!$GX16,0,N$2)</f>
        <v>0.74171667890000004</v>
      </c>
      <c r="O17">
        <f ca="1">OFFSET(Baza!$GX16,0,O$2)</f>
        <v>5.0664592949999997E-2</v>
      </c>
      <c r="P17">
        <f ca="1">OFFSET(Baza!$GX16,0,P$2)</f>
        <v>1.7125098569999999</v>
      </c>
      <c r="Q17">
        <f ca="1">OFFSET(Baza!$GX16,0,Q$2)</f>
        <v>99.764856269999996</v>
      </c>
      <c r="R17">
        <f ca="1">OFFSET(Baza!$GX16,0,R$2)</f>
        <v>0.19510062019999999</v>
      </c>
      <c r="S17">
        <f ca="1">OFFSET(Baza!$GX16,0,S$2)</f>
        <v>7.7372068509999998</v>
      </c>
      <c r="T17">
        <f ca="1">OFFSET(Baza!$GX16,0,T$2)</f>
        <v>199.2541525</v>
      </c>
      <c r="U17" s="6">
        <f t="shared" ca="1" si="2"/>
        <v>1.0294020740403436</v>
      </c>
    </row>
    <row r="18" spans="1:21" x14ac:dyDescent="0.2">
      <c r="A18" s="1" t="s">
        <v>258</v>
      </c>
      <c r="B18">
        <f>Baza!GX17</f>
        <v>195.3518431</v>
      </c>
      <c r="C18">
        <f ca="1">OFFSET(Baza!$GX17,0,C$2)</f>
        <v>189.35275540000001</v>
      </c>
      <c r="D18">
        <f ca="1">OFFSET(Baza!$GX17,0,D$2)</f>
        <v>384.70459849999997</v>
      </c>
      <c r="E18">
        <f ca="1">OFFSET(Baza!$GX17,0,E$2)</f>
        <v>176.15440659999999</v>
      </c>
      <c r="F18">
        <f ca="1">OFFSET(Baza!$GX17,0,F$2)</f>
        <v>516.31291050000004</v>
      </c>
      <c r="G18">
        <f ca="1">OFFSET(Baza!$GX17,0,G$2)</f>
        <v>58.075513860000001</v>
      </c>
      <c r="H18">
        <f ca="1">OFFSET(Baza!$GX17,0,H$2)</f>
        <v>72.635669649999997</v>
      </c>
      <c r="I18">
        <f ca="1">OFFSET(Baza!$GX17,0,I$2)</f>
        <v>7.9236723209999999E-2</v>
      </c>
      <c r="J18">
        <f ca="1">OFFSET(Baza!$GX17,0,J$2)</f>
        <v>3.0448349139999999</v>
      </c>
      <c r="K18">
        <f ca="1">OFFSET(Baza!$GX17,0,K$2)</f>
        <v>260.9532198</v>
      </c>
      <c r="L18">
        <f ca="1">OFFSET(Baza!$GX17,0,L$2)</f>
        <v>255.35969069999999</v>
      </c>
      <c r="M18">
        <f ca="1">OFFSET(Baza!$GX17,0,M$2)</f>
        <v>481.0409947</v>
      </c>
      <c r="N18">
        <f ca="1">OFFSET(Baza!$GX17,0,N$2)</f>
        <v>392.87444740000001</v>
      </c>
      <c r="O18">
        <f ca="1">OFFSET(Baza!$GX17,0,O$2)</f>
        <v>7.0153391090000003E-2</v>
      </c>
      <c r="P18">
        <f ca="1">OFFSET(Baza!$GX17,0,P$2)</f>
        <v>0.51759057549999998</v>
      </c>
      <c r="Q18">
        <f ca="1">OFFSET(Baza!$GX17,0,Q$2)</f>
        <v>100</v>
      </c>
      <c r="R18">
        <f ca="1">OFFSET(Baza!$GX17,0,R$2)</f>
        <v>121.7898881</v>
      </c>
      <c r="S18">
        <f ca="1">OFFSET(Baza!$GX17,0,S$2)</f>
        <v>9.5592934609999993</v>
      </c>
      <c r="T18">
        <f ca="1">OFFSET(Baza!$GX17,0,T$2)</f>
        <v>143.44602219999999</v>
      </c>
      <c r="U18" s="6">
        <f t="shared" ca="1" si="2"/>
        <v>1.0316820723697797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22"/>
  <sheetViews>
    <sheetView workbookViewId="0">
      <selection activeCell="A11" sqref="A11"/>
    </sheetView>
  </sheetViews>
  <sheetFormatPr baseColWidth="10" defaultColWidth="8.83203125" defaultRowHeight="15" x14ac:dyDescent="0.2"/>
  <cols>
    <col min="1" max="1" width="16.83203125" customWidth="1"/>
    <col min="4" max="4" width="18.6640625" bestFit="1" customWidth="1"/>
    <col min="10" max="10" width="11" bestFit="1" customWidth="1"/>
    <col min="11" max="11" width="12.5" bestFit="1" customWidth="1"/>
    <col min="12" max="12" width="11.5" bestFit="1" customWidth="1"/>
    <col min="13" max="13" width="10.33203125" customWidth="1"/>
    <col min="14" max="14" width="14" bestFit="1" customWidth="1"/>
    <col min="15" max="15" width="12.83203125" bestFit="1" customWidth="1"/>
  </cols>
  <sheetData>
    <row r="1" spans="1:15" x14ac:dyDescent="0.2">
      <c r="B1" t="s">
        <v>259</v>
      </c>
      <c r="C1" t="s">
        <v>260</v>
      </c>
      <c r="D1" t="s">
        <v>267</v>
      </c>
      <c r="E1" t="s">
        <v>260</v>
      </c>
      <c r="F1" t="s">
        <v>263</v>
      </c>
      <c r="G1" t="s">
        <v>264</v>
      </c>
      <c r="H1" t="s">
        <v>265</v>
      </c>
      <c r="I1" t="s">
        <v>266</v>
      </c>
      <c r="J1" t="s">
        <v>268</v>
      </c>
      <c r="K1" t="s">
        <v>269</v>
      </c>
      <c r="L1" t="s">
        <v>270</v>
      </c>
      <c r="M1" t="s">
        <v>271</v>
      </c>
      <c r="N1" t="s">
        <v>272</v>
      </c>
      <c r="O1" t="s">
        <v>273</v>
      </c>
    </row>
    <row r="2" spans="1:15" x14ac:dyDescent="0.2">
      <c r="B2">
        <f>Baza!J1</f>
        <v>5</v>
      </c>
      <c r="C2">
        <f>Baza!K1</f>
        <v>5</v>
      </c>
      <c r="D2">
        <f>Baza!L1</f>
        <v>6</v>
      </c>
      <c r="E2">
        <f>Baza!M1</f>
        <v>6</v>
      </c>
      <c r="F2">
        <f>Baza!N1</f>
        <v>13</v>
      </c>
      <c r="G2">
        <f>Baza!O1</f>
        <v>13</v>
      </c>
      <c r="H2">
        <f>Baza!P1</f>
        <v>14</v>
      </c>
      <c r="I2">
        <f>Baza!Q1</f>
        <v>14</v>
      </c>
    </row>
    <row r="3" spans="1:15" x14ac:dyDescent="0.2">
      <c r="B3" t="str">
        <f>Baza!J2</f>
        <v>Amp</v>
      </c>
      <c r="C3" t="str">
        <f>Baza!K2</f>
        <v>Aev</v>
      </c>
      <c r="D3" t="str">
        <f>Baza!L2</f>
        <v>Amp</v>
      </c>
      <c r="E3" t="str">
        <f>Baza!M2</f>
        <v>Aev</v>
      </c>
      <c r="F3" t="str">
        <f>Baza!N2</f>
        <v>Amp</v>
      </c>
      <c r="G3" t="str">
        <f>Baza!O2</f>
        <v>Aev</v>
      </c>
      <c r="H3" t="str">
        <f>Baza!P2</f>
        <v>Amp</v>
      </c>
      <c r="I3" t="str">
        <f>Baza!Q2</f>
        <v>Aev</v>
      </c>
    </row>
    <row r="4" spans="1:15" x14ac:dyDescent="0.2">
      <c r="B4" t="str">
        <f>Baza!J3</f>
        <v>mm²</v>
      </c>
      <c r="C4" t="str">
        <f>Baza!K3</f>
        <v>mm²</v>
      </c>
      <c r="D4" t="str">
        <f>Baza!L3</f>
        <v>mm²</v>
      </c>
      <c r="E4" t="str">
        <f>Baza!M3</f>
        <v>mm²</v>
      </c>
      <c r="F4" t="str">
        <f>Baza!N3</f>
        <v>mm²</v>
      </c>
      <c r="G4" t="str">
        <f>Baza!O3</f>
        <v>mm²</v>
      </c>
      <c r="H4" t="str">
        <f>Baza!P3</f>
        <v>mm²</v>
      </c>
      <c r="I4" t="str">
        <f>Baza!Q3</f>
        <v>mm²</v>
      </c>
    </row>
    <row r="5" spans="1:15" x14ac:dyDescent="0.2">
      <c r="A5" s="1" t="s">
        <v>245</v>
      </c>
      <c r="B5">
        <f>Baza!J4</f>
        <v>30.997806229999998</v>
      </c>
      <c r="C5">
        <f>Baza!K4</f>
        <v>32.321160450000001</v>
      </c>
      <c r="D5">
        <f>Baza!L4</f>
        <v>32.321160450000001</v>
      </c>
      <c r="E5">
        <f>Baza!M4</f>
        <v>32.321160450000001</v>
      </c>
      <c r="F5">
        <f>Baza!N4</f>
        <v>30.938072819999999</v>
      </c>
      <c r="G5">
        <f>Baza!O4</f>
        <v>32.321160450000001</v>
      </c>
      <c r="H5">
        <f>Baza!P4</f>
        <v>30.466013960000002</v>
      </c>
      <c r="I5">
        <f>Baza!Q4</f>
        <v>32.321160450000001</v>
      </c>
      <c r="J5" s="4">
        <f>C5-B5</f>
        <v>1.3233542200000024</v>
      </c>
      <c r="K5" s="4">
        <f>G5-F5</f>
        <v>1.3830876300000021</v>
      </c>
      <c r="L5" s="4">
        <f>I5-H5</f>
        <v>1.8551464899999992</v>
      </c>
      <c r="M5" s="3">
        <f>(J5/C5)</f>
        <v>4.0943895626742645E-2</v>
      </c>
      <c r="N5" s="3">
        <f t="shared" ref="N5:O5" si="0">(K5/D5)</f>
        <v>4.2792016460535286E-2</v>
      </c>
      <c r="O5" s="3">
        <f t="shared" si="0"/>
        <v>5.7397273618002141E-2</v>
      </c>
    </row>
    <row r="6" spans="1:15" x14ac:dyDescent="0.2">
      <c r="A6" s="1" t="s">
        <v>246</v>
      </c>
      <c r="B6">
        <f>Baza!J5</f>
        <v>32.549446590000002</v>
      </c>
      <c r="C6">
        <f>Baza!K5</f>
        <v>32.553624839999998</v>
      </c>
      <c r="D6">
        <f>Baza!L5</f>
        <v>32.553624839999998</v>
      </c>
      <c r="E6">
        <f>Baza!M5</f>
        <v>32.553624839999998</v>
      </c>
      <c r="F6">
        <f>Baza!N5</f>
        <v>32.489760789999998</v>
      </c>
      <c r="G6">
        <f>Baza!O5</f>
        <v>32.553624839999998</v>
      </c>
      <c r="H6">
        <f>Baza!P5</f>
        <v>32.022200120000001</v>
      </c>
      <c r="I6">
        <f>Baza!Q5</f>
        <v>32.553624839999998</v>
      </c>
      <c r="J6" s="4">
        <f t="shared" ref="J6:J18" si="1">C6-B6</f>
        <v>4.178249999995387E-3</v>
      </c>
      <c r="K6" s="4">
        <f t="shared" ref="K6:K18" si="2">G6-F6</f>
        <v>6.3864049999999395E-2</v>
      </c>
      <c r="L6" s="4">
        <f t="shared" ref="L6:L18" si="3">I6-H6</f>
        <v>0.53142471999999685</v>
      </c>
      <c r="M6" s="3">
        <f t="shared" ref="M6:M18" si="4">(J6/C6)</f>
        <v>1.2834976198599539E-4</v>
      </c>
      <c r="N6" s="3">
        <f t="shared" ref="N6:N18" si="5">(K6/D6)</f>
        <v>1.9618107142872448E-3</v>
      </c>
      <c r="O6" s="3">
        <f t="shared" ref="O6:O18" si="6">(L6/E6)</f>
        <v>1.6324594345850332E-2</v>
      </c>
    </row>
    <row r="7" spans="1:15" x14ac:dyDescent="0.2">
      <c r="A7" s="1" t="s">
        <v>247</v>
      </c>
      <c r="B7">
        <f>Baza!J6</f>
        <v>32.54835156</v>
      </c>
      <c r="C7">
        <f>Baza!K6</f>
        <v>32.553624839999998</v>
      </c>
      <c r="D7">
        <f>Baza!L6</f>
        <v>32.553624839999998</v>
      </c>
      <c r="E7">
        <f>Baza!M6</f>
        <v>32.553624839999998</v>
      </c>
      <c r="F7">
        <f>Baza!N6</f>
        <v>32.489305629999997</v>
      </c>
      <c r="G7">
        <f>Baza!O6</f>
        <v>32.553624839999998</v>
      </c>
      <c r="H7">
        <f>Baza!P6</f>
        <v>32.008810279999999</v>
      </c>
      <c r="I7">
        <f>Baza!Q6</f>
        <v>32.553624839999998</v>
      </c>
      <c r="J7" s="4">
        <f t="shared" si="1"/>
        <v>5.2732799999972713E-3</v>
      </c>
      <c r="K7" s="4">
        <f t="shared" si="2"/>
        <v>6.4319210000000737E-2</v>
      </c>
      <c r="L7" s="4">
        <f t="shared" si="3"/>
        <v>0.54481455999999895</v>
      </c>
      <c r="M7" s="3">
        <f t="shared" si="4"/>
        <v>1.6198749066855903E-4</v>
      </c>
      <c r="N7" s="3">
        <f t="shared" si="5"/>
        <v>1.9757925673754475E-3</v>
      </c>
      <c r="O7" s="3">
        <f t="shared" si="6"/>
        <v>1.6735910752727068E-2</v>
      </c>
    </row>
    <row r="8" spans="1:15" x14ac:dyDescent="0.2">
      <c r="A8" s="1" t="s">
        <v>248</v>
      </c>
      <c r="B8">
        <f>Baza!J7</f>
        <v>27.119177619999999</v>
      </c>
      <c r="C8">
        <f>Baza!K7</f>
        <v>28.265948250000001</v>
      </c>
      <c r="D8">
        <f>Baza!L7</f>
        <v>28.265948250000001</v>
      </c>
      <c r="E8">
        <f>Baza!M7</f>
        <v>28.265948250000001</v>
      </c>
      <c r="F8">
        <f>Baza!N7</f>
        <v>27.061878029999999</v>
      </c>
      <c r="G8">
        <f>Baza!O7</f>
        <v>28.265948250000001</v>
      </c>
      <c r="H8">
        <f>Baza!P7</f>
        <v>26.579468760000001</v>
      </c>
      <c r="I8">
        <f>Baza!Q7</f>
        <v>28.265948250000001</v>
      </c>
      <c r="J8" s="4">
        <f t="shared" si="1"/>
        <v>1.1467706300000025</v>
      </c>
      <c r="K8" s="4">
        <f t="shared" si="2"/>
        <v>1.204070220000002</v>
      </c>
      <c r="L8" s="4">
        <f t="shared" si="3"/>
        <v>1.68647949</v>
      </c>
      <c r="M8" s="3">
        <f t="shared" si="4"/>
        <v>4.0570746817241571E-2</v>
      </c>
      <c r="N8" s="3">
        <f t="shared" si="5"/>
        <v>4.2597906475683227E-2</v>
      </c>
      <c r="O8" s="3">
        <f t="shared" si="6"/>
        <v>5.9664705924026444E-2</v>
      </c>
    </row>
    <row r="9" spans="1:15" x14ac:dyDescent="0.2">
      <c r="A9" s="1" t="s">
        <v>249</v>
      </c>
      <c r="B9">
        <f>Baza!J8</f>
        <v>32.552404119999998</v>
      </c>
      <c r="C9">
        <f>Baza!K8</f>
        <v>32.553624839999998</v>
      </c>
      <c r="D9">
        <f>Baza!L8</f>
        <v>32.553624839999998</v>
      </c>
      <c r="E9">
        <f>Baza!M8</f>
        <v>32.553624839999998</v>
      </c>
      <c r="F9">
        <f>Baza!N8</f>
        <v>32.485291160000003</v>
      </c>
      <c r="G9">
        <f>Baza!O8</f>
        <v>32.553624839999998</v>
      </c>
      <c r="H9">
        <f>Baza!P8</f>
        <v>31.944708179999999</v>
      </c>
      <c r="I9">
        <f>Baza!Q8</f>
        <v>32.553624839999998</v>
      </c>
      <c r="J9" s="4">
        <f t="shared" si="1"/>
        <v>1.2207199999991758E-3</v>
      </c>
      <c r="K9" s="4">
        <f t="shared" si="2"/>
        <v>6.8333679999994956E-2</v>
      </c>
      <c r="L9" s="4">
        <f t="shared" si="3"/>
        <v>0.60891665999999844</v>
      </c>
      <c r="M9" s="3">
        <f t="shared" si="4"/>
        <v>3.7498742643836888E-5</v>
      </c>
      <c r="N9" s="3">
        <f t="shared" si="5"/>
        <v>2.0991112460087857E-3</v>
      </c>
      <c r="O9" s="3">
        <f t="shared" si="6"/>
        <v>1.8705034016727906E-2</v>
      </c>
    </row>
    <row r="10" spans="1:15" x14ac:dyDescent="0.2">
      <c r="A10" s="1" t="s">
        <v>250</v>
      </c>
      <c r="B10">
        <f>Baza!J9</f>
        <v>32.552430780000002</v>
      </c>
      <c r="C10">
        <f>Baza!K9</f>
        <v>32.553624839999998</v>
      </c>
      <c r="D10">
        <f>Baza!L9</f>
        <v>32.553624839999998</v>
      </c>
      <c r="E10">
        <f>Baza!M9</f>
        <v>32.553624839999998</v>
      </c>
      <c r="F10">
        <f>Baza!N9</f>
        <v>32.487029880000001</v>
      </c>
      <c r="G10">
        <f>Baza!O9</f>
        <v>32.553624839999998</v>
      </c>
      <c r="H10">
        <f>Baza!P9</f>
        <v>31.950617529999999</v>
      </c>
      <c r="I10">
        <f>Baza!Q9</f>
        <v>32.553624839999998</v>
      </c>
      <c r="J10" s="4">
        <f t="shared" si="1"/>
        <v>1.194059999996E-3</v>
      </c>
      <c r="K10" s="4">
        <f t="shared" si="2"/>
        <v>6.6594959999996206E-2</v>
      </c>
      <c r="L10" s="4">
        <f t="shared" si="3"/>
        <v>0.60300730999999885</v>
      </c>
      <c r="M10" s="3">
        <f t="shared" si="4"/>
        <v>3.6679786225489972E-5</v>
      </c>
      <c r="N10" s="3">
        <f t="shared" si="5"/>
        <v>2.0457002968888491E-3</v>
      </c>
      <c r="O10" s="3">
        <f t="shared" si="6"/>
        <v>1.8523507380937148E-2</v>
      </c>
    </row>
    <row r="11" spans="1:15" x14ac:dyDescent="0.2">
      <c r="A11" s="1" t="s">
        <v>251</v>
      </c>
      <c r="B11">
        <f>Baza!J10</f>
        <v>28.523133659999999</v>
      </c>
      <c r="C11">
        <f>Baza!K10</f>
        <v>29.36813308</v>
      </c>
      <c r="D11">
        <f>Baza!L10</f>
        <v>29.36813308</v>
      </c>
      <c r="E11">
        <f>Baza!M10</f>
        <v>29.36813308</v>
      </c>
      <c r="F11">
        <f>Baza!N10</f>
        <v>28.48476191</v>
      </c>
      <c r="G11">
        <f>Baza!O10</f>
        <v>29.36813308</v>
      </c>
      <c r="H11">
        <f>Baza!P10</f>
        <v>28.165281669999999</v>
      </c>
      <c r="I11">
        <f>Baza!Q10</f>
        <v>29.36813308</v>
      </c>
      <c r="J11" s="4">
        <f t="shared" si="1"/>
        <v>0.84499942000000061</v>
      </c>
      <c r="K11" s="4">
        <f t="shared" si="2"/>
        <v>0.88337117000000021</v>
      </c>
      <c r="L11" s="4">
        <f t="shared" si="3"/>
        <v>1.202851410000001</v>
      </c>
      <c r="M11" s="3">
        <f t="shared" si="4"/>
        <v>2.877266381551008E-2</v>
      </c>
      <c r="N11" s="3">
        <f t="shared" si="5"/>
        <v>3.0079241591341909E-2</v>
      </c>
      <c r="O11" s="3">
        <f t="shared" si="6"/>
        <v>4.095770768687898E-2</v>
      </c>
    </row>
    <row r="12" spans="1:15" x14ac:dyDescent="0.2">
      <c r="A12" s="1" t="s">
        <v>252</v>
      </c>
      <c r="B12">
        <f>Baza!J11</f>
        <v>32.61596918</v>
      </c>
      <c r="C12">
        <f>Baza!K11</f>
        <v>32.616896619999999</v>
      </c>
      <c r="D12">
        <f>Baza!L11</f>
        <v>32.616896619999999</v>
      </c>
      <c r="E12">
        <f>Baza!M11</f>
        <v>32.616896619999999</v>
      </c>
      <c r="F12">
        <f>Baza!N11</f>
        <v>32.571552859999997</v>
      </c>
      <c r="G12">
        <f>Baza!O11</f>
        <v>32.616896619999999</v>
      </c>
      <c r="H12">
        <f>Baza!P11</f>
        <v>32.202767710000003</v>
      </c>
      <c r="I12">
        <f>Baza!Q11</f>
        <v>32.616896619999999</v>
      </c>
      <c r="J12" s="4">
        <f t="shared" si="1"/>
        <v>9.2743999999811422E-4</v>
      </c>
      <c r="K12" s="4">
        <f t="shared" si="2"/>
        <v>4.534376000000151E-2</v>
      </c>
      <c r="L12" s="4">
        <f t="shared" si="3"/>
        <v>0.41412890999999519</v>
      </c>
      <c r="M12" s="3">
        <f t="shared" si="4"/>
        <v>2.8434342200092311E-5</v>
      </c>
      <c r="N12" s="3">
        <f t="shared" si="5"/>
        <v>1.3901923450374389E-3</v>
      </c>
      <c r="O12" s="3">
        <f t="shared" si="6"/>
        <v>1.2696760051232464E-2</v>
      </c>
    </row>
    <row r="13" spans="1:15" x14ac:dyDescent="0.2">
      <c r="A13" s="1" t="s">
        <v>253</v>
      </c>
      <c r="B13">
        <f>Baza!J12</f>
        <v>32.615940620000003</v>
      </c>
      <c r="C13">
        <f>Baza!K12</f>
        <v>32.616896619999999</v>
      </c>
      <c r="D13">
        <f>Baza!L12</f>
        <v>32.616896619999999</v>
      </c>
      <c r="E13">
        <f>Baza!M12</f>
        <v>32.616896619999999</v>
      </c>
      <c r="F13">
        <f>Baza!N12</f>
        <v>32.573952400000003</v>
      </c>
      <c r="G13">
        <f>Baza!O12</f>
        <v>32.616896619999999</v>
      </c>
      <c r="H13">
        <f>Baza!P12</f>
        <v>32.213556130000001</v>
      </c>
      <c r="I13">
        <f>Baza!Q12</f>
        <v>32.616896619999999</v>
      </c>
      <c r="J13" s="4">
        <f t="shared" si="1"/>
        <v>9.559999999950719E-4</v>
      </c>
      <c r="K13" s="4">
        <f t="shared" si="2"/>
        <v>4.2944219999995425E-2</v>
      </c>
      <c r="L13" s="4">
        <f t="shared" si="3"/>
        <v>0.40334048999999794</v>
      </c>
      <c r="M13" s="3">
        <f t="shared" si="4"/>
        <v>2.9309961984822086E-5</v>
      </c>
      <c r="N13" s="3">
        <f t="shared" si="5"/>
        <v>1.3166249536340907E-3</v>
      </c>
      <c r="O13" s="3">
        <f t="shared" si="6"/>
        <v>1.236599835659037E-2</v>
      </c>
    </row>
    <row r="14" spans="1:15" x14ac:dyDescent="0.2">
      <c r="A14" s="1" t="s">
        <v>254</v>
      </c>
      <c r="B14">
        <f>Baza!J13</f>
        <v>32.615104580000001</v>
      </c>
      <c r="C14">
        <f>Baza!K13</f>
        <v>32.616896619999999</v>
      </c>
      <c r="D14">
        <f>Baza!L13</f>
        <v>32.616896619999999</v>
      </c>
      <c r="E14">
        <f>Baza!M13</f>
        <v>32.616896619999999</v>
      </c>
      <c r="F14">
        <f>Baza!N13</f>
        <v>32.551012</v>
      </c>
      <c r="G14">
        <f>Baza!O13</f>
        <v>32.616896619999999</v>
      </c>
      <c r="H14">
        <f>Baza!P13</f>
        <v>32.064569210000002</v>
      </c>
      <c r="I14">
        <f>Baza!Q13</f>
        <v>32.616896619999999</v>
      </c>
      <c r="J14" s="4">
        <f t="shared" si="1"/>
        <v>1.7920399999979963E-3</v>
      </c>
      <c r="K14" s="4">
        <f t="shared" si="2"/>
        <v>6.5884619999998506E-2</v>
      </c>
      <c r="L14" s="4">
        <f t="shared" si="3"/>
        <v>0.55232740999999663</v>
      </c>
      <c r="M14" s="3">
        <f t="shared" si="4"/>
        <v>5.4942075601979711E-5</v>
      </c>
      <c r="N14" s="3">
        <f t="shared" si="5"/>
        <v>2.0199536690317568E-3</v>
      </c>
      <c r="O14" s="3">
        <f t="shared" si="6"/>
        <v>1.6933781789078027E-2</v>
      </c>
    </row>
    <row r="15" spans="1:15" x14ac:dyDescent="0.2">
      <c r="A15" s="1" t="s">
        <v>257</v>
      </c>
      <c r="B15">
        <f>Baza!J14</f>
        <v>32.615116010000001</v>
      </c>
      <c r="C15">
        <f>Baza!K14</f>
        <v>32.616896619999999</v>
      </c>
      <c r="D15">
        <f>Baza!L14</f>
        <v>32.616896619999999</v>
      </c>
      <c r="E15">
        <f>Baza!M14</f>
        <v>32.616896619999999</v>
      </c>
      <c r="F15">
        <f>Baza!N14</f>
        <v>32.555171209999997</v>
      </c>
      <c r="G15">
        <f>Baza!O14</f>
        <v>32.616896619999999</v>
      </c>
      <c r="H15">
        <f>Baza!P14</f>
        <v>32.060967990000002</v>
      </c>
      <c r="I15">
        <f>Baza!Q14</f>
        <v>32.616896619999999</v>
      </c>
      <c r="J15" s="4">
        <f t="shared" si="1"/>
        <v>1.7806099999972957E-3</v>
      </c>
      <c r="K15" s="4">
        <f t="shared" si="2"/>
        <v>6.1725410000001091E-2</v>
      </c>
      <c r="L15" s="4">
        <f t="shared" si="3"/>
        <v>0.55592862999999682</v>
      </c>
      <c r="M15" s="3">
        <f t="shared" si="4"/>
        <v>5.4591643734292705E-5</v>
      </c>
      <c r="N15" s="3">
        <f t="shared" si="5"/>
        <v>1.8924366324340116E-3</v>
      </c>
      <c r="O15" s="3">
        <f t="shared" si="6"/>
        <v>1.7044191434788834E-2</v>
      </c>
    </row>
    <row r="16" spans="1:15" x14ac:dyDescent="0.2">
      <c r="A16" s="1" t="s">
        <v>255</v>
      </c>
      <c r="B16">
        <f>Baza!J15</f>
        <v>32.615152190000003</v>
      </c>
      <c r="C16">
        <f>Baza!K15</f>
        <v>32.616896619999999</v>
      </c>
      <c r="D16">
        <f>Baza!L15</f>
        <v>32.616896619999999</v>
      </c>
      <c r="E16">
        <f>Baza!M15</f>
        <v>32.616896619999999</v>
      </c>
      <c r="F16">
        <f>Baza!N15</f>
        <v>32.570932030000002</v>
      </c>
      <c r="G16">
        <f>Baza!O15</f>
        <v>32.616896619999999</v>
      </c>
      <c r="H16">
        <f>Baza!P15</f>
        <v>32.226367029999999</v>
      </c>
      <c r="I16">
        <f>Baza!Q15</f>
        <v>32.616896619999999</v>
      </c>
      <c r="J16" s="4">
        <f t="shared" si="1"/>
        <v>1.744429999995134E-3</v>
      </c>
      <c r="K16" s="4">
        <f t="shared" si="2"/>
        <v>4.5964589999996974E-2</v>
      </c>
      <c r="L16" s="4">
        <f t="shared" si="3"/>
        <v>0.39052958999999987</v>
      </c>
      <c r="M16" s="3">
        <f t="shared" si="4"/>
        <v>5.3482402704293029E-5</v>
      </c>
      <c r="N16" s="3">
        <f t="shared" si="5"/>
        <v>1.4092263447225831E-3</v>
      </c>
      <c r="O16" s="3">
        <f t="shared" si="6"/>
        <v>1.1973229536513762E-2</v>
      </c>
    </row>
    <row r="17" spans="1:15" x14ac:dyDescent="0.2">
      <c r="A17" s="1" t="s">
        <v>256</v>
      </c>
      <c r="B17">
        <f>Baza!J16</f>
        <v>32.61540548</v>
      </c>
      <c r="C17">
        <f>Baza!K16</f>
        <v>32.616896619999999</v>
      </c>
      <c r="D17">
        <f>Baza!L16</f>
        <v>32.616896619999999</v>
      </c>
      <c r="E17">
        <f>Baza!M16</f>
        <v>32.616896619999999</v>
      </c>
      <c r="F17">
        <f>Baza!N16</f>
        <v>32.564988390000003</v>
      </c>
      <c r="G17">
        <f>Baza!O16</f>
        <v>32.616896619999999</v>
      </c>
      <c r="H17">
        <f>Baza!P16</f>
        <v>32.160448129999999</v>
      </c>
      <c r="I17">
        <f>Baza!Q16</f>
        <v>32.616896619999999</v>
      </c>
      <c r="J17" s="4">
        <f t="shared" si="1"/>
        <v>1.4911399999988362E-3</v>
      </c>
      <c r="K17" s="4">
        <f t="shared" si="2"/>
        <v>5.1908229999995115E-2</v>
      </c>
      <c r="L17" s="4">
        <f t="shared" si="3"/>
        <v>0.45644848999999965</v>
      </c>
      <c r="M17" s="3">
        <f t="shared" si="4"/>
        <v>4.5716795726191204E-5</v>
      </c>
      <c r="N17" s="3">
        <f t="shared" si="5"/>
        <v>1.5914521422668419E-3</v>
      </c>
      <c r="O17" s="3">
        <f t="shared" si="6"/>
        <v>1.3994234194558993E-2</v>
      </c>
    </row>
    <row r="18" spans="1:15" x14ac:dyDescent="0.2">
      <c r="A18" s="1" t="s">
        <v>258</v>
      </c>
      <c r="B18">
        <f>Baza!J17</f>
        <v>32.615015079999999</v>
      </c>
      <c r="C18">
        <f>Baza!K17</f>
        <v>32.616896619999999</v>
      </c>
      <c r="D18">
        <f>Baza!L17</f>
        <v>32.616896619999999</v>
      </c>
      <c r="E18">
        <f>Baza!M17</f>
        <v>32.616896619999999</v>
      </c>
      <c r="F18">
        <f>Baza!N17</f>
        <v>32.572800239999999</v>
      </c>
      <c r="G18">
        <f>Baza!O17</f>
        <v>32.616896619999999</v>
      </c>
      <c r="H18">
        <f>Baza!P17</f>
        <v>32.235595750000002</v>
      </c>
      <c r="I18">
        <f>Baza!Q17</f>
        <v>32.616896619999999</v>
      </c>
      <c r="J18" s="4">
        <f t="shared" si="1"/>
        <v>1.8815399999994042E-3</v>
      </c>
      <c r="K18" s="4">
        <f t="shared" si="2"/>
        <v>4.4096379999999158E-2</v>
      </c>
      <c r="L18" s="4">
        <f t="shared" si="3"/>
        <v>0.38130086999999691</v>
      </c>
      <c r="M18" s="3">
        <f t="shared" si="4"/>
        <v>5.7686052168607707E-5</v>
      </c>
      <c r="N18" s="3">
        <f t="shared" si="5"/>
        <v>1.351948976438187E-3</v>
      </c>
      <c r="O18" s="3">
        <f t="shared" si="6"/>
        <v>1.1690286615624591E-2</v>
      </c>
    </row>
    <row r="21" spans="1:15" x14ac:dyDescent="0.2">
      <c r="B21" t="s">
        <v>261</v>
      </c>
    </row>
    <row r="22" spans="1:15" x14ac:dyDescent="0.2">
      <c r="B22" t="s">
        <v>262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E2D4D-44C5-4E91-98DE-0C663BF5257F}">
  <dimension ref="A1:O21"/>
  <sheetViews>
    <sheetView workbookViewId="0">
      <selection activeCell="N20" sqref="N20"/>
    </sheetView>
  </sheetViews>
  <sheetFormatPr baseColWidth="10" defaultColWidth="8.83203125" defaultRowHeight="15" x14ac:dyDescent="0.2"/>
  <cols>
    <col min="1" max="1" width="16.83203125" customWidth="1"/>
    <col min="4" max="4" width="18.6640625" bestFit="1" customWidth="1"/>
    <col min="10" max="10" width="11" bestFit="1" customWidth="1"/>
    <col min="11" max="11" width="12.5" bestFit="1" customWidth="1"/>
    <col min="12" max="12" width="11.5" bestFit="1" customWidth="1"/>
    <col min="13" max="13" width="10.33203125" customWidth="1"/>
    <col min="14" max="14" width="14" bestFit="1" customWidth="1"/>
    <col min="15" max="15" width="12.83203125" bestFit="1" customWidth="1"/>
  </cols>
  <sheetData>
    <row r="1" spans="1:15" x14ac:dyDescent="0.2">
      <c r="B1" t="s">
        <v>259</v>
      </c>
      <c r="C1" t="s">
        <v>260</v>
      </c>
      <c r="D1" t="s">
        <v>267</v>
      </c>
      <c r="E1" t="s">
        <v>260</v>
      </c>
      <c r="F1" t="s">
        <v>263</v>
      </c>
      <c r="G1" t="s">
        <v>264</v>
      </c>
      <c r="H1" t="s">
        <v>265</v>
      </c>
      <c r="I1" t="s">
        <v>266</v>
      </c>
      <c r="J1" t="s">
        <v>268</v>
      </c>
      <c r="K1" t="s">
        <v>269</v>
      </c>
      <c r="L1" t="s">
        <v>270</v>
      </c>
      <c r="M1" t="s">
        <v>271</v>
      </c>
      <c r="N1" t="s">
        <v>272</v>
      </c>
      <c r="O1" t="s">
        <v>273</v>
      </c>
    </row>
    <row r="2" spans="1:15" x14ac:dyDescent="0.2">
      <c r="B2">
        <f>Baza!J1</f>
        <v>5</v>
      </c>
      <c r="C2">
        <f>Baza!K1</f>
        <v>5</v>
      </c>
      <c r="D2">
        <f>Baza!L1</f>
        <v>6</v>
      </c>
      <c r="E2">
        <f>Baza!M1</f>
        <v>6</v>
      </c>
      <c r="F2">
        <f>Baza!N1</f>
        <v>13</v>
      </c>
      <c r="G2">
        <f>Baza!O1</f>
        <v>13</v>
      </c>
      <c r="H2">
        <f>Baza!P1</f>
        <v>14</v>
      </c>
      <c r="I2">
        <f>Baza!Q1</f>
        <v>14</v>
      </c>
    </row>
    <row r="3" spans="1:15" x14ac:dyDescent="0.2">
      <c r="B3" t="str">
        <f>Baza!J2</f>
        <v>Amp</v>
      </c>
      <c r="C3" t="str">
        <f>Baza!K2</f>
        <v>Aev</v>
      </c>
      <c r="D3" t="str">
        <f>Baza!L2</f>
        <v>Amp</v>
      </c>
      <c r="E3" t="str">
        <f>Baza!M2</f>
        <v>Aev</v>
      </c>
      <c r="F3" t="str">
        <f>Baza!N2</f>
        <v>Amp</v>
      </c>
      <c r="G3" t="str">
        <f>Baza!O2</f>
        <v>Aev</v>
      </c>
      <c r="H3" t="str">
        <f>Baza!P2</f>
        <v>Amp</v>
      </c>
      <c r="I3" t="str">
        <f>Baza!Q2</f>
        <v>Aev</v>
      </c>
    </row>
    <row r="4" spans="1:15" x14ac:dyDescent="0.2">
      <c r="B4" t="str">
        <f>Baza!J3</f>
        <v>mm²</v>
      </c>
      <c r="C4" t="str">
        <f>Baza!K3</f>
        <v>mm²</v>
      </c>
      <c r="D4" t="str">
        <f>Baza!L3</f>
        <v>mm²</v>
      </c>
      <c r="E4" t="str">
        <f>Baza!M3</f>
        <v>mm²</v>
      </c>
      <c r="F4" t="str">
        <f>Baza!N3</f>
        <v>mm²</v>
      </c>
      <c r="G4" t="str">
        <f>Baza!O3</f>
        <v>mm²</v>
      </c>
      <c r="H4" t="str">
        <f>Baza!P3</f>
        <v>mm²</v>
      </c>
      <c r="I4" t="str">
        <f>Baza!Q3</f>
        <v>mm²</v>
      </c>
    </row>
    <row r="5" spans="1:15" x14ac:dyDescent="0.2">
      <c r="A5" s="1" t="s">
        <v>245</v>
      </c>
      <c r="B5">
        <f>Baza!J4</f>
        <v>30.997806229999998</v>
      </c>
      <c r="C5">
        <f>Baza!K4</f>
        <v>32.321160450000001</v>
      </c>
      <c r="D5">
        <f>Baza!L4</f>
        <v>32.321160450000001</v>
      </c>
      <c r="E5">
        <f>Baza!M4</f>
        <v>32.321160450000001</v>
      </c>
      <c r="F5">
        <f>Baza!N4</f>
        <v>30.938072819999999</v>
      </c>
      <c r="G5">
        <f>Baza!O4</f>
        <v>32.321160450000001</v>
      </c>
      <c r="H5">
        <f>Baza!P4</f>
        <v>30.466013960000002</v>
      </c>
      <c r="I5">
        <f>Baza!Q4</f>
        <v>32.321160450000001</v>
      </c>
      <c r="J5" s="4">
        <f>C5-B5</f>
        <v>1.3233542200000024</v>
      </c>
      <c r="K5" s="4">
        <f>G5-F5</f>
        <v>1.3830876300000021</v>
      </c>
      <c r="L5" s="4">
        <f>I5-H5</f>
        <v>1.8551464899999992</v>
      </c>
      <c r="M5" s="3">
        <f>(J5/C5)</f>
        <v>4.0943895626742645E-2</v>
      </c>
      <c r="N5" s="3">
        <f t="shared" ref="N5:O17" si="0">(K5/D5)</f>
        <v>4.2792016460535286E-2</v>
      </c>
      <c r="O5" s="3">
        <f t="shared" si="0"/>
        <v>5.7397273618002141E-2</v>
      </c>
    </row>
    <row r="6" spans="1:15" x14ac:dyDescent="0.2">
      <c r="A6" s="1" t="s">
        <v>246</v>
      </c>
      <c r="B6">
        <f>Baza!J5</f>
        <v>32.549446590000002</v>
      </c>
      <c r="C6">
        <f>Baza!K5</f>
        <v>32.553624839999998</v>
      </c>
      <c r="D6">
        <f>Baza!L5</f>
        <v>32.553624839999998</v>
      </c>
      <c r="E6">
        <f>Baza!M5</f>
        <v>32.553624839999998</v>
      </c>
      <c r="F6">
        <f>Baza!N5</f>
        <v>32.489760789999998</v>
      </c>
      <c r="G6">
        <f>Baza!O5</f>
        <v>32.553624839999998</v>
      </c>
      <c r="H6">
        <f>Baza!P5</f>
        <v>32.022200120000001</v>
      </c>
      <c r="I6">
        <f>Baza!Q5</f>
        <v>32.553624839999998</v>
      </c>
      <c r="J6" s="4">
        <f t="shared" ref="J6:J17" si="1">C6-B6</f>
        <v>4.178249999995387E-3</v>
      </c>
      <c r="K6" s="4">
        <f t="shared" ref="K6:K17" si="2">G6-F6</f>
        <v>6.3864049999999395E-2</v>
      </c>
      <c r="L6" s="4">
        <f t="shared" ref="L6:L17" si="3">I6-H6</f>
        <v>0.53142471999999685</v>
      </c>
      <c r="M6" s="3">
        <f t="shared" ref="M6:M17" si="4">(J6/C6)</f>
        <v>1.2834976198599539E-4</v>
      </c>
      <c r="N6" s="3">
        <f t="shared" si="0"/>
        <v>1.9618107142872448E-3</v>
      </c>
      <c r="O6" s="3">
        <f t="shared" si="0"/>
        <v>1.6324594345850332E-2</v>
      </c>
    </row>
    <row r="7" spans="1:15" x14ac:dyDescent="0.2">
      <c r="A7" s="1" t="s">
        <v>247</v>
      </c>
      <c r="B7">
        <f>Baza!J6</f>
        <v>32.54835156</v>
      </c>
      <c r="C7">
        <f>Baza!K6</f>
        <v>32.553624839999998</v>
      </c>
      <c r="D7">
        <f>Baza!L6</f>
        <v>32.553624839999998</v>
      </c>
      <c r="E7">
        <f>Baza!M6</f>
        <v>32.553624839999998</v>
      </c>
      <c r="F7">
        <f>Baza!N6</f>
        <v>32.489305629999997</v>
      </c>
      <c r="G7">
        <f>Baza!O6</f>
        <v>32.553624839999998</v>
      </c>
      <c r="H7">
        <f>Baza!P6</f>
        <v>32.008810279999999</v>
      </c>
      <c r="I7">
        <f>Baza!Q6</f>
        <v>32.553624839999998</v>
      </c>
      <c r="J7" s="4">
        <f t="shared" si="1"/>
        <v>5.2732799999972713E-3</v>
      </c>
      <c r="K7" s="4">
        <f t="shared" si="2"/>
        <v>6.4319210000000737E-2</v>
      </c>
      <c r="L7" s="4">
        <f t="shared" si="3"/>
        <v>0.54481455999999895</v>
      </c>
      <c r="M7" s="3">
        <f t="shared" si="4"/>
        <v>1.6198749066855903E-4</v>
      </c>
      <c r="N7" s="3">
        <f t="shared" si="0"/>
        <v>1.9757925673754475E-3</v>
      </c>
      <c r="O7" s="3">
        <f t="shared" si="0"/>
        <v>1.6735910752727068E-2</v>
      </c>
    </row>
    <row r="8" spans="1:15" x14ac:dyDescent="0.2">
      <c r="A8" s="1" t="s">
        <v>248</v>
      </c>
      <c r="B8">
        <f>Baza!J7</f>
        <v>27.119177619999999</v>
      </c>
      <c r="C8">
        <f>Baza!K7</f>
        <v>28.265948250000001</v>
      </c>
      <c r="D8">
        <f>Baza!L7</f>
        <v>28.265948250000001</v>
      </c>
      <c r="E8">
        <f>Baza!M7</f>
        <v>28.265948250000001</v>
      </c>
      <c r="F8">
        <f>Baza!N7</f>
        <v>27.061878029999999</v>
      </c>
      <c r="G8">
        <f>Baza!O7</f>
        <v>28.265948250000001</v>
      </c>
      <c r="H8">
        <f>Baza!P7</f>
        <v>26.579468760000001</v>
      </c>
      <c r="I8">
        <f>Baza!Q7</f>
        <v>28.265948250000001</v>
      </c>
      <c r="J8" s="4">
        <f t="shared" si="1"/>
        <v>1.1467706300000025</v>
      </c>
      <c r="K8" s="4">
        <f t="shared" si="2"/>
        <v>1.204070220000002</v>
      </c>
      <c r="L8" s="4">
        <f t="shared" si="3"/>
        <v>1.68647949</v>
      </c>
      <c r="M8" s="3">
        <f t="shared" si="4"/>
        <v>4.0570746817241571E-2</v>
      </c>
      <c r="N8" s="3">
        <f t="shared" si="0"/>
        <v>4.2597906475683227E-2</v>
      </c>
      <c r="O8" s="3">
        <f t="shared" si="0"/>
        <v>5.9664705924026444E-2</v>
      </c>
    </row>
    <row r="9" spans="1:15" x14ac:dyDescent="0.2">
      <c r="A9" s="1" t="s">
        <v>249</v>
      </c>
      <c r="B9">
        <f>Baza!J8</f>
        <v>32.552404119999998</v>
      </c>
      <c r="C9">
        <f>Baza!K8</f>
        <v>32.553624839999998</v>
      </c>
      <c r="D9">
        <f>Baza!L8</f>
        <v>32.553624839999998</v>
      </c>
      <c r="E9">
        <f>Baza!M8</f>
        <v>32.553624839999998</v>
      </c>
      <c r="F9">
        <f>Baza!N8</f>
        <v>32.485291160000003</v>
      </c>
      <c r="G9">
        <f>Baza!O8</f>
        <v>32.553624839999998</v>
      </c>
      <c r="H9">
        <f>Baza!P8</f>
        <v>31.944708179999999</v>
      </c>
      <c r="I9">
        <f>Baza!Q8</f>
        <v>32.553624839999998</v>
      </c>
      <c r="J9" s="4">
        <f t="shared" si="1"/>
        <v>1.2207199999991758E-3</v>
      </c>
      <c r="K9" s="4">
        <f t="shared" si="2"/>
        <v>6.8333679999994956E-2</v>
      </c>
      <c r="L9" s="4">
        <f t="shared" si="3"/>
        <v>0.60891665999999844</v>
      </c>
      <c r="M9" s="3">
        <f t="shared" si="4"/>
        <v>3.7498742643836888E-5</v>
      </c>
      <c r="N9" s="3">
        <f t="shared" si="0"/>
        <v>2.0991112460087857E-3</v>
      </c>
      <c r="O9" s="3">
        <f t="shared" si="0"/>
        <v>1.8705034016727906E-2</v>
      </c>
    </row>
    <row r="10" spans="1:15" x14ac:dyDescent="0.2">
      <c r="A10" s="1" t="s">
        <v>250</v>
      </c>
      <c r="B10">
        <f>Baza!J9</f>
        <v>32.552430780000002</v>
      </c>
      <c r="C10">
        <f>Baza!K9</f>
        <v>32.553624839999998</v>
      </c>
      <c r="D10">
        <f>Baza!L9</f>
        <v>32.553624839999998</v>
      </c>
      <c r="E10">
        <f>Baza!M9</f>
        <v>32.553624839999998</v>
      </c>
      <c r="F10">
        <f>Baza!N9</f>
        <v>32.487029880000001</v>
      </c>
      <c r="G10">
        <f>Baza!O9</f>
        <v>32.553624839999998</v>
      </c>
      <c r="H10">
        <f>Baza!P9</f>
        <v>31.950617529999999</v>
      </c>
      <c r="I10">
        <f>Baza!Q9</f>
        <v>32.553624839999998</v>
      </c>
      <c r="J10" s="4">
        <f t="shared" si="1"/>
        <v>1.194059999996E-3</v>
      </c>
      <c r="K10" s="4">
        <f t="shared" si="2"/>
        <v>6.6594959999996206E-2</v>
      </c>
      <c r="L10" s="4">
        <f t="shared" si="3"/>
        <v>0.60300730999999885</v>
      </c>
      <c r="M10" s="3">
        <f t="shared" si="4"/>
        <v>3.6679786225489972E-5</v>
      </c>
      <c r="N10" s="3">
        <f t="shared" si="0"/>
        <v>2.0457002968888491E-3</v>
      </c>
      <c r="O10" s="3">
        <f t="shared" si="0"/>
        <v>1.8523507380937148E-2</v>
      </c>
    </row>
    <row r="11" spans="1:15" x14ac:dyDescent="0.2">
      <c r="A11" s="1" t="s">
        <v>251</v>
      </c>
      <c r="B11">
        <f>Baza!J10</f>
        <v>28.523133659999999</v>
      </c>
      <c r="C11">
        <f>Baza!K10</f>
        <v>29.36813308</v>
      </c>
      <c r="D11">
        <f>Baza!L10</f>
        <v>29.36813308</v>
      </c>
      <c r="E11">
        <f>Baza!M10</f>
        <v>29.36813308</v>
      </c>
      <c r="F11">
        <f>Baza!N10</f>
        <v>28.48476191</v>
      </c>
      <c r="G11">
        <f>Baza!O10</f>
        <v>29.36813308</v>
      </c>
      <c r="H11">
        <f>Baza!P10</f>
        <v>28.165281669999999</v>
      </c>
      <c r="I11">
        <f>Baza!Q10</f>
        <v>29.36813308</v>
      </c>
      <c r="J11" s="4">
        <f t="shared" si="1"/>
        <v>0.84499942000000061</v>
      </c>
      <c r="K11" s="4">
        <f t="shared" si="2"/>
        <v>0.88337117000000021</v>
      </c>
      <c r="L11" s="4">
        <f t="shared" si="3"/>
        <v>1.202851410000001</v>
      </c>
      <c r="M11" s="3">
        <f t="shared" si="4"/>
        <v>2.877266381551008E-2</v>
      </c>
      <c r="N11" s="3">
        <f t="shared" si="0"/>
        <v>3.0079241591341909E-2</v>
      </c>
      <c r="O11" s="3">
        <f t="shared" si="0"/>
        <v>4.095770768687898E-2</v>
      </c>
    </row>
    <row r="12" spans="1:15" x14ac:dyDescent="0.2">
      <c r="A12" s="1" t="s">
        <v>252</v>
      </c>
      <c r="B12">
        <f>Baza!J11</f>
        <v>32.61596918</v>
      </c>
      <c r="C12">
        <f>Baza!K11</f>
        <v>32.616896619999999</v>
      </c>
      <c r="D12">
        <f>Baza!L11</f>
        <v>32.616896619999999</v>
      </c>
      <c r="E12">
        <f>Baza!M11</f>
        <v>32.616896619999999</v>
      </c>
      <c r="F12">
        <f>Baza!N11</f>
        <v>32.571552859999997</v>
      </c>
      <c r="G12">
        <f>Baza!O11</f>
        <v>32.616896619999999</v>
      </c>
      <c r="H12">
        <f>Baza!P11</f>
        <v>32.202767710000003</v>
      </c>
      <c r="I12">
        <f>Baza!Q11</f>
        <v>32.616896619999999</v>
      </c>
      <c r="J12" s="4">
        <f t="shared" si="1"/>
        <v>9.2743999999811422E-4</v>
      </c>
      <c r="K12" s="4">
        <f t="shared" si="2"/>
        <v>4.534376000000151E-2</v>
      </c>
      <c r="L12" s="4">
        <f t="shared" si="3"/>
        <v>0.41412890999999519</v>
      </c>
      <c r="M12" s="3">
        <f t="shared" si="4"/>
        <v>2.8434342200092311E-5</v>
      </c>
      <c r="N12" s="3">
        <f t="shared" si="0"/>
        <v>1.3901923450374389E-3</v>
      </c>
      <c r="O12" s="3">
        <f t="shared" si="0"/>
        <v>1.2696760051232464E-2</v>
      </c>
    </row>
    <row r="13" spans="1:15" x14ac:dyDescent="0.2">
      <c r="A13" s="1" t="s">
        <v>253</v>
      </c>
      <c r="B13">
        <f>Baza!J12</f>
        <v>32.615940620000003</v>
      </c>
      <c r="C13">
        <f>Baza!K12</f>
        <v>32.616896619999999</v>
      </c>
      <c r="D13">
        <f>Baza!L12</f>
        <v>32.616896619999999</v>
      </c>
      <c r="E13">
        <f>Baza!M12</f>
        <v>32.616896619999999</v>
      </c>
      <c r="F13">
        <f>Baza!N12</f>
        <v>32.573952400000003</v>
      </c>
      <c r="G13">
        <f>Baza!O12</f>
        <v>32.616896619999999</v>
      </c>
      <c r="H13">
        <f>Baza!P12</f>
        <v>32.213556130000001</v>
      </c>
      <c r="I13">
        <f>Baza!Q12</f>
        <v>32.616896619999999</v>
      </c>
      <c r="J13" s="4">
        <f t="shared" si="1"/>
        <v>9.559999999950719E-4</v>
      </c>
      <c r="K13" s="4">
        <f t="shared" si="2"/>
        <v>4.2944219999995425E-2</v>
      </c>
      <c r="L13" s="4">
        <f t="shared" si="3"/>
        <v>0.40334048999999794</v>
      </c>
      <c r="M13" s="3">
        <f t="shared" si="4"/>
        <v>2.9309961984822086E-5</v>
      </c>
      <c r="N13" s="3">
        <f t="shared" si="0"/>
        <v>1.3166249536340907E-3</v>
      </c>
      <c r="O13" s="3">
        <f t="shared" si="0"/>
        <v>1.236599835659037E-2</v>
      </c>
    </row>
    <row r="14" spans="1:15" x14ac:dyDescent="0.2">
      <c r="A14" s="1" t="s">
        <v>257</v>
      </c>
      <c r="B14">
        <f>Baza!J14</f>
        <v>32.615116010000001</v>
      </c>
      <c r="C14">
        <f>Baza!K14</f>
        <v>32.616896619999999</v>
      </c>
      <c r="D14">
        <f>Baza!L14</f>
        <v>32.616896619999999</v>
      </c>
      <c r="E14">
        <f>Baza!M14</f>
        <v>32.616896619999999</v>
      </c>
      <c r="F14">
        <f>Baza!N14</f>
        <v>32.555171209999997</v>
      </c>
      <c r="G14">
        <f>Baza!O14</f>
        <v>32.616896619999999</v>
      </c>
      <c r="H14">
        <f>Baza!P14</f>
        <v>32.060967990000002</v>
      </c>
      <c r="I14">
        <f>Baza!Q14</f>
        <v>32.616896619999999</v>
      </c>
      <c r="J14" s="4">
        <f t="shared" si="1"/>
        <v>1.7806099999972957E-3</v>
      </c>
      <c r="K14" s="4">
        <f t="shared" si="2"/>
        <v>6.1725410000001091E-2</v>
      </c>
      <c r="L14" s="4">
        <f t="shared" si="3"/>
        <v>0.55592862999999682</v>
      </c>
      <c r="M14" s="3">
        <f t="shared" si="4"/>
        <v>5.4591643734292705E-5</v>
      </c>
      <c r="N14" s="3">
        <f t="shared" si="0"/>
        <v>1.8924366324340116E-3</v>
      </c>
      <c r="O14" s="3">
        <f t="shared" si="0"/>
        <v>1.7044191434788834E-2</v>
      </c>
    </row>
    <row r="15" spans="1:15" x14ac:dyDescent="0.2">
      <c r="A15" s="1" t="s">
        <v>255</v>
      </c>
      <c r="B15">
        <f>Baza!J15</f>
        <v>32.615152190000003</v>
      </c>
      <c r="C15">
        <f>Baza!K15</f>
        <v>32.616896619999999</v>
      </c>
      <c r="D15">
        <f>Baza!L15</f>
        <v>32.616896619999999</v>
      </c>
      <c r="E15">
        <f>Baza!M15</f>
        <v>32.616896619999999</v>
      </c>
      <c r="F15">
        <f>Baza!N15</f>
        <v>32.570932030000002</v>
      </c>
      <c r="G15">
        <f>Baza!O15</f>
        <v>32.616896619999999</v>
      </c>
      <c r="H15">
        <f>Baza!P15</f>
        <v>32.226367029999999</v>
      </c>
      <c r="I15">
        <f>Baza!Q15</f>
        <v>32.616896619999999</v>
      </c>
      <c r="J15" s="4">
        <f t="shared" si="1"/>
        <v>1.744429999995134E-3</v>
      </c>
      <c r="K15" s="4">
        <f t="shared" si="2"/>
        <v>4.5964589999996974E-2</v>
      </c>
      <c r="L15" s="4">
        <f t="shared" si="3"/>
        <v>0.39052958999999987</v>
      </c>
      <c r="M15" s="3">
        <f t="shared" si="4"/>
        <v>5.3482402704293029E-5</v>
      </c>
      <c r="N15" s="3">
        <f t="shared" si="0"/>
        <v>1.4092263447225831E-3</v>
      </c>
      <c r="O15" s="3">
        <f t="shared" si="0"/>
        <v>1.1973229536513762E-2</v>
      </c>
    </row>
    <row r="16" spans="1:15" x14ac:dyDescent="0.2">
      <c r="A16" s="1" t="s">
        <v>256</v>
      </c>
      <c r="B16">
        <f>Baza!J16</f>
        <v>32.61540548</v>
      </c>
      <c r="C16">
        <f>Baza!K16</f>
        <v>32.616896619999999</v>
      </c>
      <c r="D16">
        <f>Baza!L16</f>
        <v>32.616896619999999</v>
      </c>
      <c r="E16">
        <f>Baza!M16</f>
        <v>32.616896619999999</v>
      </c>
      <c r="F16">
        <f>Baza!N16</f>
        <v>32.564988390000003</v>
      </c>
      <c r="G16">
        <f>Baza!O16</f>
        <v>32.616896619999999</v>
      </c>
      <c r="H16">
        <f>Baza!P16</f>
        <v>32.160448129999999</v>
      </c>
      <c r="I16">
        <f>Baza!Q16</f>
        <v>32.616896619999999</v>
      </c>
      <c r="J16" s="4">
        <f t="shared" si="1"/>
        <v>1.4911399999988362E-3</v>
      </c>
      <c r="K16" s="4">
        <f t="shared" si="2"/>
        <v>5.1908229999995115E-2</v>
      </c>
      <c r="L16" s="4">
        <f t="shared" si="3"/>
        <v>0.45644848999999965</v>
      </c>
      <c r="M16" s="3">
        <f t="shared" si="4"/>
        <v>4.5716795726191204E-5</v>
      </c>
      <c r="N16" s="3">
        <f t="shared" si="0"/>
        <v>1.5914521422668419E-3</v>
      </c>
      <c r="O16" s="3">
        <f t="shared" si="0"/>
        <v>1.3994234194558993E-2</v>
      </c>
    </row>
    <row r="17" spans="1:15" x14ac:dyDescent="0.2">
      <c r="A17" s="1" t="s">
        <v>258</v>
      </c>
      <c r="B17">
        <f>Baza!J17</f>
        <v>32.615015079999999</v>
      </c>
      <c r="C17">
        <f>Baza!K17</f>
        <v>32.616896619999999</v>
      </c>
      <c r="D17">
        <f>Baza!L17</f>
        <v>32.616896619999999</v>
      </c>
      <c r="E17">
        <f>Baza!M17</f>
        <v>32.616896619999999</v>
      </c>
      <c r="F17">
        <f>Baza!N17</f>
        <v>32.572800239999999</v>
      </c>
      <c r="G17">
        <f>Baza!O17</f>
        <v>32.616896619999999</v>
      </c>
      <c r="H17">
        <f>Baza!P17</f>
        <v>32.235595750000002</v>
      </c>
      <c r="I17">
        <f>Baza!Q17</f>
        <v>32.616896619999999</v>
      </c>
      <c r="J17" s="4">
        <f t="shared" si="1"/>
        <v>1.8815399999994042E-3</v>
      </c>
      <c r="K17" s="4">
        <f t="shared" si="2"/>
        <v>4.4096379999999158E-2</v>
      </c>
      <c r="L17" s="4">
        <f t="shared" si="3"/>
        <v>0.38130086999999691</v>
      </c>
      <c r="M17" s="3">
        <f t="shared" si="4"/>
        <v>5.7686052168607707E-5</v>
      </c>
      <c r="N17" s="3">
        <f t="shared" si="0"/>
        <v>1.351948976438187E-3</v>
      </c>
      <c r="O17" s="3">
        <f t="shared" si="0"/>
        <v>1.1690286615624591E-2</v>
      </c>
    </row>
    <row r="20" spans="1:15" x14ac:dyDescent="0.2">
      <c r="B20" t="s">
        <v>261</v>
      </c>
    </row>
    <row r="21" spans="1:15" x14ac:dyDescent="0.2">
      <c r="B21" t="s">
        <v>262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13</vt:i4>
      </vt:variant>
    </vt:vector>
  </HeadingPairs>
  <TitlesOfParts>
    <vt:vector size="13" baseType="lpstr">
      <vt:lpstr>Baza</vt:lpstr>
      <vt:lpstr>Par_S_005</vt:lpstr>
      <vt:lpstr>Par_S_005 Graph</vt:lpstr>
      <vt:lpstr>Par_S_05</vt:lpstr>
      <vt:lpstr>Par_S_05 Graph</vt:lpstr>
      <vt:lpstr>Par_P_005</vt:lpstr>
      <vt:lpstr>Par_P_05</vt:lpstr>
      <vt:lpstr>Par_R_005</vt:lpstr>
      <vt:lpstr>Par_R_005_Graph</vt:lpstr>
      <vt:lpstr>Par_R_05</vt:lpstr>
      <vt:lpstr>Par_R_05_Graph</vt:lpstr>
      <vt:lpstr>Punty NM</vt:lpstr>
      <vt:lpstr>Punty NM 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Niesłony</dc:creator>
  <cp:lastModifiedBy>Dawid Kucharski</cp:lastModifiedBy>
  <dcterms:created xsi:type="dcterms:W3CDTF">2025-02-04T09:42:45Z</dcterms:created>
  <dcterms:modified xsi:type="dcterms:W3CDTF">2025-09-02T12:31:21Z</dcterms:modified>
</cp:coreProperties>
</file>