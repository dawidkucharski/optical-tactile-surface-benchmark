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wid/Library/Mobile Documents/com~apple~CloudDocs/Dokumenty/Projekty/NSMT/AI_GUM/2024/Opole/analizy_vs_opole/optics/"/>
    </mc:Choice>
  </mc:AlternateContent>
  <xr:revisionPtr revIDLastSave="0" documentId="13_ncr:1_{ADC6BDB7-E069-904C-B49B-38C5D871F4F4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Baza" sheetId="1" r:id="rId1"/>
    <sheet name="Par_S_005" sheetId="2" r:id="rId2"/>
    <sheet name="Par_S_05" sheetId="3" r:id="rId3"/>
    <sheet name="Par_P_005" sheetId="4" r:id="rId4"/>
    <sheet name="Par_P_05" sheetId="5" r:id="rId5"/>
    <sheet name="Par_R_005" sheetId="6" r:id="rId6"/>
    <sheet name="Par_R_05" sheetId="7" r:id="rId7"/>
    <sheet name="Punty NM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I17" i="8" l="1"/>
  <c r="H17" i="8"/>
  <c r="G17" i="8"/>
  <c r="F17" i="8"/>
  <c r="E17" i="8"/>
  <c r="D17" i="8"/>
  <c r="C17" i="8"/>
  <c r="B17" i="8"/>
  <c r="I16" i="8"/>
  <c r="H16" i="8"/>
  <c r="G16" i="8"/>
  <c r="F16" i="8"/>
  <c r="E16" i="8"/>
  <c r="D16" i="8"/>
  <c r="C16" i="8"/>
  <c r="B16" i="8"/>
  <c r="I15" i="8"/>
  <c r="H15" i="8"/>
  <c r="G15" i="8"/>
  <c r="F15" i="8"/>
  <c r="E15" i="8"/>
  <c r="D15" i="8"/>
  <c r="C15" i="8"/>
  <c r="B15" i="8"/>
  <c r="I14" i="8"/>
  <c r="H14" i="8"/>
  <c r="G14" i="8"/>
  <c r="F14" i="8"/>
  <c r="E14" i="8"/>
  <c r="D14" i="8"/>
  <c r="C14" i="8"/>
  <c r="B14" i="8"/>
  <c r="I13" i="8"/>
  <c r="H13" i="8"/>
  <c r="G13" i="8"/>
  <c r="F13" i="8"/>
  <c r="E13" i="8"/>
  <c r="D13" i="8"/>
  <c r="C13" i="8"/>
  <c r="B13" i="8"/>
  <c r="I12" i="8"/>
  <c r="H12" i="8"/>
  <c r="G12" i="8"/>
  <c r="F12" i="8"/>
  <c r="E12" i="8"/>
  <c r="D12" i="8"/>
  <c r="C12" i="8"/>
  <c r="B12" i="8"/>
  <c r="I11" i="8"/>
  <c r="H11" i="8"/>
  <c r="G11" i="8"/>
  <c r="F11" i="8"/>
  <c r="E11" i="8"/>
  <c r="D11" i="8"/>
  <c r="C11" i="8"/>
  <c r="B11" i="8"/>
  <c r="I10" i="8"/>
  <c r="H10" i="8"/>
  <c r="G10" i="8"/>
  <c r="F10" i="8"/>
  <c r="E10" i="8"/>
  <c r="D10" i="8"/>
  <c r="C10" i="8"/>
  <c r="B10" i="8"/>
  <c r="I9" i="8"/>
  <c r="H9" i="8"/>
  <c r="G9" i="8"/>
  <c r="F9" i="8"/>
  <c r="E9" i="8"/>
  <c r="D9" i="8"/>
  <c r="C9" i="8"/>
  <c r="B9" i="8"/>
  <c r="I8" i="8"/>
  <c r="H8" i="8"/>
  <c r="G8" i="8"/>
  <c r="F8" i="8"/>
  <c r="E8" i="8"/>
  <c r="D8" i="8"/>
  <c r="C8" i="8"/>
  <c r="J8" i="8" s="1"/>
  <c r="M8" i="8" s="1"/>
  <c r="B8" i="8"/>
  <c r="I7" i="8"/>
  <c r="H7" i="8"/>
  <c r="G7" i="8"/>
  <c r="F7" i="8"/>
  <c r="E7" i="8"/>
  <c r="D7" i="8"/>
  <c r="C7" i="8"/>
  <c r="B7" i="8"/>
  <c r="I6" i="8"/>
  <c r="H6" i="8"/>
  <c r="G6" i="8"/>
  <c r="F6" i="8"/>
  <c r="E6" i="8"/>
  <c r="D6" i="8"/>
  <c r="C6" i="8"/>
  <c r="B6" i="8"/>
  <c r="I5" i="8"/>
  <c r="H5" i="8"/>
  <c r="G5" i="8"/>
  <c r="F5" i="8"/>
  <c r="E5" i="8"/>
  <c r="D5" i="8"/>
  <c r="C5" i="8"/>
  <c r="B5" i="8"/>
  <c r="I4" i="8"/>
  <c r="H4" i="8"/>
  <c r="G4" i="8"/>
  <c r="F4" i="8"/>
  <c r="E4" i="8"/>
  <c r="D4" i="8"/>
  <c r="C4" i="8"/>
  <c r="B4" i="8"/>
  <c r="I3" i="8"/>
  <c r="H3" i="8"/>
  <c r="G3" i="8"/>
  <c r="F3" i="8"/>
  <c r="E3" i="8"/>
  <c r="D3" i="8"/>
  <c r="C3" i="8"/>
  <c r="B3" i="8"/>
  <c r="I2" i="8"/>
  <c r="H2" i="8"/>
  <c r="G2" i="8"/>
  <c r="F2" i="8"/>
  <c r="E2" i="8"/>
  <c r="D2" i="8"/>
  <c r="C2" i="8"/>
  <c r="B2" i="8"/>
  <c r="C18" i="7"/>
  <c r="B18" i="7"/>
  <c r="C17" i="7"/>
  <c r="B17" i="7"/>
  <c r="C16" i="7"/>
  <c r="B16" i="7"/>
  <c r="C15" i="7"/>
  <c r="B15" i="7"/>
  <c r="C14" i="7"/>
  <c r="B14" i="7"/>
  <c r="D13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C1" i="7" s="1"/>
  <c r="B4" i="7"/>
  <c r="B1" i="7" s="1"/>
  <c r="C3" i="7"/>
  <c r="B3" i="7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C4" i="6"/>
  <c r="C1" i="6" s="1"/>
  <c r="B4" i="6"/>
  <c r="B1" i="6" s="1"/>
  <c r="C3" i="6"/>
  <c r="B3" i="6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C1" i="5" s="1"/>
  <c r="B4" i="5"/>
  <c r="B1" i="5" s="1"/>
  <c r="C3" i="5"/>
  <c r="B3" i="5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C1" i="4" s="1"/>
  <c r="B4" i="4"/>
  <c r="B1" i="4" s="1"/>
  <c r="C3" i="4"/>
  <c r="B3" i="4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S4" i="3"/>
  <c r="S1" i="3" s="1"/>
  <c r="R4" i="3"/>
  <c r="R1" i="3" s="1"/>
  <c r="Q4" i="3"/>
  <c r="Q1" i="3" s="1"/>
  <c r="P4" i="3"/>
  <c r="P1" i="3" s="1"/>
  <c r="O4" i="3"/>
  <c r="O1" i="3" s="1"/>
  <c r="N4" i="3"/>
  <c r="N1" i="3" s="1"/>
  <c r="M4" i="3"/>
  <c r="M1" i="3" s="1"/>
  <c r="L4" i="3"/>
  <c r="L1" i="3" s="1"/>
  <c r="K4" i="3"/>
  <c r="K1" i="3" s="1"/>
  <c r="J4" i="3"/>
  <c r="J1" i="3" s="1"/>
  <c r="I4" i="3"/>
  <c r="I1" i="3" s="1"/>
  <c r="H4" i="3"/>
  <c r="H1" i="3" s="1"/>
  <c r="G4" i="3"/>
  <c r="G1" i="3" s="1"/>
  <c r="F4" i="3"/>
  <c r="F1" i="3" s="1"/>
  <c r="E4" i="3"/>
  <c r="E1" i="3" s="1"/>
  <c r="D4" i="3"/>
  <c r="D1" i="3" s="1"/>
  <c r="C4" i="3"/>
  <c r="C1" i="3" s="1"/>
  <c r="B4" i="3"/>
  <c r="B1" i="3" s="1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L17" i="8"/>
  <c r="O17" i="8" s="1"/>
  <c r="L12" i="8"/>
  <c r="D2" i="7"/>
  <c r="D17" i="7" s="1"/>
  <c r="D2" i="6"/>
  <c r="D2" i="5"/>
  <c r="D2" i="4"/>
  <c r="D13" i="4" s="1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S4" i="2"/>
  <c r="S1" i="2" s="1"/>
  <c r="R4" i="2"/>
  <c r="R1" i="2" s="1"/>
  <c r="Q4" i="2"/>
  <c r="Q1" i="2" s="1"/>
  <c r="P4" i="2"/>
  <c r="P1" i="2" s="1"/>
  <c r="O4" i="2"/>
  <c r="O1" i="2" s="1"/>
  <c r="N4" i="2"/>
  <c r="N1" i="2" s="1"/>
  <c r="M4" i="2"/>
  <c r="M1" i="2" s="1"/>
  <c r="L4" i="2"/>
  <c r="L1" i="2" s="1"/>
  <c r="K4" i="2"/>
  <c r="K1" i="2" s="1"/>
  <c r="J4" i="2"/>
  <c r="J1" i="2" s="1"/>
  <c r="I4" i="2"/>
  <c r="I1" i="2" s="1"/>
  <c r="H4" i="2"/>
  <c r="H1" i="2" s="1"/>
  <c r="G4" i="2"/>
  <c r="G1" i="2" s="1"/>
  <c r="F4" i="2"/>
  <c r="F1" i="2" s="1"/>
  <c r="E4" i="2"/>
  <c r="E1" i="2" s="1"/>
  <c r="D4" i="2"/>
  <c r="D1" i="2" s="1"/>
  <c r="C4" i="2"/>
  <c r="C1" i="2" s="1"/>
  <c r="B4" i="2"/>
  <c r="B1" i="2" s="1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U6" i="6" l="1"/>
  <c r="U8" i="6"/>
  <c r="U10" i="6"/>
  <c r="U12" i="6"/>
  <c r="U14" i="6"/>
  <c r="U16" i="6"/>
  <c r="U18" i="6"/>
  <c r="D6" i="4"/>
  <c r="D18" i="4"/>
  <c r="D3" i="4"/>
  <c r="D15" i="4"/>
  <c r="D12" i="4"/>
  <c r="U7" i="6"/>
  <c r="U9" i="6"/>
  <c r="U11" i="6"/>
  <c r="U13" i="6"/>
  <c r="U15" i="6"/>
  <c r="U17" i="6"/>
  <c r="D9" i="4"/>
  <c r="D5" i="7"/>
  <c r="D14" i="7"/>
  <c r="L6" i="8"/>
  <c r="O6" i="8" s="1"/>
  <c r="L7" i="8"/>
  <c r="O7" i="8" s="1"/>
  <c r="L16" i="8"/>
  <c r="O16" i="8" s="1"/>
  <c r="K9" i="8"/>
  <c r="N9" i="8" s="1"/>
  <c r="L5" i="8"/>
  <c r="O5" i="8" s="1"/>
  <c r="L11" i="8"/>
  <c r="O11" i="8" s="1"/>
  <c r="K16" i="8"/>
  <c r="N16" i="8" s="1"/>
  <c r="J17" i="8"/>
  <c r="M17" i="8" s="1"/>
  <c r="K6" i="8"/>
  <c r="N6" i="8" s="1"/>
  <c r="K12" i="8"/>
  <c r="N12" i="8" s="1"/>
  <c r="J14" i="8"/>
  <c r="M14" i="8" s="1"/>
  <c r="J6" i="8"/>
  <c r="M6" i="8" s="1"/>
  <c r="K7" i="8"/>
  <c r="N7" i="8" s="1"/>
  <c r="J9" i="8"/>
  <c r="M9" i="8" s="1"/>
  <c r="K10" i="8"/>
  <c r="N10" i="8" s="1"/>
  <c r="J12" i="8"/>
  <c r="M12" i="8" s="1"/>
  <c r="K13" i="8"/>
  <c r="N13" i="8" s="1"/>
  <c r="J15" i="8"/>
  <c r="M15" i="8" s="1"/>
  <c r="L10" i="8"/>
  <c r="O10" i="8" s="1"/>
  <c r="L13" i="8"/>
  <c r="O13" i="8" s="1"/>
  <c r="K5" i="8"/>
  <c r="N5" i="8" s="1"/>
  <c r="J7" i="8"/>
  <c r="M7" i="8" s="1"/>
  <c r="K8" i="8"/>
  <c r="N8" i="8" s="1"/>
  <c r="J10" i="8"/>
  <c r="M10" i="8" s="1"/>
  <c r="K11" i="8"/>
  <c r="N11" i="8" s="1"/>
  <c r="J13" i="8"/>
  <c r="M13" i="8" s="1"/>
  <c r="K14" i="8"/>
  <c r="N14" i="8" s="1"/>
  <c r="J16" i="8"/>
  <c r="M16" i="8" s="1"/>
  <c r="K17" i="8"/>
  <c r="N17" i="8" s="1"/>
  <c r="D10" i="6"/>
  <c r="D15" i="6"/>
  <c r="D3" i="6"/>
  <c r="D8" i="6"/>
  <c r="D13" i="6"/>
  <c r="D18" i="6"/>
  <c r="D5" i="6"/>
  <c r="D9" i="6"/>
  <c r="D17" i="6"/>
  <c r="D7" i="6"/>
  <c r="D16" i="6"/>
  <c r="D6" i="6"/>
  <c r="D14" i="6"/>
  <c r="D4" i="6"/>
  <c r="D1" i="6" s="1"/>
  <c r="D12" i="6"/>
  <c r="D11" i="6"/>
  <c r="D13" i="5"/>
  <c r="D7" i="5"/>
  <c r="D18" i="5"/>
  <c r="D12" i="5"/>
  <c r="D6" i="5"/>
  <c r="D15" i="5"/>
  <c r="D9" i="5"/>
  <c r="D3" i="5"/>
  <c r="D16" i="5"/>
  <c r="D10" i="5"/>
  <c r="D4" i="5"/>
  <c r="D1" i="5" s="1"/>
  <c r="D11" i="5"/>
  <c r="D5" i="5"/>
  <c r="D17" i="5"/>
  <c r="D14" i="5"/>
  <c r="D8" i="5"/>
  <c r="D15" i="7"/>
  <c r="D18" i="7"/>
  <c r="D6" i="7"/>
  <c r="D11" i="7"/>
  <c r="D16" i="7"/>
  <c r="D4" i="7"/>
  <c r="D1" i="7" s="1"/>
  <c r="D9" i="7"/>
  <c r="D7" i="7"/>
  <c r="D8" i="7"/>
  <c r="J5" i="8"/>
  <c r="M5" i="8" s="1"/>
  <c r="K15" i="8"/>
  <c r="N15" i="8" s="1"/>
  <c r="D10" i="7"/>
  <c r="L9" i="8"/>
  <c r="O9" i="8" s="1"/>
  <c r="L15" i="8"/>
  <c r="O15" i="8" s="1"/>
  <c r="D8" i="4"/>
  <c r="D14" i="4"/>
  <c r="D7" i="4"/>
  <c r="D3" i="7"/>
  <c r="D17" i="4"/>
  <c r="D11" i="4"/>
  <c r="D5" i="4"/>
  <c r="D16" i="4"/>
  <c r="D10" i="4"/>
  <c r="D4" i="4"/>
  <c r="D1" i="4" s="1"/>
  <c r="D12" i="7"/>
  <c r="E2" i="7"/>
  <c r="L8" i="8"/>
  <c r="O8" i="8" s="1"/>
  <c r="J11" i="8"/>
  <c r="M11" i="8" s="1"/>
  <c r="L14" i="8"/>
  <c r="O14" i="8" s="1"/>
  <c r="E2" i="4"/>
  <c r="O12" i="8"/>
  <c r="E2" i="6"/>
  <c r="E2" i="5"/>
  <c r="E17" i="4" l="1"/>
  <c r="E11" i="4"/>
  <c r="E5" i="4"/>
  <c r="E16" i="4"/>
  <c r="E10" i="4"/>
  <c r="E4" i="4"/>
  <c r="E1" i="4" s="1"/>
  <c r="E13" i="4"/>
  <c r="E7" i="4"/>
  <c r="E14" i="4"/>
  <c r="E8" i="4"/>
  <c r="E15" i="4"/>
  <c r="E9" i="4"/>
  <c r="E3" i="4"/>
  <c r="E12" i="4"/>
  <c r="E18" i="4"/>
  <c r="E6" i="4"/>
  <c r="E13" i="5"/>
  <c r="E7" i="5"/>
  <c r="E18" i="5"/>
  <c r="E12" i="5"/>
  <c r="E6" i="5"/>
  <c r="E15" i="5"/>
  <c r="E9" i="5"/>
  <c r="E3" i="5"/>
  <c r="E16" i="5"/>
  <c r="E10" i="5"/>
  <c r="E4" i="5"/>
  <c r="E1" i="5" s="1"/>
  <c r="E17" i="5"/>
  <c r="E11" i="5"/>
  <c r="E5" i="5"/>
  <c r="E14" i="5"/>
  <c r="E8" i="5"/>
  <c r="E11" i="7"/>
  <c r="E16" i="7"/>
  <c r="E4" i="7"/>
  <c r="E1" i="7" s="1"/>
  <c r="E9" i="7"/>
  <c r="E14" i="7"/>
  <c r="E3" i="7"/>
  <c r="E7" i="7"/>
  <c r="E10" i="7"/>
  <c r="E8" i="7"/>
  <c r="E18" i="7"/>
  <c r="E17" i="7"/>
  <c r="E15" i="7"/>
  <c r="E6" i="7"/>
  <c r="E5" i="7"/>
  <c r="E13" i="7"/>
  <c r="E12" i="7"/>
  <c r="E15" i="6"/>
  <c r="E3" i="6"/>
  <c r="E8" i="6"/>
  <c r="E13" i="6"/>
  <c r="E18" i="6"/>
  <c r="E6" i="6"/>
  <c r="E10" i="6"/>
  <c r="E9" i="6"/>
  <c r="E17" i="6"/>
  <c r="E16" i="6"/>
  <c r="E7" i="6"/>
  <c r="E4" i="6"/>
  <c r="E1" i="6" s="1"/>
  <c r="E5" i="6"/>
  <c r="E14" i="6"/>
  <c r="E12" i="6"/>
  <c r="E11" i="6"/>
  <c r="F2" i="7"/>
  <c r="F2" i="5"/>
  <c r="F2" i="6"/>
  <c r="F2" i="4"/>
  <c r="F18" i="5" l="1"/>
  <c r="F12" i="5"/>
  <c r="F6" i="5"/>
  <c r="F17" i="5"/>
  <c r="F11" i="5"/>
  <c r="F5" i="5"/>
  <c r="F16" i="5"/>
  <c r="F10" i="5"/>
  <c r="F4" i="5"/>
  <c r="F1" i="5" s="1"/>
  <c r="F14" i="5"/>
  <c r="F13" i="5"/>
  <c r="F8" i="5"/>
  <c r="F7" i="5"/>
  <c r="F15" i="5"/>
  <c r="F9" i="5"/>
  <c r="F3" i="5"/>
  <c r="F16" i="7"/>
  <c r="F4" i="7"/>
  <c r="F1" i="7" s="1"/>
  <c r="F9" i="7"/>
  <c r="F14" i="7"/>
  <c r="F7" i="7"/>
  <c r="F15" i="7"/>
  <c r="F11" i="7"/>
  <c r="F10" i="7"/>
  <c r="F8" i="7"/>
  <c r="F18" i="7"/>
  <c r="F17" i="7"/>
  <c r="F6" i="7"/>
  <c r="F5" i="7"/>
  <c r="F13" i="7"/>
  <c r="F12" i="7"/>
  <c r="F3" i="7"/>
  <c r="F16" i="4"/>
  <c r="F10" i="4"/>
  <c r="F4" i="4"/>
  <c r="F1" i="4" s="1"/>
  <c r="F15" i="4"/>
  <c r="F9" i="4"/>
  <c r="F3" i="4"/>
  <c r="F14" i="4"/>
  <c r="F8" i="4"/>
  <c r="F18" i="4"/>
  <c r="F17" i="4"/>
  <c r="F12" i="4"/>
  <c r="F11" i="4"/>
  <c r="F6" i="4"/>
  <c r="F5" i="4"/>
  <c r="F13" i="4"/>
  <c r="F7" i="4"/>
  <c r="F8" i="6"/>
  <c r="F13" i="6"/>
  <c r="F18" i="6"/>
  <c r="F6" i="6"/>
  <c r="F11" i="6"/>
  <c r="F9" i="6"/>
  <c r="F17" i="6"/>
  <c r="F16" i="6"/>
  <c r="F5" i="6"/>
  <c r="F7" i="6"/>
  <c r="F15" i="6"/>
  <c r="F14" i="6"/>
  <c r="F4" i="6"/>
  <c r="F1" i="6" s="1"/>
  <c r="F12" i="6"/>
  <c r="F3" i="6"/>
  <c r="F10" i="6"/>
  <c r="G2" i="5"/>
  <c r="G2" i="4"/>
  <c r="G2" i="6"/>
  <c r="G2" i="7"/>
  <c r="G9" i="7" l="1"/>
  <c r="G14" i="7"/>
  <c r="G7" i="7"/>
  <c r="G12" i="7"/>
  <c r="G17" i="7"/>
  <c r="G11" i="7"/>
  <c r="G10" i="7"/>
  <c r="G5" i="7"/>
  <c r="G8" i="7"/>
  <c r="G18" i="7"/>
  <c r="G16" i="7"/>
  <c r="G15" i="7"/>
  <c r="G6" i="7"/>
  <c r="G13" i="7"/>
  <c r="G4" i="7"/>
  <c r="G1" i="7" s="1"/>
  <c r="G3" i="7"/>
  <c r="G13" i="6"/>
  <c r="G18" i="6"/>
  <c r="G6" i="6"/>
  <c r="G11" i="6"/>
  <c r="G16" i="6"/>
  <c r="G4" i="6"/>
  <c r="G1" i="6" s="1"/>
  <c r="G17" i="6"/>
  <c r="G8" i="6"/>
  <c r="G7" i="6"/>
  <c r="G14" i="6"/>
  <c r="G15" i="6"/>
  <c r="G5" i="6"/>
  <c r="G12" i="6"/>
  <c r="G3" i="6"/>
  <c r="G10" i="6"/>
  <c r="G9" i="6"/>
  <c r="G18" i="5"/>
  <c r="G12" i="5"/>
  <c r="G6" i="5"/>
  <c r="G17" i="5"/>
  <c r="G11" i="5"/>
  <c r="G5" i="5"/>
  <c r="G16" i="5"/>
  <c r="G10" i="5"/>
  <c r="G4" i="5"/>
  <c r="G1" i="5" s="1"/>
  <c r="G14" i="5"/>
  <c r="G13" i="5"/>
  <c r="G8" i="5"/>
  <c r="G7" i="5"/>
  <c r="G15" i="5"/>
  <c r="G3" i="5"/>
  <c r="G9" i="5"/>
  <c r="G16" i="4"/>
  <c r="G10" i="4"/>
  <c r="G4" i="4"/>
  <c r="G1" i="4" s="1"/>
  <c r="G15" i="4"/>
  <c r="G9" i="4"/>
  <c r="G3" i="4"/>
  <c r="G14" i="4"/>
  <c r="G8" i="4"/>
  <c r="G5" i="4"/>
  <c r="G12" i="4"/>
  <c r="G18" i="4"/>
  <c r="G17" i="4"/>
  <c r="G11" i="4"/>
  <c r="G6" i="4"/>
  <c r="G7" i="4"/>
  <c r="G13" i="4"/>
  <c r="H2" i="4"/>
  <c r="H2" i="6"/>
  <c r="H2" i="5"/>
  <c r="H2" i="7"/>
  <c r="H14" i="7" l="1"/>
  <c r="H7" i="7"/>
  <c r="H12" i="7"/>
  <c r="H17" i="7"/>
  <c r="H5" i="7"/>
  <c r="H10" i="7"/>
  <c r="H8" i="7"/>
  <c r="H18" i="7"/>
  <c r="H9" i="7"/>
  <c r="H6" i="7"/>
  <c r="H13" i="7"/>
  <c r="H16" i="7"/>
  <c r="H15" i="7"/>
  <c r="H4" i="7"/>
  <c r="H1" i="7" s="1"/>
  <c r="H3" i="7"/>
  <c r="H11" i="7"/>
  <c r="H17" i="5"/>
  <c r="H11" i="5"/>
  <c r="H5" i="5"/>
  <c r="H16" i="5"/>
  <c r="H10" i="5"/>
  <c r="H4" i="5"/>
  <c r="H1" i="5" s="1"/>
  <c r="H12" i="5"/>
  <c r="H13" i="5"/>
  <c r="H6" i="5"/>
  <c r="H7" i="5"/>
  <c r="H14" i="5"/>
  <c r="H8" i="5"/>
  <c r="H18" i="5"/>
  <c r="H15" i="5"/>
  <c r="H9" i="5"/>
  <c r="H3" i="5"/>
  <c r="H18" i="6"/>
  <c r="H6" i="6"/>
  <c r="H11" i="6"/>
  <c r="H16" i="6"/>
  <c r="H4" i="6"/>
  <c r="H1" i="6" s="1"/>
  <c r="H9" i="6"/>
  <c r="H8" i="6"/>
  <c r="H7" i="6"/>
  <c r="H3" i="6"/>
  <c r="H13" i="6"/>
  <c r="H15" i="6"/>
  <c r="H5" i="6"/>
  <c r="H14" i="6"/>
  <c r="H12" i="6"/>
  <c r="H10" i="6"/>
  <c r="H17" i="6"/>
  <c r="H15" i="4"/>
  <c r="H9" i="4"/>
  <c r="H3" i="4"/>
  <c r="H14" i="4"/>
  <c r="H8" i="4"/>
  <c r="H6" i="4"/>
  <c r="H4" i="4"/>
  <c r="H1" i="4" s="1"/>
  <c r="H12" i="4"/>
  <c r="H10" i="4"/>
  <c r="H5" i="4"/>
  <c r="H11" i="4"/>
  <c r="H18" i="4"/>
  <c r="H16" i="4"/>
  <c r="H17" i="4"/>
  <c r="H13" i="4"/>
  <c r="H7" i="4"/>
  <c r="I2" i="6"/>
  <c r="I2" i="7"/>
  <c r="I2" i="5"/>
  <c r="I2" i="4"/>
  <c r="I17" i="5" l="1"/>
  <c r="I11" i="5"/>
  <c r="I5" i="5"/>
  <c r="I16" i="5"/>
  <c r="I10" i="5"/>
  <c r="I4" i="5"/>
  <c r="I1" i="5" s="1"/>
  <c r="I15" i="5"/>
  <c r="I18" i="5"/>
  <c r="I14" i="5"/>
  <c r="I13" i="5"/>
  <c r="I12" i="5"/>
  <c r="I8" i="5"/>
  <c r="I7" i="5"/>
  <c r="I6" i="5"/>
  <c r="I9" i="5"/>
  <c r="I3" i="5"/>
  <c r="I15" i="4"/>
  <c r="I9" i="4"/>
  <c r="I3" i="4"/>
  <c r="I14" i="4"/>
  <c r="I8" i="4"/>
  <c r="I13" i="4"/>
  <c r="I7" i="4"/>
  <c r="I18" i="4"/>
  <c r="I17" i="4"/>
  <c r="I16" i="4"/>
  <c r="I12" i="4"/>
  <c r="I11" i="4"/>
  <c r="I10" i="4"/>
  <c r="I6" i="4"/>
  <c r="I5" i="4"/>
  <c r="I4" i="4"/>
  <c r="I1" i="4" s="1"/>
  <c r="I11" i="6"/>
  <c r="I16" i="6"/>
  <c r="I4" i="6"/>
  <c r="I1" i="6" s="1"/>
  <c r="I9" i="6"/>
  <c r="I14" i="6"/>
  <c r="I8" i="6"/>
  <c r="I7" i="6"/>
  <c r="I12" i="6"/>
  <c r="I15" i="6"/>
  <c r="I5" i="6"/>
  <c r="I6" i="6"/>
  <c r="I13" i="6"/>
  <c r="I3" i="6"/>
  <c r="I10" i="6"/>
  <c r="I17" i="6"/>
  <c r="I18" i="6"/>
  <c r="I7" i="7"/>
  <c r="I12" i="7"/>
  <c r="I17" i="7"/>
  <c r="I5" i="7"/>
  <c r="I10" i="7"/>
  <c r="I8" i="7"/>
  <c r="I14" i="7"/>
  <c r="I18" i="7"/>
  <c r="I9" i="7"/>
  <c r="I16" i="7"/>
  <c r="I15" i="7"/>
  <c r="I6" i="7"/>
  <c r="I13" i="7"/>
  <c r="I4" i="7"/>
  <c r="I1" i="7" s="1"/>
  <c r="I3" i="7"/>
  <c r="I11" i="7"/>
  <c r="J2" i="4"/>
  <c r="J2" i="6"/>
  <c r="J2" i="5"/>
  <c r="J2" i="7"/>
  <c r="J16" i="5" l="1"/>
  <c r="J10" i="5"/>
  <c r="J4" i="5"/>
  <c r="J1" i="5" s="1"/>
  <c r="J15" i="5"/>
  <c r="J9" i="5"/>
  <c r="J3" i="5"/>
  <c r="J8" i="5"/>
  <c r="J18" i="5"/>
  <c r="J12" i="5"/>
  <c r="J6" i="5"/>
  <c r="J17" i="5"/>
  <c r="J11" i="5"/>
  <c r="J5" i="5"/>
  <c r="J14" i="5"/>
  <c r="J7" i="5"/>
  <c r="J13" i="5"/>
  <c r="J12" i="7"/>
  <c r="J17" i="7"/>
  <c r="J5" i="7"/>
  <c r="J10" i="7"/>
  <c r="J15" i="7"/>
  <c r="J3" i="7"/>
  <c r="J8" i="7"/>
  <c r="J4" i="7"/>
  <c r="J1" i="7" s="1"/>
  <c r="J18" i="7"/>
  <c r="J9" i="7"/>
  <c r="J16" i="7"/>
  <c r="J6" i="7"/>
  <c r="J7" i="7"/>
  <c r="J13" i="7"/>
  <c r="J14" i="7"/>
  <c r="J11" i="7"/>
  <c r="J16" i="6"/>
  <c r="J4" i="6"/>
  <c r="J1" i="6" s="1"/>
  <c r="J9" i="6"/>
  <c r="J14" i="6"/>
  <c r="J7" i="6"/>
  <c r="J10" i="6"/>
  <c r="J15" i="6"/>
  <c r="J5" i="6"/>
  <c r="J3" i="6"/>
  <c r="J6" i="6"/>
  <c r="J12" i="6"/>
  <c r="J13" i="6"/>
  <c r="J11" i="6"/>
  <c r="J17" i="6"/>
  <c r="J18" i="6"/>
  <c r="J8" i="6"/>
  <c r="J14" i="4"/>
  <c r="J8" i="4"/>
  <c r="J13" i="4"/>
  <c r="J7" i="4"/>
  <c r="J12" i="4"/>
  <c r="J5" i="4"/>
  <c r="J16" i="4"/>
  <c r="J15" i="4"/>
  <c r="J9" i="4"/>
  <c r="J3" i="4"/>
  <c r="J18" i="4"/>
  <c r="J4" i="4"/>
  <c r="J1" i="4" s="1"/>
  <c r="J17" i="4"/>
  <c r="J11" i="4"/>
  <c r="J6" i="4"/>
  <c r="J10" i="4"/>
  <c r="K2" i="7"/>
  <c r="K2" i="4"/>
  <c r="K2" i="5"/>
  <c r="K2" i="6"/>
  <c r="K9" i="6" l="1"/>
  <c r="K14" i="6"/>
  <c r="K7" i="6"/>
  <c r="K12" i="6"/>
  <c r="K15" i="6"/>
  <c r="K5" i="6"/>
  <c r="K16" i="6"/>
  <c r="K6" i="6"/>
  <c r="K4" i="6"/>
  <c r="K1" i="6" s="1"/>
  <c r="K13" i="6"/>
  <c r="K3" i="6"/>
  <c r="K11" i="6"/>
  <c r="K10" i="6"/>
  <c r="K17" i="6"/>
  <c r="K18" i="6"/>
  <c r="K8" i="6"/>
  <c r="K16" i="5"/>
  <c r="K10" i="5"/>
  <c r="K4" i="5"/>
  <c r="K1" i="5" s="1"/>
  <c r="K15" i="5"/>
  <c r="K9" i="5"/>
  <c r="K3" i="5"/>
  <c r="K17" i="5"/>
  <c r="K11" i="5"/>
  <c r="K5" i="5"/>
  <c r="K18" i="5"/>
  <c r="K14" i="5"/>
  <c r="K13" i="5"/>
  <c r="K12" i="5"/>
  <c r="K8" i="5"/>
  <c r="K7" i="5"/>
  <c r="K6" i="5"/>
  <c r="K14" i="4"/>
  <c r="K8" i="4"/>
  <c r="K13" i="4"/>
  <c r="K7" i="4"/>
  <c r="K15" i="4"/>
  <c r="K9" i="4"/>
  <c r="K3" i="4"/>
  <c r="K18" i="4"/>
  <c r="K17" i="4"/>
  <c r="K16" i="4"/>
  <c r="K12" i="4"/>
  <c r="K11" i="4"/>
  <c r="K10" i="4"/>
  <c r="K6" i="4"/>
  <c r="K5" i="4"/>
  <c r="K4" i="4"/>
  <c r="K1" i="4" s="1"/>
  <c r="K17" i="7"/>
  <c r="K5" i="7"/>
  <c r="K10" i="7"/>
  <c r="K15" i="7"/>
  <c r="K3" i="7"/>
  <c r="K8" i="7"/>
  <c r="K18" i="7"/>
  <c r="K9" i="7"/>
  <c r="K16" i="7"/>
  <c r="K6" i="7"/>
  <c r="K7" i="7"/>
  <c r="K13" i="7"/>
  <c r="K14" i="7"/>
  <c r="K4" i="7"/>
  <c r="K1" i="7" s="1"/>
  <c r="K11" i="7"/>
  <c r="K12" i="7"/>
  <c r="L2" i="4"/>
  <c r="L2" i="7"/>
  <c r="L2" i="5"/>
  <c r="L2" i="6"/>
  <c r="L10" i="7" l="1"/>
  <c r="L15" i="7"/>
  <c r="L3" i="7"/>
  <c r="L8" i="7"/>
  <c r="L13" i="7"/>
  <c r="L18" i="7"/>
  <c r="L16" i="7"/>
  <c r="L6" i="7"/>
  <c r="L7" i="7"/>
  <c r="L11" i="7"/>
  <c r="L17" i="7"/>
  <c r="L14" i="7"/>
  <c r="L4" i="7"/>
  <c r="L1" i="7" s="1"/>
  <c r="L5" i="7"/>
  <c r="L12" i="7"/>
  <c r="L9" i="7"/>
  <c r="L15" i="5"/>
  <c r="L9" i="5"/>
  <c r="L3" i="5"/>
  <c r="L14" i="5"/>
  <c r="L8" i="5"/>
  <c r="L17" i="5"/>
  <c r="L11" i="5"/>
  <c r="L5" i="5"/>
  <c r="L18" i="5"/>
  <c r="L13" i="5"/>
  <c r="L12" i="5"/>
  <c r="L7" i="5"/>
  <c r="L6" i="5"/>
  <c r="L16" i="5"/>
  <c r="L10" i="5"/>
  <c r="L4" i="5"/>
  <c r="L1" i="5" s="1"/>
  <c r="L14" i="6"/>
  <c r="L7" i="6"/>
  <c r="L12" i="6"/>
  <c r="L17" i="6"/>
  <c r="L5" i="6"/>
  <c r="L16" i="6"/>
  <c r="L6" i="6"/>
  <c r="L13" i="6"/>
  <c r="L3" i="6"/>
  <c r="L4" i="6"/>
  <c r="L1" i="6" s="1"/>
  <c r="L10" i="6"/>
  <c r="L11" i="6"/>
  <c r="L18" i="6"/>
  <c r="L8" i="6"/>
  <c r="L9" i="6"/>
  <c r="L15" i="6"/>
  <c r="L13" i="4"/>
  <c r="L7" i="4"/>
  <c r="L18" i="4"/>
  <c r="L12" i="4"/>
  <c r="L6" i="4"/>
  <c r="L15" i="4"/>
  <c r="L9" i="4"/>
  <c r="L3" i="4"/>
  <c r="L17" i="4"/>
  <c r="L16" i="4"/>
  <c r="L11" i="4"/>
  <c r="L10" i="4"/>
  <c r="L5" i="4"/>
  <c r="L4" i="4"/>
  <c r="L1" i="4" s="1"/>
  <c r="L14" i="4"/>
  <c r="L8" i="4"/>
  <c r="M2" i="6"/>
  <c r="M2" i="7"/>
  <c r="M2" i="4"/>
  <c r="M2" i="5"/>
  <c r="M13" i="4" l="1"/>
  <c r="M7" i="4"/>
  <c r="M18" i="4"/>
  <c r="M12" i="4"/>
  <c r="M6" i="4"/>
  <c r="M15" i="4"/>
  <c r="M9" i="4"/>
  <c r="M3" i="4"/>
  <c r="M17" i="4"/>
  <c r="M16" i="4"/>
  <c r="M11" i="4"/>
  <c r="M10" i="4"/>
  <c r="M5" i="4"/>
  <c r="M4" i="4"/>
  <c r="M1" i="4" s="1"/>
  <c r="M8" i="4"/>
  <c r="M14" i="4"/>
  <c r="M15" i="5"/>
  <c r="M9" i="5"/>
  <c r="M3" i="5"/>
  <c r="M14" i="5"/>
  <c r="M8" i="5"/>
  <c r="M17" i="5"/>
  <c r="M11" i="5"/>
  <c r="M5" i="5"/>
  <c r="M18" i="5"/>
  <c r="M13" i="5"/>
  <c r="M12" i="5"/>
  <c r="M7" i="5"/>
  <c r="M6" i="5"/>
  <c r="M16" i="5"/>
  <c r="M4" i="5"/>
  <c r="M1" i="5" s="1"/>
  <c r="M10" i="5"/>
  <c r="M15" i="7"/>
  <c r="M3" i="7"/>
  <c r="M8" i="7"/>
  <c r="M13" i="7"/>
  <c r="M18" i="7"/>
  <c r="M6" i="7"/>
  <c r="M16" i="7"/>
  <c r="M7" i="7"/>
  <c r="M5" i="7"/>
  <c r="M12" i="7"/>
  <c r="M17" i="7"/>
  <c r="M14" i="7"/>
  <c r="M4" i="7"/>
  <c r="M1" i="7" s="1"/>
  <c r="M11" i="7"/>
  <c r="M9" i="7"/>
  <c r="M10" i="7"/>
  <c r="M7" i="6"/>
  <c r="M12" i="6"/>
  <c r="M17" i="6"/>
  <c r="M5" i="6"/>
  <c r="M10" i="6"/>
  <c r="M13" i="6"/>
  <c r="M3" i="6"/>
  <c r="M14" i="6"/>
  <c r="M4" i="6"/>
  <c r="M1" i="6" s="1"/>
  <c r="M11" i="6"/>
  <c r="M18" i="6"/>
  <c r="M8" i="6"/>
  <c r="M9" i="6"/>
  <c r="M15" i="6"/>
  <c r="M16" i="6"/>
  <c r="M6" i="6"/>
  <c r="N2" i="7"/>
  <c r="N2" i="5"/>
  <c r="N2" i="6"/>
  <c r="N2" i="4"/>
  <c r="N14" i="5" l="1"/>
  <c r="N8" i="5"/>
  <c r="N13" i="5"/>
  <c r="N7" i="5"/>
  <c r="N18" i="5"/>
  <c r="N12" i="5"/>
  <c r="N6" i="5"/>
  <c r="N9" i="5"/>
  <c r="N3" i="5"/>
  <c r="N15" i="5"/>
  <c r="N16" i="5"/>
  <c r="N10" i="5"/>
  <c r="N4" i="5"/>
  <c r="N1" i="5" s="1"/>
  <c r="N17" i="5"/>
  <c r="N11" i="5"/>
  <c r="N5" i="5"/>
  <c r="N12" i="6"/>
  <c r="N17" i="6"/>
  <c r="N5" i="6"/>
  <c r="N10" i="6"/>
  <c r="N15" i="6"/>
  <c r="N3" i="6"/>
  <c r="N13" i="6"/>
  <c r="N14" i="6"/>
  <c r="N4" i="6"/>
  <c r="N1" i="6" s="1"/>
  <c r="N8" i="6"/>
  <c r="N11" i="6"/>
  <c r="N18" i="6"/>
  <c r="N9" i="6"/>
  <c r="N16" i="6"/>
  <c r="N6" i="6"/>
  <c r="N7" i="6"/>
  <c r="N8" i="7"/>
  <c r="N13" i="7"/>
  <c r="N18" i="7"/>
  <c r="N6" i="7"/>
  <c r="N11" i="7"/>
  <c r="N16" i="7"/>
  <c r="N7" i="7"/>
  <c r="N17" i="7"/>
  <c r="N14" i="7"/>
  <c r="N15" i="7"/>
  <c r="N4" i="7"/>
  <c r="N1" i="7" s="1"/>
  <c r="N5" i="7"/>
  <c r="N12" i="7"/>
  <c r="N3" i="7"/>
  <c r="N9" i="7"/>
  <c r="N10" i="7"/>
  <c r="N18" i="4"/>
  <c r="N12" i="4"/>
  <c r="N6" i="4"/>
  <c r="N17" i="4"/>
  <c r="N11" i="4"/>
  <c r="N5" i="4"/>
  <c r="N16" i="4"/>
  <c r="N10" i="4"/>
  <c r="N4" i="4"/>
  <c r="N1" i="4" s="1"/>
  <c r="N13" i="4"/>
  <c r="N7" i="4"/>
  <c r="N14" i="4"/>
  <c r="N8" i="4"/>
  <c r="N15" i="4"/>
  <c r="N9" i="4"/>
  <c r="N3" i="4"/>
  <c r="O2" i="4"/>
  <c r="O2" i="5"/>
  <c r="O2" i="6"/>
  <c r="O2" i="7"/>
  <c r="O13" i="7" l="1"/>
  <c r="O18" i="7"/>
  <c r="O6" i="7"/>
  <c r="O11" i="7"/>
  <c r="O16" i="7"/>
  <c r="O4" i="7"/>
  <c r="O1" i="7" s="1"/>
  <c r="O17" i="7"/>
  <c r="O14" i="7"/>
  <c r="O15" i="7"/>
  <c r="O5" i="7"/>
  <c r="O12" i="7"/>
  <c r="O3" i="7"/>
  <c r="O9" i="7"/>
  <c r="O10" i="7"/>
  <c r="O8" i="7"/>
  <c r="O7" i="7"/>
  <c r="O17" i="6"/>
  <c r="O5" i="6"/>
  <c r="O10" i="6"/>
  <c r="O15" i="6"/>
  <c r="O3" i="6"/>
  <c r="O8" i="6"/>
  <c r="O13" i="6"/>
  <c r="O14" i="6"/>
  <c r="O4" i="6"/>
  <c r="O1" i="6" s="1"/>
  <c r="O9" i="6"/>
  <c r="O12" i="6"/>
  <c r="O11" i="6"/>
  <c r="O18" i="6"/>
  <c r="O16" i="6"/>
  <c r="O6" i="6"/>
  <c r="O7" i="6"/>
  <c r="O14" i="5"/>
  <c r="O8" i="5"/>
  <c r="O13" i="5"/>
  <c r="O7" i="5"/>
  <c r="O18" i="5"/>
  <c r="O12" i="5"/>
  <c r="O6" i="5"/>
  <c r="O16" i="5"/>
  <c r="O4" i="5"/>
  <c r="O1" i="5" s="1"/>
  <c r="O15" i="5"/>
  <c r="O9" i="5"/>
  <c r="O3" i="5"/>
  <c r="O10" i="5"/>
  <c r="O17" i="5"/>
  <c r="O11" i="5"/>
  <c r="O5" i="5"/>
  <c r="O18" i="4"/>
  <c r="O12" i="4"/>
  <c r="O6" i="4"/>
  <c r="O17" i="4"/>
  <c r="O11" i="4"/>
  <c r="O5" i="4"/>
  <c r="O16" i="4"/>
  <c r="O10" i="4"/>
  <c r="O4" i="4"/>
  <c r="O1" i="4" s="1"/>
  <c r="O8" i="4"/>
  <c r="O13" i="4"/>
  <c r="O7" i="4"/>
  <c r="O14" i="4"/>
  <c r="O15" i="4"/>
  <c r="O3" i="4"/>
  <c r="O9" i="4"/>
  <c r="P2" i="7"/>
  <c r="P2" i="6"/>
  <c r="P2" i="5"/>
  <c r="P10" i="6" l="1"/>
  <c r="P15" i="6"/>
  <c r="P3" i="6"/>
  <c r="P8" i="6"/>
  <c r="P13" i="6"/>
  <c r="P14" i="6"/>
  <c r="P4" i="6"/>
  <c r="P1" i="6" s="1"/>
  <c r="P12" i="6"/>
  <c r="P11" i="6"/>
  <c r="P18" i="6"/>
  <c r="P17" i="6"/>
  <c r="P9" i="6"/>
  <c r="P16" i="6"/>
  <c r="P6" i="6"/>
  <c r="P7" i="6"/>
  <c r="P5" i="6"/>
  <c r="P18" i="7"/>
  <c r="P6" i="7"/>
  <c r="P11" i="7"/>
  <c r="P16" i="7"/>
  <c r="P4" i="7"/>
  <c r="P1" i="7" s="1"/>
  <c r="P9" i="7"/>
  <c r="P17" i="7"/>
  <c r="P14" i="7"/>
  <c r="P15" i="7"/>
  <c r="P5" i="7"/>
  <c r="P3" i="7"/>
  <c r="P13" i="7"/>
  <c r="P12" i="7"/>
  <c r="P10" i="7"/>
  <c r="P8" i="7"/>
  <c r="P7" i="7"/>
  <c r="Q2" i="7"/>
  <c r="Q2" i="6"/>
  <c r="Q15" i="6" l="1"/>
  <c r="Q3" i="6"/>
  <c r="Q8" i="6"/>
  <c r="Q13" i="6"/>
  <c r="Q18" i="6"/>
  <c r="Q6" i="6"/>
  <c r="Q12" i="6"/>
  <c r="Q11" i="6"/>
  <c r="Q16" i="6"/>
  <c r="Q9" i="6"/>
  <c r="Q10" i="6"/>
  <c r="Q17" i="6"/>
  <c r="Q7" i="6"/>
  <c r="Q5" i="6"/>
  <c r="Q14" i="6"/>
  <c r="Q4" i="6"/>
  <c r="Q1" i="6" s="1"/>
  <c r="Q11" i="7"/>
  <c r="Q16" i="7"/>
  <c r="Q4" i="7"/>
  <c r="Q1" i="7" s="1"/>
  <c r="Q9" i="7"/>
  <c r="Q14" i="7"/>
  <c r="Q15" i="7"/>
  <c r="Q6" i="7"/>
  <c r="Q5" i="7"/>
  <c r="Q13" i="7"/>
  <c r="Q12" i="7"/>
  <c r="Q3" i="7"/>
  <c r="Q10" i="7"/>
  <c r="Q8" i="7"/>
  <c r="Q7" i="7"/>
  <c r="Q18" i="7"/>
  <c r="Q17" i="7"/>
  <c r="R2" i="7"/>
  <c r="R2" i="6"/>
  <c r="R16" i="7" l="1"/>
  <c r="R4" i="7"/>
  <c r="R1" i="7" s="1"/>
  <c r="R9" i="7"/>
  <c r="R14" i="7"/>
  <c r="R7" i="7"/>
  <c r="R5" i="7"/>
  <c r="R13" i="7"/>
  <c r="R12" i="7"/>
  <c r="R3" i="7"/>
  <c r="R11" i="7"/>
  <c r="R10" i="7"/>
  <c r="R8" i="7"/>
  <c r="R18" i="7"/>
  <c r="R17" i="7"/>
  <c r="R15" i="7"/>
  <c r="R6" i="7"/>
  <c r="R8" i="6"/>
  <c r="R13" i="6"/>
  <c r="R18" i="6"/>
  <c r="R6" i="6"/>
  <c r="R11" i="6"/>
  <c r="R12" i="6"/>
  <c r="R3" i="6"/>
  <c r="R17" i="6"/>
  <c r="R10" i="6"/>
  <c r="R9" i="6"/>
  <c r="R7" i="6"/>
  <c r="R16" i="6"/>
  <c r="R15" i="6"/>
  <c r="R5" i="6"/>
  <c r="R14" i="6"/>
  <c r="R4" i="6"/>
  <c r="R1" i="6" s="1"/>
  <c r="S2" i="6"/>
  <c r="S2" i="7"/>
  <c r="S9" i="7" l="1"/>
  <c r="S14" i="7"/>
  <c r="S7" i="7"/>
  <c r="S12" i="7"/>
  <c r="S13" i="7"/>
  <c r="S4" i="7"/>
  <c r="S1" i="7" s="1"/>
  <c r="S3" i="7"/>
  <c r="S11" i="7"/>
  <c r="S10" i="7"/>
  <c r="S8" i="7"/>
  <c r="S18" i="7"/>
  <c r="S17" i="7"/>
  <c r="S15" i="7"/>
  <c r="S6" i="7"/>
  <c r="S16" i="7"/>
  <c r="S5" i="7"/>
  <c r="S13" i="6"/>
  <c r="S18" i="6"/>
  <c r="S6" i="6"/>
  <c r="S11" i="6"/>
  <c r="S16" i="6"/>
  <c r="S4" i="6"/>
  <c r="S1" i="6" s="1"/>
  <c r="S3" i="6"/>
  <c r="S10" i="6"/>
  <c r="S9" i="6"/>
  <c r="S17" i="6"/>
  <c r="S8" i="6"/>
  <c r="S7" i="6"/>
  <c r="S15" i="6"/>
  <c r="S5" i="6"/>
  <c r="S14" i="6"/>
  <c r="S12" i="6"/>
  <c r="T2" i="6"/>
  <c r="U2" i="6" s="1"/>
  <c r="T2" i="7"/>
  <c r="T18" i="6" l="1"/>
  <c r="T6" i="6"/>
  <c r="T11" i="6"/>
  <c r="T16" i="6"/>
  <c r="T4" i="6"/>
  <c r="T1" i="6" s="1"/>
  <c r="T9" i="6"/>
  <c r="T10" i="6"/>
  <c r="T7" i="6"/>
  <c r="T17" i="6"/>
  <c r="T8" i="6"/>
  <c r="T5" i="6"/>
  <c r="T15" i="6"/>
  <c r="T14" i="6"/>
  <c r="T12" i="6"/>
  <c r="T13" i="6"/>
  <c r="T3" i="6"/>
  <c r="T14" i="7"/>
  <c r="T7" i="7"/>
  <c r="T12" i="7"/>
  <c r="T17" i="7"/>
  <c r="T5" i="7"/>
  <c r="T4" i="7"/>
  <c r="T1" i="7" s="1"/>
  <c r="T3" i="7"/>
  <c r="T11" i="7"/>
  <c r="T10" i="7"/>
  <c r="T8" i="7"/>
  <c r="T9" i="7"/>
  <c r="T18" i="7"/>
  <c r="T15" i="7"/>
  <c r="T6" i="7"/>
  <c r="T16" i="7"/>
  <c r="T13" i="7"/>
  <c r="V2" i="6"/>
  <c r="W2" i="6" s="1"/>
  <c r="U2" i="7"/>
  <c r="V2" i="7" s="1"/>
  <c r="W2" i="7" s="1"/>
</calcChain>
</file>

<file path=xl/sharedStrings.xml><?xml version="1.0" encoding="utf-8"?>
<sst xmlns="http://schemas.openxmlformats.org/spreadsheetml/2006/main" count="1056" uniqueCount="287">
  <si>
    <t>OPERATOR:2</t>
  </si>
  <si>
    <t>OPERATOR:4</t>
  </si>
  <si>
    <t>OPERATOR:8</t>
  </si>
  <si>
    <t>OPERATOR:9</t>
  </si>
  <si>
    <t>OPERATOR:5</t>
  </si>
  <si>
    <t>OPERATOR:10</t>
  </si>
  <si>
    <t>OPERATOR:11</t>
  </si>
  <si>
    <t>Kąt obrotu osi X</t>
  </si>
  <si>
    <t>Kąt obrotu osi Y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</si>
  <si>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</si>
  <si>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</si>
  <si>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</si>
  <si>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</si>
  <si>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</si>
  <si>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</si>
  <si>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</si>
  <si>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</si>
  <si>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</si>
  <si>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</si>
  <si>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</si>
  <si>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</si>
  <si>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</si>
  <si>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</si>
  <si>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</si>
  <si>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</si>
  <si>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</si>
  <si>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</si>
  <si>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</si>
  <si>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</si>
  <si>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</si>
  <si>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</si>
  <si>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</si>
  <si>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</si>
  <si>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</si>
  <si>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</si>
  <si>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</si>
  <si>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</si>
  <si>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</si>
  <si>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</si>
  <si>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</si>
  <si>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</si>
  <si>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</si>
  <si>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</si>
  <si>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</si>
  <si>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</si>
  <si>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</si>
  <si>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</si>
  <si>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</si>
  <si>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</si>
  <si>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</si>
  <si>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</si>
  <si>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</si>
  <si>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</si>
  <si>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</si>
  <si>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</si>
  <si>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</si>
  <si>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</si>
  <si>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</si>
  <si>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</si>
  <si>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</si>
  <si>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</si>
  <si>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</si>
  <si>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</si>
  <si>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</si>
  <si>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</si>
  <si>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</si>
  <si>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</si>
  <si>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</si>
  <si>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</si>
  <si>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</si>
  <si>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</si>
  <si>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</si>
  <si>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</si>
  <si>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</si>
  <si>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</si>
  <si>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</si>
  <si>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</si>
  <si>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</si>
  <si>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</si>
  <si>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</si>
  <si>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</si>
  <si>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</si>
  <si>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</si>
  <si>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</si>
  <si>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</si>
  <si>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</si>
  <si>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</si>
  <si>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</si>
  <si>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</si>
  <si>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</si>
  <si>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</si>
  <si>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</si>
  <si>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</si>
  <si>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</si>
  <si>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</si>
  <si>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</si>
  <si>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</si>
  <si>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</si>
  <si>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</si>
  <si>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</si>
  <si>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</si>
  <si>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</si>
  <si>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</si>
  <si>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</si>
  <si>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</si>
  <si>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</si>
  <si>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</si>
  <si>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</si>
  <si>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</si>
  <si>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</si>
  <si>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</si>
  <si>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</si>
  <si>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</si>
  <si>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</si>
  <si>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</si>
  <si>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</si>
  <si>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</si>
  <si>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</si>
  <si>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</si>
  <si>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</si>
  <si>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</si>
  <si>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</si>
  <si>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</si>
  <si>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</si>
  <si>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</si>
  <si>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</si>
  <si>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</si>
  <si>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</si>
  <si>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</si>
  <si>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</si>
  <si>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</si>
  <si>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</si>
  <si>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</si>
  <si>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</si>
  <si>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</si>
  <si>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</si>
  <si>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</si>
  <si>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</si>
  <si>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</si>
  <si>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</si>
  <si>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</si>
  <si>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</si>
  <si>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</si>
  <si>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</si>
  <si>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</si>
  <si>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</si>
  <si>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</si>
  <si>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</si>
  <si>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</si>
  <si>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</si>
  <si>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</si>
  <si>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</si>
  <si>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</si>
  <si>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</si>
  <si>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</si>
  <si>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</si>
  <si>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</si>
  <si>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</si>
  <si>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</si>
  <si>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</si>
  <si>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</si>
  <si>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</si>
  <si>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</si>
  <si>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</si>
  <si>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</si>
  <si>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</si>
  <si>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</si>
  <si>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</si>
  <si>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</si>
  <si>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</si>
  <si>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</si>
  <si>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</si>
  <si>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</si>
  <si>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</si>
  <si>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</si>
  <si>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</si>
  <si>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</si>
  <si>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</si>
  <si>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</si>
  <si>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</si>
  <si>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</si>
  <si>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</si>
  <si>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</si>
  <si>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</si>
  <si>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</si>
  <si>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</si>
  <si>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</si>
  <si>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</si>
  <si>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</si>
  <si>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</si>
  <si>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</si>
  <si>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</si>
  <si>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</si>
  <si>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</si>
  <si>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</si>
  <si>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</si>
  <si>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</si>
  <si>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</si>
  <si>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</si>
  <si>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</si>
  <si>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</si>
  <si>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</si>
  <si>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</si>
  <si>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</si>
  <si>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</si>
  <si>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</si>
  <si>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</si>
  <si>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</si>
  <si>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</si>
  <si>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</si>
  <si>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</si>
  <si>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</si>
  <si>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</si>
  <si>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</si>
  <si>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</si>
  <si>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</si>
  <si>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</si>
  <si>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</si>
  <si>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</si>
  <si>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</si>
  <si>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</si>
  <si>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</si>
  <si>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</si>
  <si>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</si>
  <si>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</si>
  <si>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</si>
  <si>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</si>
  <si>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</si>
  <si>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</si>
  <si>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</si>
  <si>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</si>
  <si>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</si>
  <si>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</si>
  <si>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</si>
  <si>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</si>
  <si>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°</t>
  </si>
  <si>
    <t>mm²</t>
  </si>
  <si>
    <t>mm2</t>
  </si>
  <si>
    <t>%</t>
  </si>
  <si>
    <t>µm</t>
  </si>
  <si>
    <t>&lt;no unit&gt;</t>
  </si>
  <si>
    <t>mm</t>
  </si>
  <si>
    <t>1/cm</t>
  </si>
  <si>
    <t>mm³/mm²</t>
  </si>
  <si>
    <t>Conf blue</t>
  </si>
  <si>
    <t>Conf green</t>
  </si>
  <si>
    <t>Conf red</t>
  </si>
  <si>
    <t>Fusion blue</t>
  </si>
  <si>
    <t>Fusion green</t>
  </si>
  <si>
    <t>Fusion red</t>
  </si>
  <si>
    <t>FV blue</t>
  </si>
  <si>
    <t>FV green</t>
  </si>
  <si>
    <t>FV red</t>
  </si>
  <si>
    <t>Int blue</t>
  </si>
  <si>
    <t>Int gree</t>
  </si>
  <si>
    <t>Int red</t>
  </si>
  <si>
    <t>Int white</t>
  </si>
  <si>
    <t>O ile przesunięte</t>
  </si>
  <si>
    <t>Amp_baza</t>
  </si>
  <si>
    <t>Aev_baza</t>
  </si>
  <si>
    <t>Amp_wypełnione NM</t>
  </si>
  <si>
    <t>Amp_005</t>
  </si>
  <si>
    <t>Aev_005</t>
  </si>
  <si>
    <t>Amp_05</t>
  </si>
  <si>
    <t>Aev_05</t>
  </si>
  <si>
    <t>Baza</t>
  </si>
  <si>
    <t>Threshold 005</t>
  </si>
  <si>
    <t>Threshold 05</t>
  </si>
  <si>
    <t>%Baza</t>
  </si>
  <si>
    <t>%Threshold 005</t>
  </si>
  <si>
    <t>%Threshold 05</t>
  </si>
  <si>
    <t>Amp - powierzchnia zmierzonych punktów rzeczywistych</t>
  </si>
  <si>
    <t>Aev  -obszar oceny teoretyczny</t>
  </si>
  <si>
    <t>Rp/Rv</t>
  </si>
  <si>
    <t>C45_5x5\C45_5x5\C45_TR\C45_5x5 --- C45_TR_x10_conf_blue_5x5.mnt</t>
  </si>
  <si>
    <t>C45_5x5\C45_5x5\C45_TR\C45_5x5 --- C45_TR_x10_conf_green_5x5.mnt</t>
  </si>
  <si>
    <t>C45_5x5\C45_5x5\C45_TR\C45_5x5 --- C45_TR_x10_conf_red_5x5.mnt</t>
  </si>
  <si>
    <t>C45_5x5\C45_5x5\C45_TR\C45_5x5 --- C45_TR_x10_fusion_blue_5x5.mnt</t>
  </si>
  <si>
    <t>C45_5x5\C45_5x5\C45_TR\C45_5x5 --- C45_TR_x10_fusion_green_5x5.mnt</t>
  </si>
  <si>
    <t>C45_5x5\C45_5x5\C45_TR\C45_5x5 --- C45_TR_x10_fusion_red_5x5.mnt</t>
  </si>
  <si>
    <t>C45_5x5\C45_5x5\C45_TR\C45_5x5 --- C45_TR_x10_FV_blue_5x5.mnt</t>
  </si>
  <si>
    <t>C45_5x5\C45_5x5\C45_TR\C45_5x5 --- C45_TR_x10_FV_green_5x5.mnt</t>
  </si>
  <si>
    <t>C45_5x5\C45_5x5\C45_TR\C45_5x5 --- C45_TR_x10_FV_red_5x5.mnt</t>
  </si>
  <si>
    <t>C45_5x5\C45_5x5\C45_TR\C45_5x5 --- C45_TR_x10_int_blue_5x5.mnt</t>
  </si>
  <si>
    <t>C45_5x5\C45_5x5\C45_TR\C45_5x5 --- C45_TR_x10_int_green_5x5.mnt</t>
  </si>
  <si>
    <t>C45_5x5\C45_5x5\C45_TR\C45_5x5 --- C45_TR_x10_int_red_5x5.mnt</t>
  </si>
  <si>
    <t>C45_5x5\C45_5x5\C45_TR\C45_5x5 --- C45_TR_x10_int_white_5x5.mnt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</si>
</sst>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%"/>
    <numFmt numFmtId="166" formatCode="0.0000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33" borderId="0" xfId="0" applyFill="1"/>
    <xf numFmtId="164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166" fontId="0" fillId="33" borderId="0" xfId="0" applyNumberFormat="1" applyFill="1"/>
  </cellXfs>
  <cellStyles count="43">
    <cellStyle name="20% — akcent 1" xfId="20" builtinId="30" customBuiltin="1"/>
    <cellStyle name="20% — akcent 2" xfId="24" builtinId="34" customBuiltin="1"/>
    <cellStyle name="20% — akcent 3" xfId="28" builtinId="38" customBuiltin="1"/>
    <cellStyle name="20% — akcent 4" xfId="32" builtinId="42" customBuiltin="1"/>
    <cellStyle name="20% — akcent 5" xfId="36" builtinId="46" customBuiltin="1"/>
    <cellStyle name="20% — akcent 6" xfId="40" builtinId="50" customBuiltin="1"/>
    <cellStyle name="40% — akcent 1" xfId="21" builtinId="31" customBuiltin="1"/>
    <cellStyle name="40% — akcent 2" xfId="25" builtinId="35" customBuiltin="1"/>
    <cellStyle name="40% — akcent 3" xfId="29" builtinId="39" customBuiltin="1"/>
    <cellStyle name="40% — akcent 4" xfId="33" builtinId="43" customBuiltin="1"/>
    <cellStyle name="40% — akcent 5" xfId="37" builtinId="47" customBuiltin="1"/>
    <cellStyle name="40% — akcent 6" xfId="41" builtinId="51" customBuiltin="1"/>
    <cellStyle name="60% — akcent 1" xfId="22" builtinId="32" customBuiltin="1"/>
    <cellStyle name="60% — akcent 2" xfId="26" builtinId="36" customBuiltin="1"/>
    <cellStyle name="60% — akcent 3" xfId="30" builtinId="40" customBuiltin="1"/>
    <cellStyle name="60% — akcent 4" xfId="34" builtinId="44" customBuiltin="1"/>
    <cellStyle name="60% — akcent 5" xfId="38" builtinId="48" customBuiltin="1"/>
    <cellStyle name="60% — akcent 6" xfId="42" builtinId="52" customBuiltin="1"/>
    <cellStyle name="Akcent 1" xfId="19" builtinId="29" customBuiltin="1"/>
    <cellStyle name="Akcent 2" xfId="23" builtinId="33" customBuiltin="1"/>
    <cellStyle name="Akcent 3" xfId="27" builtinId="37" customBuiltin="1"/>
    <cellStyle name="Akcent 4" xfId="31" builtinId="41" customBuiltin="1"/>
    <cellStyle name="Akcent 5" xfId="35" builtinId="45" customBuiltin="1"/>
    <cellStyle name="Akcent 6" xfId="39" builtinId="49" customBuiltin="1"/>
    <cellStyle name="Dane wejściowe" xfId="10" builtinId="20" customBuiltin="1"/>
    <cellStyle name="Dane wyjściowe" xfId="11" builtinId="21" customBuiltin="1"/>
    <cellStyle name="Dobry" xfId="7" builtinId="26" customBuiltin="1"/>
    <cellStyle name="Komórka połączona" xfId="13" builtinId="24" customBuiltin="1"/>
    <cellStyle name="Komórka zaznaczona" xfId="14" builtinId="23" customBuiltin="1"/>
    <cellStyle name="Nagłówek 1" xfId="3" builtinId="16" customBuiltin="1"/>
    <cellStyle name="Nagłówek 2" xfId="4" builtinId="17" customBuiltin="1"/>
    <cellStyle name="Nagłówek 3" xfId="5" builtinId="18" customBuiltin="1"/>
    <cellStyle name="Nagłówek 4" xfId="6" builtinId="19" customBuiltin="1"/>
    <cellStyle name="Neutralny" xfId="9" builtinId="28" customBuiltin="1"/>
    <cellStyle name="Normalny" xfId="0" builtinId="0"/>
    <cellStyle name="Obliczenia" xfId="12" builtinId="22" customBuiltin="1"/>
    <cellStyle name="Procentowy" xfId="1" builtinId="5"/>
    <cellStyle name="Suma" xfId="18" builtinId="25" customBuiltin="1"/>
    <cellStyle name="Tekst objaśnienia" xfId="17" builtinId="53" customBuiltin="1"/>
    <cellStyle name="Tekst ostrzeżenia" xfId="15" builtinId="11" customBuiltin="1"/>
    <cellStyle name="Tytuł" xfId="2" builtinId="15" customBuiltin="1"/>
    <cellStyle name="Uwaga" xfId="16" builtinId="10" customBuiltin="1"/>
    <cellStyle name="Zły" xfId="8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U16"/>
  <sheetViews>
    <sheetView tabSelected="1" workbookViewId="0">
      <selection sqref="A1:A1048576"/>
    </sheetView>
  </sheetViews>
  <sheetFormatPr baseColWidth="10" defaultColWidth="8.83203125" defaultRowHeight="15" x14ac:dyDescent="0.2"/>
  <cols>
    <col min="1" max="1" width="59.6640625" bestFit="1" customWidth="1"/>
    <col min="2" max="2" width="14" bestFit="1" customWidth="1"/>
  </cols>
  <sheetData>
    <row r="1" spans="1:463" x14ac:dyDescent="0.2">
      <c r="B1" t="s">
        <v>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>
        <v>5</v>
      </c>
      <c r="K1">
        <v>5</v>
      </c>
      <c r="L1">
        <v>6</v>
      </c>
      <c r="M1">
        <v>6</v>
      </c>
      <c r="N1">
        <v>13</v>
      </c>
      <c r="O1">
        <v>13</v>
      </c>
      <c r="P1">
        <v>14</v>
      </c>
      <c r="Q1">
        <v>14</v>
      </c>
      <c r="R1">
        <v>40</v>
      </c>
      <c r="S1">
        <v>40</v>
      </c>
      <c r="T1">
        <v>40</v>
      </c>
      <c r="U1">
        <v>40</v>
      </c>
      <c r="V1">
        <v>40</v>
      </c>
      <c r="W1">
        <v>40</v>
      </c>
      <c r="X1">
        <v>40</v>
      </c>
      <c r="Y1">
        <v>40</v>
      </c>
      <c r="Z1">
        <v>40</v>
      </c>
      <c r="AA1">
        <v>40</v>
      </c>
      <c r="AB1">
        <v>40</v>
      </c>
      <c r="AC1">
        <v>40</v>
      </c>
      <c r="AD1">
        <v>40</v>
      </c>
      <c r="AE1">
        <v>40</v>
      </c>
      <c r="AF1">
        <v>40</v>
      </c>
      <c r="AG1">
        <v>40</v>
      </c>
      <c r="AH1">
        <v>40</v>
      </c>
      <c r="AI1">
        <v>40</v>
      </c>
      <c r="AJ1">
        <v>40</v>
      </c>
      <c r="AK1">
        <v>40</v>
      </c>
      <c r="AL1">
        <v>40</v>
      </c>
      <c r="AM1">
        <v>40</v>
      </c>
      <c r="AN1">
        <v>40</v>
      </c>
      <c r="AO1">
        <v>40</v>
      </c>
      <c r="AP1">
        <v>40</v>
      </c>
      <c r="AQ1">
        <v>40</v>
      </c>
      <c r="AR1">
        <v>40</v>
      </c>
      <c r="AS1">
        <v>40</v>
      </c>
      <c r="AT1">
        <v>40</v>
      </c>
      <c r="AU1">
        <v>40</v>
      </c>
      <c r="AV1">
        <v>40</v>
      </c>
      <c r="AW1">
        <v>40</v>
      </c>
      <c r="AX1">
        <v>40</v>
      </c>
      <c r="AY1">
        <v>40</v>
      </c>
      <c r="AZ1">
        <v>40</v>
      </c>
      <c r="BA1">
        <v>40</v>
      </c>
      <c r="BB1">
        <v>40</v>
      </c>
      <c r="BC1">
        <v>40</v>
      </c>
      <c r="BD1">
        <v>40</v>
      </c>
      <c r="BE1">
        <v>40</v>
      </c>
      <c r="BF1">
        <v>40</v>
      </c>
      <c r="BG1">
        <v>40</v>
      </c>
      <c r="BH1">
        <v>40</v>
      </c>
      <c r="BI1">
        <v>40</v>
      </c>
      <c r="BJ1">
        <v>40</v>
      </c>
      <c r="BK1">
        <v>40</v>
      </c>
      <c r="BL1">
        <v>40</v>
      </c>
      <c r="BM1">
        <v>40</v>
      </c>
      <c r="BN1">
        <v>40</v>
      </c>
      <c r="BO1">
        <v>40</v>
      </c>
      <c r="BP1">
        <v>40</v>
      </c>
      <c r="BQ1">
        <v>40</v>
      </c>
      <c r="BR1">
        <v>40</v>
      </c>
      <c r="BS1">
        <v>40</v>
      </c>
      <c r="BT1">
        <v>40</v>
      </c>
      <c r="BU1">
        <v>40</v>
      </c>
      <c r="BV1">
        <v>41</v>
      </c>
      <c r="BW1">
        <v>41</v>
      </c>
      <c r="BX1">
        <v>41</v>
      </c>
      <c r="BY1">
        <v>41</v>
      </c>
      <c r="BZ1">
        <v>41</v>
      </c>
      <c r="CA1">
        <v>41</v>
      </c>
      <c r="CB1">
        <v>41</v>
      </c>
      <c r="CC1">
        <v>41</v>
      </c>
      <c r="CD1">
        <v>41</v>
      </c>
      <c r="CE1">
        <v>41</v>
      </c>
      <c r="CF1">
        <v>41</v>
      </c>
      <c r="CG1">
        <v>41</v>
      </c>
      <c r="CH1">
        <v>41</v>
      </c>
      <c r="CI1">
        <v>41</v>
      </c>
      <c r="CJ1">
        <v>41</v>
      </c>
      <c r="CK1">
        <v>41</v>
      </c>
      <c r="CL1">
        <v>41</v>
      </c>
      <c r="CM1">
        <v>41</v>
      </c>
      <c r="CN1">
        <v>41</v>
      </c>
      <c r="CO1">
        <v>41</v>
      </c>
      <c r="CP1">
        <v>41</v>
      </c>
      <c r="CQ1">
        <v>41</v>
      </c>
      <c r="CR1">
        <v>41</v>
      </c>
      <c r="CS1">
        <v>41</v>
      </c>
      <c r="CT1">
        <v>41</v>
      </c>
      <c r="CU1">
        <v>41</v>
      </c>
      <c r="CV1">
        <v>41</v>
      </c>
      <c r="CW1">
        <v>41</v>
      </c>
      <c r="CX1">
        <v>41</v>
      </c>
      <c r="CY1">
        <v>41</v>
      </c>
      <c r="CZ1">
        <v>41</v>
      </c>
      <c r="DA1">
        <v>41</v>
      </c>
      <c r="DB1">
        <v>41</v>
      </c>
      <c r="DC1">
        <v>41</v>
      </c>
      <c r="DD1">
        <v>41</v>
      </c>
      <c r="DE1">
        <v>41</v>
      </c>
      <c r="DF1">
        <v>41</v>
      </c>
      <c r="DG1">
        <v>41</v>
      </c>
      <c r="DH1">
        <v>41</v>
      </c>
      <c r="DI1">
        <v>41</v>
      </c>
      <c r="DJ1">
        <v>41</v>
      </c>
      <c r="DK1">
        <v>41</v>
      </c>
      <c r="DL1">
        <v>41</v>
      </c>
      <c r="DM1">
        <v>41</v>
      </c>
      <c r="DN1">
        <v>41</v>
      </c>
      <c r="DO1">
        <v>41</v>
      </c>
      <c r="DP1">
        <v>41</v>
      </c>
      <c r="DQ1">
        <v>41</v>
      </c>
      <c r="DR1">
        <v>41</v>
      </c>
      <c r="DS1">
        <v>41</v>
      </c>
      <c r="DT1">
        <v>41</v>
      </c>
      <c r="DU1">
        <v>41</v>
      </c>
      <c r="DV1">
        <v>41</v>
      </c>
      <c r="DW1">
        <v>41</v>
      </c>
      <c r="DX1">
        <v>41</v>
      </c>
      <c r="DY1">
        <v>41</v>
      </c>
      <c r="DZ1">
        <v>50</v>
      </c>
      <c r="EA1">
        <v>50</v>
      </c>
      <c r="EB1">
        <v>50</v>
      </c>
      <c r="EC1">
        <v>50</v>
      </c>
      <c r="ED1">
        <v>50</v>
      </c>
      <c r="EE1">
        <v>50</v>
      </c>
      <c r="EF1">
        <v>50</v>
      </c>
      <c r="EG1">
        <v>50</v>
      </c>
      <c r="EH1">
        <v>50</v>
      </c>
      <c r="EI1">
        <v>50</v>
      </c>
      <c r="EJ1">
        <v>50</v>
      </c>
      <c r="EK1">
        <v>50</v>
      </c>
      <c r="EL1">
        <v>50</v>
      </c>
      <c r="EM1">
        <v>50</v>
      </c>
      <c r="EN1">
        <v>50</v>
      </c>
      <c r="EO1">
        <v>50</v>
      </c>
      <c r="EP1">
        <v>50</v>
      </c>
      <c r="EQ1">
        <v>50</v>
      </c>
      <c r="ER1">
        <v>50</v>
      </c>
      <c r="ES1">
        <v>50</v>
      </c>
      <c r="ET1">
        <v>50</v>
      </c>
      <c r="EU1">
        <v>50</v>
      </c>
      <c r="EV1">
        <v>50</v>
      </c>
      <c r="EW1">
        <v>50</v>
      </c>
      <c r="EX1">
        <v>50</v>
      </c>
      <c r="EY1">
        <v>50</v>
      </c>
      <c r="EZ1">
        <v>50</v>
      </c>
      <c r="FA1">
        <v>50</v>
      </c>
      <c r="FB1">
        <v>50</v>
      </c>
      <c r="FC1">
        <v>50</v>
      </c>
      <c r="FD1">
        <v>50</v>
      </c>
      <c r="FE1">
        <v>50</v>
      </c>
      <c r="FF1">
        <v>50</v>
      </c>
      <c r="FG1">
        <v>50</v>
      </c>
      <c r="FH1">
        <v>50</v>
      </c>
      <c r="FI1">
        <v>50</v>
      </c>
      <c r="FJ1">
        <v>50</v>
      </c>
      <c r="FK1">
        <v>50</v>
      </c>
      <c r="FL1">
        <v>50</v>
      </c>
      <c r="FM1">
        <v>50</v>
      </c>
      <c r="FN1">
        <v>50</v>
      </c>
      <c r="FO1">
        <v>50</v>
      </c>
      <c r="FP1">
        <v>50</v>
      </c>
      <c r="FQ1">
        <v>50</v>
      </c>
      <c r="FR1">
        <v>50</v>
      </c>
      <c r="FS1">
        <v>50</v>
      </c>
      <c r="FT1">
        <v>50</v>
      </c>
      <c r="FU1">
        <v>50</v>
      </c>
      <c r="FV1">
        <v>50</v>
      </c>
      <c r="FW1">
        <v>50</v>
      </c>
      <c r="FX1">
        <v>50</v>
      </c>
      <c r="FY1">
        <v>50</v>
      </c>
      <c r="FZ1">
        <v>50</v>
      </c>
      <c r="GA1">
        <v>50</v>
      </c>
      <c r="GB1">
        <v>50</v>
      </c>
      <c r="GC1">
        <v>50</v>
      </c>
      <c r="GD1">
        <v>50</v>
      </c>
      <c r="GE1">
        <v>50</v>
      </c>
      <c r="GF1">
        <v>50</v>
      </c>
      <c r="GG1">
        <v>50</v>
      </c>
      <c r="GH1">
        <v>50</v>
      </c>
      <c r="GI1">
        <v>50</v>
      </c>
      <c r="GJ1">
        <v>50</v>
      </c>
      <c r="GK1">
        <v>50</v>
      </c>
      <c r="GL1">
        <v>50</v>
      </c>
      <c r="GM1">
        <v>50</v>
      </c>
      <c r="GN1">
        <v>50</v>
      </c>
      <c r="GO1">
        <v>50</v>
      </c>
      <c r="GP1">
        <v>50</v>
      </c>
      <c r="GQ1">
        <v>50</v>
      </c>
      <c r="GR1">
        <v>50</v>
      </c>
      <c r="GS1">
        <v>50</v>
      </c>
      <c r="GT1">
        <v>50</v>
      </c>
      <c r="GU1">
        <v>50</v>
      </c>
      <c r="GV1">
        <v>50</v>
      </c>
      <c r="GW1">
        <v>50</v>
      </c>
      <c r="GX1">
        <v>51</v>
      </c>
      <c r="GY1">
        <v>51</v>
      </c>
      <c r="GZ1">
        <v>51</v>
      </c>
      <c r="HA1">
        <v>51</v>
      </c>
      <c r="HB1">
        <v>51</v>
      </c>
      <c r="HC1">
        <v>51</v>
      </c>
      <c r="HD1">
        <v>51</v>
      </c>
      <c r="HE1">
        <v>51</v>
      </c>
      <c r="HF1">
        <v>51</v>
      </c>
      <c r="HG1">
        <v>51</v>
      </c>
      <c r="HH1">
        <v>51</v>
      </c>
      <c r="HI1">
        <v>51</v>
      </c>
      <c r="HJ1">
        <v>51</v>
      </c>
      <c r="HK1">
        <v>51</v>
      </c>
      <c r="HL1">
        <v>51</v>
      </c>
      <c r="HM1">
        <v>51</v>
      </c>
      <c r="HN1">
        <v>51</v>
      </c>
      <c r="HO1">
        <v>51</v>
      </c>
      <c r="HP1">
        <v>51</v>
      </c>
      <c r="HQ1">
        <v>51</v>
      </c>
      <c r="HR1">
        <v>51</v>
      </c>
      <c r="HS1">
        <v>51</v>
      </c>
      <c r="HT1">
        <v>51</v>
      </c>
      <c r="HU1">
        <v>51</v>
      </c>
      <c r="HV1">
        <v>51</v>
      </c>
      <c r="HW1">
        <v>51</v>
      </c>
      <c r="HX1">
        <v>51</v>
      </c>
      <c r="HY1">
        <v>51</v>
      </c>
      <c r="HZ1">
        <v>51</v>
      </c>
      <c r="IA1">
        <v>51</v>
      </c>
      <c r="IB1">
        <v>51</v>
      </c>
      <c r="IC1">
        <v>51</v>
      </c>
      <c r="ID1">
        <v>51</v>
      </c>
      <c r="IE1">
        <v>51</v>
      </c>
      <c r="IF1">
        <v>51</v>
      </c>
      <c r="IG1">
        <v>51</v>
      </c>
      <c r="IH1">
        <v>51</v>
      </c>
      <c r="II1">
        <v>51</v>
      </c>
      <c r="IJ1">
        <v>51</v>
      </c>
      <c r="IK1">
        <v>51</v>
      </c>
      <c r="IL1">
        <v>51</v>
      </c>
      <c r="IM1">
        <v>51</v>
      </c>
      <c r="IN1">
        <v>51</v>
      </c>
      <c r="IO1">
        <v>51</v>
      </c>
      <c r="IP1">
        <v>51</v>
      </c>
      <c r="IQ1">
        <v>51</v>
      </c>
      <c r="IR1">
        <v>51</v>
      </c>
      <c r="IS1">
        <v>51</v>
      </c>
      <c r="IT1">
        <v>51</v>
      </c>
      <c r="IU1">
        <v>51</v>
      </c>
      <c r="IV1">
        <v>51</v>
      </c>
      <c r="IW1">
        <v>51</v>
      </c>
      <c r="IX1">
        <v>51</v>
      </c>
      <c r="IY1">
        <v>51</v>
      </c>
      <c r="IZ1">
        <v>51</v>
      </c>
      <c r="JA1">
        <v>51</v>
      </c>
      <c r="JB1">
        <v>51</v>
      </c>
      <c r="JC1">
        <v>51</v>
      </c>
      <c r="JD1">
        <v>51</v>
      </c>
      <c r="JE1">
        <v>51</v>
      </c>
      <c r="JF1">
        <v>51</v>
      </c>
      <c r="JG1">
        <v>51</v>
      </c>
      <c r="JH1">
        <v>51</v>
      </c>
      <c r="JI1">
        <v>51</v>
      </c>
      <c r="JJ1">
        <v>51</v>
      </c>
      <c r="JK1">
        <v>51</v>
      </c>
      <c r="JL1">
        <v>51</v>
      </c>
      <c r="JM1">
        <v>51</v>
      </c>
      <c r="JN1">
        <v>51</v>
      </c>
      <c r="JO1">
        <v>51</v>
      </c>
      <c r="JP1">
        <v>51</v>
      </c>
      <c r="JQ1">
        <v>51</v>
      </c>
      <c r="JR1">
        <v>51</v>
      </c>
      <c r="JS1">
        <v>51</v>
      </c>
      <c r="JT1">
        <v>51</v>
      </c>
      <c r="JU1">
        <v>51</v>
      </c>
      <c r="JV1">
        <v>60</v>
      </c>
      <c r="JW1">
        <v>60</v>
      </c>
      <c r="JX1">
        <v>60</v>
      </c>
      <c r="JY1">
        <v>60</v>
      </c>
      <c r="JZ1">
        <v>60</v>
      </c>
      <c r="KA1">
        <v>60</v>
      </c>
      <c r="KB1">
        <v>60</v>
      </c>
      <c r="KC1">
        <v>60</v>
      </c>
      <c r="KD1">
        <v>60</v>
      </c>
      <c r="KE1">
        <v>60</v>
      </c>
      <c r="KF1">
        <v>60</v>
      </c>
      <c r="KG1">
        <v>60</v>
      </c>
      <c r="KH1">
        <v>60</v>
      </c>
      <c r="KI1">
        <v>60</v>
      </c>
      <c r="KJ1">
        <v>60</v>
      </c>
      <c r="KK1">
        <v>60</v>
      </c>
      <c r="KL1">
        <v>60</v>
      </c>
      <c r="KM1">
        <v>60</v>
      </c>
      <c r="KN1">
        <v>60</v>
      </c>
      <c r="KO1">
        <v>60</v>
      </c>
      <c r="KP1">
        <v>60</v>
      </c>
      <c r="KQ1">
        <v>60</v>
      </c>
      <c r="KR1">
        <v>60</v>
      </c>
      <c r="KS1">
        <v>60</v>
      </c>
      <c r="KT1">
        <v>60</v>
      </c>
      <c r="KU1">
        <v>60</v>
      </c>
      <c r="KV1">
        <v>60</v>
      </c>
      <c r="KW1">
        <v>60</v>
      </c>
      <c r="KX1">
        <v>60</v>
      </c>
      <c r="KY1">
        <v>60</v>
      </c>
      <c r="KZ1">
        <v>60</v>
      </c>
      <c r="LA1">
        <v>60</v>
      </c>
      <c r="LB1">
        <v>60</v>
      </c>
      <c r="LC1">
        <v>60</v>
      </c>
      <c r="LD1">
        <v>60</v>
      </c>
      <c r="LE1">
        <v>60</v>
      </c>
      <c r="LF1">
        <v>60</v>
      </c>
      <c r="LG1">
        <v>60</v>
      </c>
      <c r="LH1">
        <v>60</v>
      </c>
      <c r="LI1">
        <v>60</v>
      </c>
      <c r="LJ1">
        <v>60</v>
      </c>
      <c r="LK1">
        <v>60</v>
      </c>
      <c r="LL1">
        <v>60</v>
      </c>
      <c r="LM1">
        <v>60</v>
      </c>
      <c r="LN1">
        <v>60</v>
      </c>
      <c r="LO1">
        <v>60</v>
      </c>
      <c r="LP1">
        <v>60</v>
      </c>
      <c r="LQ1">
        <v>60</v>
      </c>
      <c r="LR1">
        <v>60</v>
      </c>
      <c r="LS1">
        <v>60</v>
      </c>
      <c r="LT1">
        <v>60</v>
      </c>
      <c r="LU1">
        <v>60</v>
      </c>
      <c r="LV1">
        <v>60</v>
      </c>
      <c r="LW1">
        <v>60</v>
      </c>
      <c r="LX1">
        <v>60</v>
      </c>
      <c r="LY1">
        <v>60</v>
      </c>
      <c r="LZ1">
        <v>60</v>
      </c>
      <c r="MA1">
        <v>60</v>
      </c>
      <c r="MB1">
        <v>60</v>
      </c>
      <c r="MC1">
        <v>60</v>
      </c>
      <c r="MD1">
        <v>61</v>
      </c>
      <c r="ME1">
        <v>61</v>
      </c>
      <c r="MF1">
        <v>61</v>
      </c>
      <c r="MG1">
        <v>61</v>
      </c>
      <c r="MH1">
        <v>61</v>
      </c>
      <c r="MI1">
        <v>61</v>
      </c>
      <c r="MJ1">
        <v>61</v>
      </c>
      <c r="MK1">
        <v>61</v>
      </c>
      <c r="ML1">
        <v>61</v>
      </c>
      <c r="MM1">
        <v>61</v>
      </c>
      <c r="MN1">
        <v>61</v>
      </c>
      <c r="MO1">
        <v>61</v>
      </c>
      <c r="MP1">
        <v>61</v>
      </c>
      <c r="MQ1">
        <v>61</v>
      </c>
      <c r="MR1">
        <v>61</v>
      </c>
      <c r="MS1">
        <v>61</v>
      </c>
      <c r="MT1">
        <v>61</v>
      </c>
      <c r="MU1">
        <v>61</v>
      </c>
      <c r="MV1">
        <v>61</v>
      </c>
      <c r="MW1">
        <v>61</v>
      </c>
      <c r="MX1">
        <v>61</v>
      </c>
      <c r="MY1">
        <v>61</v>
      </c>
      <c r="MZ1">
        <v>61</v>
      </c>
      <c r="NA1">
        <v>61</v>
      </c>
      <c r="NB1">
        <v>61</v>
      </c>
      <c r="NC1">
        <v>61</v>
      </c>
      <c r="ND1">
        <v>61</v>
      </c>
      <c r="NE1">
        <v>61</v>
      </c>
      <c r="NF1">
        <v>61</v>
      </c>
      <c r="NG1">
        <v>61</v>
      </c>
      <c r="NH1">
        <v>61</v>
      </c>
      <c r="NI1">
        <v>61</v>
      </c>
      <c r="NJ1">
        <v>61</v>
      </c>
      <c r="NK1">
        <v>61</v>
      </c>
      <c r="NL1">
        <v>61</v>
      </c>
      <c r="NM1">
        <v>61</v>
      </c>
      <c r="NN1">
        <v>61</v>
      </c>
      <c r="NO1">
        <v>61</v>
      </c>
      <c r="NP1">
        <v>61</v>
      </c>
      <c r="NQ1">
        <v>61</v>
      </c>
      <c r="NR1">
        <v>61</v>
      </c>
      <c r="NS1">
        <v>61</v>
      </c>
      <c r="NT1">
        <v>61</v>
      </c>
      <c r="NU1">
        <v>61</v>
      </c>
      <c r="NV1">
        <v>61</v>
      </c>
      <c r="NW1">
        <v>61</v>
      </c>
      <c r="NX1">
        <v>61</v>
      </c>
      <c r="NY1">
        <v>61</v>
      </c>
      <c r="NZ1">
        <v>61</v>
      </c>
      <c r="OA1">
        <v>61</v>
      </c>
      <c r="OB1">
        <v>61</v>
      </c>
      <c r="OC1">
        <v>61</v>
      </c>
      <c r="OD1">
        <v>61</v>
      </c>
      <c r="OE1">
        <v>61</v>
      </c>
      <c r="OF1">
        <v>61</v>
      </c>
      <c r="OG1">
        <v>61</v>
      </c>
      <c r="OH1">
        <v>61</v>
      </c>
      <c r="OI1">
        <v>61</v>
      </c>
      <c r="OJ1">
        <v>61</v>
      </c>
      <c r="OK1">
        <v>61</v>
      </c>
      <c r="OL1">
        <v>70</v>
      </c>
      <c r="OM1">
        <v>70</v>
      </c>
      <c r="ON1">
        <v>70</v>
      </c>
      <c r="OO1">
        <v>70</v>
      </c>
      <c r="OP1">
        <v>70</v>
      </c>
      <c r="OQ1">
        <v>70</v>
      </c>
      <c r="OR1">
        <v>70</v>
      </c>
      <c r="OS1">
        <v>70</v>
      </c>
      <c r="OT1">
        <v>70</v>
      </c>
      <c r="OU1">
        <v>70</v>
      </c>
      <c r="OV1">
        <v>70</v>
      </c>
      <c r="OW1">
        <v>70</v>
      </c>
      <c r="OX1">
        <v>70</v>
      </c>
      <c r="OY1">
        <v>70</v>
      </c>
      <c r="OZ1">
        <v>70</v>
      </c>
      <c r="PA1">
        <v>70</v>
      </c>
      <c r="PB1">
        <v>70</v>
      </c>
      <c r="PC1">
        <v>70</v>
      </c>
      <c r="PD1">
        <v>71</v>
      </c>
      <c r="PE1">
        <v>71</v>
      </c>
      <c r="PF1">
        <v>71</v>
      </c>
      <c r="PG1">
        <v>71</v>
      </c>
      <c r="PH1">
        <v>71</v>
      </c>
      <c r="PI1">
        <v>71</v>
      </c>
      <c r="PJ1">
        <v>71</v>
      </c>
      <c r="PK1">
        <v>71</v>
      </c>
      <c r="PL1">
        <v>71</v>
      </c>
      <c r="PM1">
        <v>71</v>
      </c>
      <c r="PN1">
        <v>71</v>
      </c>
      <c r="PO1">
        <v>71</v>
      </c>
      <c r="PP1">
        <v>71</v>
      </c>
      <c r="PQ1">
        <v>71</v>
      </c>
      <c r="PR1">
        <v>71</v>
      </c>
      <c r="PS1">
        <v>71</v>
      </c>
      <c r="PT1">
        <v>71</v>
      </c>
      <c r="PU1">
        <v>71</v>
      </c>
      <c r="PV1">
        <v>80</v>
      </c>
      <c r="PW1">
        <v>80</v>
      </c>
      <c r="PX1">
        <v>80</v>
      </c>
      <c r="PY1">
        <v>80</v>
      </c>
      <c r="PZ1">
        <v>80</v>
      </c>
      <c r="QA1">
        <v>81</v>
      </c>
      <c r="QB1">
        <v>81</v>
      </c>
      <c r="QC1">
        <v>81</v>
      </c>
      <c r="QD1">
        <v>81</v>
      </c>
      <c r="QE1">
        <v>81</v>
      </c>
      <c r="QF1">
        <v>90</v>
      </c>
      <c r="QG1">
        <v>90</v>
      </c>
      <c r="QH1">
        <v>90</v>
      </c>
      <c r="QI1">
        <v>90</v>
      </c>
      <c r="QJ1">
        <v>91</v>
      </c>
      <c r="QK1">
        <v>91</v>
      </c>
      <c r="QL1">
        <v>91</v>
      </c>
      <c r="QM1">
        <v>91</v>
      </c>
      <c r="QN1">
        <v>92</v>
      </c>
      <c r="QO1">
        <v>92</v>
      </c>
      <c r="QP1">
        <v>92</v>
      </c>
      <c r="QQ1">
        <v>92</v>
      </c>
      <c r="QR1">
        <v>93</v>
      </c>
      <c r="QS1">
        <v>93</v>
      </c>
      <c r="QT1">
        <v>93</v>
      </c>
      <c r="QU1">
        <v>93</v>
      </c>
    </row>
    <row r="2" spans="1:463" x14ac:dyDescent="0.2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15</v>
      </c>
      <c r="M2" t="s">
        <v>16</v>
      </c>
      <c r="N2" t="s">
        <v>15</v>
      </c>
      <c r="O2" t="s">
        <v>16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17</v>
      </c>
      <c r="BW2" t="s">
        <v>18</v>
      </c>
      <c r="BX2" t="s">
        <v>19</v>
      </c>
      <c r="BY2" t="s">
        <v>20</v>
      </c>
      <c r="BZ2" t="s">
        <v>21</v>
      </c>
      <c r="CA2" t="s">
        <v>22</v>
      </c>
      <c r="CB2" t="s">
        <v>23</v>
      </c>
      <c r="CC2" t="s">
        <v>24</v>
      </c>
      <c r="CD2" t="s">
        <v>25</v>
      </c>
      <c r="CE2" t="s">
        <v>26</v>
      </c>
      <c r="CF2" t="s">
        <v>27</v>
      </c>
      <c r="CG2" t="s">
        <v>28</v>
      </c>
      <c r="CH2" t="s">
        <v>29</v>
      </c>
      <c r="CI2" t="s">
        <v>30</v>
      </c>
      <c r="CJ2" t="s">
        <v>31</v>
      </c>
      <c r="CK2" t="s">
        <v>32</v>
      </c>
      <c r="CL2" t="s">
        <v>33</v>
      </c>
      <c r="CM2" t="s">
        <v>34</v>
      </c>
      <c r="CN2" t="s">
        <v>35</v>
      </c>
      <c r="CO2" t="s">
        <v>36</v>
      </c>
      <c r="CP2" t="s">
        <v>37</v>
      </c>
      <c r="CQ2" t="s">
        <v>38</v>
      </c>
      <c r="CR2" t="s">
        <v>39</v>
      </c>
      <c r="CS2" t="s">
        <v>40</v>
      </c>
      <c r="CT2" t="s">
        <v>41</v>
      </c>
      <c r="CU2" t="s">
        <v>42</v>
      </c>
      <c r="CV2" t="s">
        <v>43</v>
      </c>
      <c r="CW2" t="s">
        <v>44</v>
      </c>
      <c r="CX2" t="s">
        <v>45</v>
      </c>
      <c r="CY2" t="s">
        <v>46</v>
      </c>
      <c r="CZ2" t="s">
        <v>47</v>
      </c>
      <c r="DA2" t="s">
        <v>48</v>
      </c>
      <c r="DB2" t="s">
        <v>49</v>
      </c>
      <c r="DC2" t="s">
        <v>50</v>
      </c>
      <c r="DD2" t="s">
        <v>51</v>
      </c>
      <c r="DE2" t="s">
        <v>52</v>
      </c>
      <c r="DF2" t="s">
        <v>53</v>
      </c>
      <c r="DG2" t="s">
        <v>54</v>
      </c>
      <c r="DH2" t="s">
        <v>55</v>
      </c>
      <c r="DI2" t="s">
        <v>56</v>
      </c>
      <c r="DJ2" t="s">
        <v>57</v>
      </c>
      <c r="DK2" t="s">
        <v>58</v>
      </c>
      <c r="DL2" t="s">
        <v>59</v>
      </c>
      <c r="DM2" t="s">
        <v>60</v>
      </c>
      <c r="DN2" t="s">
        <v>61</v>
      </c>
      <c r="DO2" t="s">
        <v>62</v>
      </c>
      <c r="DP2" t="s">
        <v>63</v>
      </c>
      <c r="DQ2" t="s">
        <v>64</v>
      </c>
      <c r="DR2" t="s">
        <v>65</v>
      </c>
      <c r="DS2" t="s">
        <v>66</v>
      </c>
      <c r="DT2" t="s">
        <v>67</v>
      </c>
      <c r="DU2" t="s">
        <v>68</v>
      </c>
      <c r="DV2" t="s">
        <v>69</v>
      </c>
      <c r="DW2" t="s">
        <v>70</v>
      </c>
      <c r="DX2" t="s">
        <v>71</v>
      </c>
      <c r="DY2" t="s">
        <v>72</v>
      </c>
      <c r="DZ2" t="s">
        <v>73</v>
      </c>
      <c r="EA2" t="s">
        <v>74</v>
      </c>
      <c r="EB2" t="s">
        <v>75</v>
      </c>
      <c r="EC2" t="s">
        <v>76</v>
      </c>
      <c r="ED2" t="s">
        <v>77</v>
      </c>
      <c r="EE2" t="s">
        <v>78</v>
      </c>
      <c r="EF2" t="s">
        <v>79</v>
      </c>
      <c r="EG2" t="s">
        <v>80</v>
      </c>
      <c r="EH2" t="s">
        <v>81</v>
      </c>
      <c r="EI2" t="s">
        <v>82</v>
      </c>
      <c r="EJ2" t="s">
        <v>83</v>
      </c>
      <c r="EK2" t="s">
        <v>84</v>
      </c>
      <c r="EL2" t="s">
        <v>85</v>
      </c>
      <c r="EM2" t="s">
        <v>86</v>
      </c>
      <c r="EN2" t="s">
        <v>87</v>
      </c>
      <c r="EO2" t="s">
        <v>88</v>
      </c>
      <c r="EP2" t="s">
        <v>89</v>
      </c>
      <c r="EQ2" t="s">
        <v>90</v>
      </c>
      <c r="ER2" t="s">
        <v>91</v>
      </c>
      <c r="ES2" t="s">
        <v>92</v>
      </c>
      <c r="ET2" t="s">
        <v>93</v>
      </c>
      <c r="EU2" t="s">
        <v>94</v>
      </c>
      <c r="EV2" t="s">
        <v>95</v>
      </c>
      <c r="EW2" t="s">
        <v>96</v>
      </c>
      <c r="EX2" t="s">
        <v>97</v>
      </c>
      <c r="EY2" t="s">
        <v>98</v>
      </c>
      <c r="EZ2" t="s">
        <v>99</v>
      </c>
      <c r="FA2" t="s">
        <v>100</v>
      </c>
      <c r="FB2" t="s">
        <v>101</v>
      </c>
      <c r="FC2" t="s">
        <v>102</v>
      </c>
      <c r="FD2" t="s">
        <v>103</v>
      </c>
      <c r="FE2" t="s">
        <v>104</v>
      </c>
      <c r="FF2" t="s">
        <v>105</v>
      </c>
      <c r="FG2" t="s">
        <v>106</v>
      </c>
      <c r="FH2" t="s">
        <v>107</v>
      </c>
      <c r="FI2" t="s">
        <v>108</v>
      </c>
      <c r="FJ2" t="s">
        <v>109</v>
      </c>
      <c r="FK2" t="s">
        <v>110</v>
      </c>
      <c r="FL2" t="s">
        <v>111</v>
      </c>
      <c r="FM2" t="s">
        <v>112</v>
      </c>
      <c r="FN2" t="s">
        <v>113</v>
      </c>
      <c r="FO2" t="s">
        <v>114</v>
      </c>
      <c r="FP2" t="s">
        <v>115</v>
      </c>
      <c r="FQ2" t="s">
        <v>116</v>
      </c>
      <c r="FR2" t="s">
        <v>117</v>
      </c>
      <c r="FS2" t="s">
        <v>118</v>
      </c>
      <c r="FT2" t="s">
        <v>119</v>
      </c>
      <c r="FU2" t="s">
        <v>120</v>
      </c>
      <c r="FV2" t="s">
        <v>121</v>
      </c>
      <c r="FW2" t="s">
        <v>122</v>
      </c>
      <c r="FX2" t="s">
        <v>123</v>
      </c>
      <c r="FY2" t="s">
        <v>124</v>
      </c>
      <c r="FZ2" t="s">
        <v>125</v>
      </c>
      <c r="GA2" t="s">
        <v>126</v>
      </c>
      <c r="GB2" t="s">
        <v>127</v>
      </c>
      <c r="GC2" t="s">
        <v>128</v>
      </c>
      <c r="GD2" t="s">
        <v>129</v>
      </c>
      <c r="GE2" t="s">
        <v>130</v>
      </c>
      <c r="GF2" t="s">
        <v>131</v>
      </c>
      <c r="GG2" t="s">
        <v>132</v>
      </c>
      <c r="GH2" t="s">
        <v>133</v>
      </c>
      <c r="GI2" t="s">
        <v>134</v>
      </c>
      <c r="GJ2" t="s">
        <v>135</v>
      </c>
      <c r="GK2" t="s">
        <v>136</v>
      </c>
      <c r="GL2" t="s">
        <v>137</v>
      </c>
      <c r="GM2" t="s">
        <v>138</v>
      </c>
      <c r="GN2" t="s">
        <v>139</v>
      </c>
      <c r="GO2" t="s">
        <v>140</v>
      </c>
      <c r="GP2" t="s">
        <v>141</v>
      </c>
      <c r="GQ2" t="s">
        <v>142</v>
      </c>
      <c r="GR2" t="s">
        <v>143</v>
      </c>
      <c r="GS2" t="s">
        <v>144</v>
      </c>
      <c r="GT2" t="s">
        <v>145</v>
      </c>
      <c r="GU2" t="s">
        <v>146</v>
      </c>
      <c r="GV2" t="s">
        <v>147</v>
      </c>
      <c r="GW2" t="s">
        <v>148</v>
      </c>
      <c r="GX2" t="s">
        <v>73</v>
      </c>
      <c r="GY2" t="s">
        <v>74</v>
      </c>
      <c r="GZ2" t="s">
        <v>75</v>
      </c>
      <c r="HA2" t="s">
        <v>76</v>
      </c>
      <c r="HB2" t="s">
        <v>77</v>
      </c>
      <c r="HC2" t="s">
        <v>78</v>
      </c>
      <c r="HD2" t="s">
        <v>79</v>
      </c>
      <c r="HE2" t="s">
        <v>80</v>
      </c>
      <c r="HF2" t="s">
        <v>81</v>
      </c>
      <c r="HG2" t="s">
        <v>82</v>
      </c>
      <c r="HH2" t="s">
        <v>83</v>
      </c>
      <c r="HI2" t="s">
        <v>84</v>
      </c>
      <c r="HJ2" t="s">
        <v>85</v>
      </c>
      <c r="HK2" t="s">
        <v>86</v>
      </c>
      <c r="HL2" t="s">
        <v>87</v>
      </c>
      <c r="HM2" t="s">
        <v>88</v>
      </c>
      <c r="HN2" t="s">
        <v>89</v>
      </c>
      <c r="HO2" t="s">
        <v>90</v>
      </c>
      <c r="HP2" t="s">
        <v>91</v>
      </c>
      <c r="HQ2" t="s">
        <v>92</v>
      </c>
      <c r="HR2" t="s">
        <v>93</v>
      </c>
      <c r="HS2" t="s">
        <v>94</v>
      </c>
      <c r="HT2" t="s">
        <v>95</v>
      </c>
      <c r="HU2" t="s">
        <v>96</v>
      </c>
      <c r="HV2" t="s">
        <v>97</v>
      </c>
      <c r="HW2" t="s">
        <v>98</v>
      </c>
      <c r="HX2" t="s">
        <v>99</v>
      </c>
      <c r="HY2" t="s">
        <v>100</v>
      </c>
      <c r="HZ2" t="s">
        <v>101</v>
      </c>
      <c r="IA2" t="s">
        <v>102</v>
      </c>
      <c r="IB2" t="s">
        <v>103</v>
      </c>
      <c r="IC2" t="s">
        <v>104</v>
      </c>
      <c r="ID2" t="s">
        <v>105</v>
      </c>
      <c r="IE2" t="s">
        <v>106</v>
      </c>
      <c r="IF2" t="s">
        <v>107</v>
      </c>
      <c r="IG2" t="s">
        <v>108</v>
      </c>
      <c r="IH2" t="s">
        <v>109</v>
      </c>
      <c r="II2" t="s">
        <v>110</v>
      </c>
      <c r="IJ2" t="s">
        <v>111</v>
      </c>
      <c r="IK2" t="s">
        <v>112</v>
      </c>
      <c r="IL2" t="s">
        <v>113</v>
      </c>
      <c r="IM2" t="s">
        <v>114</v>
      </c>
      <c r="IN2" t="s">
        <v>115</v>
      </c>
      <c r="IO2" t="s">
        <v>116</v>
      </c>
      <c r="IP2" t="s">
        <v>117</v>
      </c>
      <c r="IQ2" t="s">
        <v>118</v>
      </c>
      <c r="IR2" t="s">
        <v>119</v>
      </c>
      <c r="IS2" t="s">
        <v>120</v>
      </c>
      <c r="IT2" t="s">
        <v>121</v>
      </c>
      <c r="IU2" t="s">
        <v>122</v>
      </c>
      <c r="IV2" t="s">
        <v>123</v>
      </c>
      <c r="IW2" t="s">
        <v>124</v>
      </c>
      <c r="IX2" t="s">
        <v>125</v>
      </c>
      <c r="IY2" t="s">
        <v>126</v>
      </c>
      <c r="IZ2" t="s">
        <v>127</v>
      </c>
      <c r="JA2" t="s">
        <v>128</v>
      </c>
      <c r="JB2" t="s">
        <v>129</v>
      </c>
      <c r="JC2" t="s">
        <v>130</v>
      </c>
      <c r="JD2" t="s">
        <v>131</v>
      </c>
      <c r="JE2" t="s">
        <v>132</v>
      </c>
      <c r="JF2" t="s">
        <v>133</v>
      </c>
      <c r="JG2" t="s">
        <v>134</v>
      </c>
      <c r="JH2" t="s">
        <v>135</v>
      </c>
      <c r="JI2" t="s">
        <v>136</v>
      </c>
      <c r="JJ2" t="s">
        <v>137</v>
      </c>
      <c r="JK2" t="s">
        <v>138</v>
      </c>
      <c r="JL2" t="s">
        <v>139</v>
      </c>
      <c r="JM2" t="s">
        <v>140</v>
      </c>
      <c r="JN2" t="s">
        <v>141</v>
      </c>
      <c r="JO2" t="s">
        <v>142</v>
      </c>
      <c r="JP2" t="s">
        <v>143</v>
      </c>
      <c r="JQ2" t="s">
        <v>144</v>
      </c>
      <c r="JR2" t="s">
        <v>145</v>
      </c>
      <c r="JS2" t="s">
        <v>146</v>
      </c>
      <c r="JT2" t="s">
        <v>147</v>
      </c>
      <c r="JU2" t="s">
        <v>148</v>
      </c>
      <c r="JV2" t="s">
        <v>149</v>
      </c>
      <c r="JW2" t="s">
        <v>150</v>
      </c>
      <c r="JX2" t="s">
        <v>151</v>
      </c>
      <c r="JY2" t="s">
        <v>152</v>
      </c>
      <c r="JZ2" t="s">
        <v>153</v>
      </c>
      <c r="KA2" t="s">
        <v>154</v>
      </c>
      <c r="KB2" t="s">
        <v>155</v>
      </c>
      <c r="KC2" t="s">
        <v>156</v>
      </c>
      <c r="KD2" t="s">
        <v>157</v>
      </c>
      <c r="KE2" t="s">
        <v>158</v>
      </c>
      <c r="KF2" t="s">
        <v>159</v>
      </c>
      <c r="KG2" t="s">
        <v>160</v>
      </c>
      <c r="KH2" t="s">
        <v>161</v>
      </c>
      <c r="KI2" t="s">
        <v>162</v>
      </c>
      <c r="KJ2" t="s">
        <v>163</v>
      </c>
      <c r="KK2" t="s">
        <v>164</v>
      </c>
      <c r="KL2" t="s">
        <v>165</v>
      </c>
      <c r="KM2" t="s">
        <v>166</v>
      </c>
      <c r="KN2" t="s">
        <v>167</v>
      </c>
      <c r="KO2" t="s">
        <v>168</v>
      </c>
      <c r="KP2" t="s">
        <v>169</v>
      </c>
      <c r="KQ2" t="s">
        <v>170</v>
      </c>
      <c r="KR2" t="s">
        <v>171</v>
      </c>
      <c r="KS2" t="s">
        <v>172</v>
      </c>
      <c r="KT2" t="s">
        <v>173</v>
      </c>
      <c r="KU2" t="s">
        <v>174</v>
      </c>
      <c r="KV2" t="s">
        <v>175</v>
      </c>
      <c r="KW2" t="s">
        <v>176</v>
      </c>
      <c r="KX2" t="s">
        <v>177</v>
      </c>
      <c r="KY2" t="s">
        <v>178</v>
      </c>
      <c r="KZ2" t="s">
        <v>179</v>
      </c>
      <c r="LA2" t="s">
        <v>180</v>
      </c>
      <c r="LB2" t="s">
        <v>181</v>
      </c>
      <c r="LC2" t="s">
        <v>182</v>
      </c>
      <c r="LD2" t="s">
        <v>183</v>
      </c>
      <c r="LE2" t="s">
        <v>184</v>
      </c>
      <c r="LF2" t="s">
        <v>185</v>
      </c>
      <c r="LG2" t="s">
        <v>186</v>
      </c>
      <c r="LH2" t="s">
        <v>187</v>
      </c>
      <c r="LI2" t="s">
        <v>188</v>
      </c>
      <c r="LJ2" t="s">
        <v>189</v>
      </c>
      <c r="LK2" t="s">
        <v>190</v>
      </c>
      <c r="LL2" t="s">
        <v>191</v>
      </c>
      <c r="LM2" t="s">
        <v>192</v>
      </c>
      <c r="LN2" t="s">
        <v>193</v>
      </c>
      <c r="LO2" t="s">
        <v>194</v>
      </c>
      <c r="LP2" t="s">
        <v>195</v>
      </c>
      <c r="LQ2" t="s">
        <v>196</v>
      </c>
      <c r="LR2" t="s">
        <v>197</v>
      </c>
      <c r="LS2" t="s">
        <v>198</v>
      </c>
      <c r="LT2" t="s">
        <v>199</v>
      </c>
      <c r="LU2" t="s">
        <v>200</v>
      </c>
      <c r="LV2" t="s">
        <v>201</v>
      </c>
      <c r="LW2" t="s">
        <v>202</v>
      </c>
      <c r="LX2" t="s">
        <v>203</v>
      </c>
      <c r="LY2" t="s">
        <v>204</v>
      </c>
      <c r="LZ2" t="s">
        <v>205</v>
      </c>
      <c r="MA2" t="s">
        <v>206</v>
      </c>
      <c r="MB2" t="s">
        <v>207</v>
      </c>
      <c r="MC2" t="s">
        <v>208</v>
      </c>
      <c r="MD2" t="s">
        <v>149</v>
      </c>
      <c r="ME2" t="s">
        <v>150</v>
      </c>
      <c r="MF2" t="s">
        <v>151</v>
      </c>
      <c r="MG2" t="s">
        <v>152</v>
      </c>
      <c r="MH2" t="s">
        <v>153</v>
      </c>
      <c r="MI2" t="s">
        <v>154</v>
      </c>
      <c r="MJ2" t="s">
        <v>155</v>
      </c>
      <c r="MK2" t="s">
        <v>156</v>
      </c>
      <c r="ML2" t="s">
        <v>157</v>
      </c>
      <c r="MM2" t="s">
        <v>158</v>
      </c>
      <c r="MN2" t="s">
        <v>159</v>
      </c>
      <c r="MO2" t="s">
        <v>160</v>
      </c>
      <c r="MP2" t="s">
        <v>161</v>
      </c>
      <c r="MQ2" t="s">
        <v>162</v>
      </c>
      <c r="MR2" t="s">
        <v>163</v>
      </c>
      <c r="MS2" t="s">
        <v>164</v>
      </c>
      <c r="MT2" t="s">
        <v>165</v>
      </c>
      <c r="MU2" t="s">
        <v>166</v>
      </c>
      <c r="MV2" t="s">
        <v>167</v>
      </c>
      <c r="MW2" t="s">
        <v>168</v>
      </c>
      <c r="MX2" t="s">
        <v>169</v>
      </c>
      <c r="MY2" t="s">
        <v>170</v>
      </c>
      <c r="MZ2" t="s">
        <v>171</v>
      </c>
      <c r="NA2" t="s">
        <v>172</v>
      </c>
      <c r="NB2" t="s">
        <v>173</v>
      </c>
      <c r="NC2" t="s">
        <v>174</v>
      </c>
      <c r="ND2" t="s">
        <v>175</v>
      </c>
      <c r="NE2" t="s">
        <v>176</v>
      </c>
      <c r="NF2" t="s">
        <v>177</v>
      </c>
      <c r="NG2" t="s">
        <v>178</v>
      </c>
      <c r="NH2" t="s">
        <v>179</v>
      </c>
      <c r="NI2" t="s">
        <v>180</v>
      </c>
      <c r="NJ2" t="s">
        <v>181</v>
      </c>
      <c r="NK2" t="s">
        <v>182</v>
      </c>
      <c r="NL2" t="s">
        <v>183</v>
      </c>
      <c r="NM2" t="s">
        <v>184</v>
      </c>
      <c r="NN2" t="s">
        <v>185</v>
      </c>
      <c r="NO2" t="s">
        <v>186</v>
      </c>
      <c r="NP2" t="s">
        <v>187</v>
      </c>
      <c r="NQ2" t="s">
        <v>188</v>
      </c>
      <c r="NR2" t="s">
        <v>189</v>
      </c>
      <c r="NS2" t="s">
        <v>190</v>
      </c>
      <c r="NT2" t="s">
        <v>191</v>
      </c>
      <c r="NU2" t="s">
        <v>192</v>
      </c>
      <c r="NV2" t="s">
        <v>193</v>
      </c>
      <c r="NW2" t="s">
        <v>194</v>
      </c>
      <c r="NX2" t="s">
        <v>195</v>
      </c>
      <c r="NY2" t="s">
        <v>196</v>
      </c>
      <c r="NZ2" t="s">
        <v>197</v>
      </c>
      <c r="OA2" t="s">
        <v>198</v>
      </c>
      <c r="OB2" t="s">
        <v>199</v>
      </c>
      <c r="OC2" t="s">
        <v>200</v>
      </c>
      <c r="OD2" t="s">
        <v>201</v>
      </c>
      <c r="OE2" t="s">
        <v>202</v>
      </c>
      <c r="OF2" t="s">
        <v>203</v>
      </c>
      <c r="OG2" t="s">
        <v>204</v>
      </c>
      <c r="OH2" t="s">
        <v>205</v>
      </c>
      <c r="OI2" t="s">
        <v>206</v>
      </c>
      <c r="OJ2" t="s">
        <v>207</v>
      </c>
      <c r="OK2" t="s">
        <v>208</v>
      </c>
      <c r="OL2" t="s">
        <v>209</v>
      </c>
      <c r="OM2" t="s">
        <v>210</v>
      </c>
      <c r="ON2" t="s">
        <v>211</v>
      </c>
      <c r="OO2" t="s">
        <v>212</v>
      </c>
      <c r="OP2" t="s">
        <v>213</v>
      </c>
      <c r="OQ2" t="s">
        <v>214</v>
      </c>
      <c r="OR2" t="s">
        <v>215</v>
      </c>
      <c r="OS2" t="s">
        <v>216</v>
      </c>
      <c r="OT2" t="s">
        <v>217</v>
      </c>
      <c r="OU2" t="s">
        <v>218</v>
      </c>
      <c r="OV2" t="s">
        <v>219</v>
      </c>
      <c r="OW2" t="s">
        <v>220</v>
      </c>
      <c r="OX2" t="s">
        <v>221</v>
      </c>
      <c r="OY2" t="s">
        <v>222</v>
      </c>
      <c r="OZ2" t="s">
        <v>223</v>
      </c>
      <c r="PA2" t="s">
        <v>224</v>
      </c>
      <c r="PB2" t="s">
        <v>225</v>
      </c>
      <c r="PC2" t="s">
        <v>226</v>
      </c>
      <c r="PD2" t="s">
        <v>209</v>
      </c>
      <c r="PE2" t="s">
        <v>210</v>
      </c>
      <c r="PF2" t="s">
        <v>211</v>
      </c>
      <c r="PG2" t="s">
        <v>212</v>
      </c>
      <c r="PH2" t="s">
        <v>213</v>
      </c>
      <c r="PI2" t="s">
        <v>214</v>
      </c>
      <c r="PJ2" t="s">
        <v>215</v>
      </c>
      <c r="PK2" t="s">
        <v>216</v>
      </c>
      <c r="PL2" t="s">
        <v>217</v>
      </c>
      <c r="PM2" t="s">
        <v>218</v>
      </c>
      <c r="PN2" t="s">
        <v>219</v>
      </c>
      <c r="PO2" t="s">
        <v>220</v>
      </c>
      <c r="PP2" t="s">
        <v>221</v>
      </c>
      <c r="PQ2" t="s">
        <v>222</v>
      </c>
      <c r="PR2" t="s">
        <v>223</v>
      </c>
      <c r="PS2" t="s">
        <v>224</v>
      </c>
      <c r="PT2" t="s">
        <v>225</v>
      </c>
      <c r="PU2" t="s">
        <v>226</v>
      </c>
      <c r="PV2" t="s">
        <v>222</v>
      </c>
      <c r="PW2" t="s">
        <v>223</v>
      </c>
      <c r="PX2" t="s">
        <v>224</v>
      </c>
      <c r="PY2" t="s">
        <v>225</v>
      </c>
      <c r="PZ2" t="s">
        <v>226</v>
      </c>
      <c r="QA2" t="s">
        <v>222</v>
      </c>
      <c r="QB2" t="s">
        <v>223</v>
      </c>
      <c r="QC2" t="s">
        <v>224</v>
      </c>
      <c r="QD2" t="s">
        <v>225</v>
      </c>
      <c r="QE2" t="s">
        <v>226</v>
      </c>
      <c r="QF2" t="s">
        <v>227</v>
      </c>
      <c r="QG2" t="s">
        <v>228</v>
      </c>
      <c r="QH2" t="s">
        <v>229</v>
      </c>
      <c r="QI2" t="s">
        <v>230</v>
      </c>
      <c r="QJ2" t="s">
        <v>227</v>
      </c>
      <c r="QK2" t="s">
        <v>228</v>
      </c>
      <c r="QL2" t="s">
        <v>229</v>
      </c>
      <c r="QM2" t="s">
        <v>230</v>
      </c>
      <c r="QN2" t="s">
        <v>231</v>
      </c>
      <c r="QO2" t="s">
        <v>232</v>
      </c>
      <c r="QP2" t="s">
        <v>233</v>
      </c>
      <c r="QQ2" t="s">
        <v>234</v>
      </c>
      <c r="QR2" t="s">
        <v>231</v>
      </c>
      <c r="QS2" t="s">
        <v>232</v>
      </c>
      <c r="QT2" t="s">
        <v>233</v>
      </c>
      <c r="QU2" t="s">
        <v>234</v>
      </c>
    </row>
    <row r="3" spans="1:463" x14ac:dyDescent="0.2">
      <c r="B3" t="s">
        <v>235</v>
      </c>
      <c r="C3" t="s">
        <v>235</v>
      </c>
      <c r="D3" t="s">
        <v>236</v>
      </c>
      <c r="E3" t="s">
        <v>237</v>
      </c>
      <c r="F3" t="s">
        <v>237</v>
      </c>
      <c r="G3" t="s">
        <v>238</v>
      </c>
      <c r="H3" t="s">
        <v>238</v>
      </c>
      <c r="I3" t="s">
        <v>238</v>
      </c>
      <c r="J3" t="s">
        <v>236</v>
      </c>
      <c r="K3" t="s">
        <v>236</v>
      </c>
      <c r="L3" t="s">
        <v>236</v>
      </c>
      <c r="M3" t="s">
        <v>236</v>
      </c>
      <c r="N3" t="s">
        <v>236</v>
      </c>
      <c r="O3" t="s">
        <v>236</v>
      </c>
      <c r="P3" t="s">
        <v>236</v>
      </c>
      <c r="Q3" t="s">
        <v>236</v>
      </c>
      <c r="R3" t="s">
        <v>239</v>
      </c>
      <c r="S3" t="s">
        <v>239</v>
      </c>
      <c r="T3" t="s">
        <v>239</v>
      </c>
      <c r="U3" t="s">
        <v>239</v>
      </c>
      <c r="V3" t="s">
        <v>239</v>
      </c>
      <c r="W3" t="s">
        <v>239</v>
      </c>
      <c r="X3" t="s">
        <v>239</v>
      </c>
      <c r="Y3" t="s">
        <v>239</v>
      </c>
      <c r="Z3" t="s">
        <v>239</v>
      </c>
      <c r="AA3" t="s">
        <v>239</v>
      </c>
      <c r="AB3" t="s">
        <v>239</v>
      </c>
      <c r="AC3" t="s">
        <v>239</v>
      </c>
      <c r="AD3" t="s">
        <v>239</v>
      </c>
      <c r="AE3" t="s">
        <v>239</v>
      </c>
      <c r="AF3" t="s">
        <v>239</v>
      </c>
      <c r="AG3" t="s">
        <v>239</v>
      </c>
      <c r="AH3" t="s">
        <v>239</v>
      </c>
      <c r="AI3" t="s">
        <v>239</v>
      </c>
      <c r="AJ3" t="s">
        <v>239</v>
      </c>
      <c r="AK3" t="s">
        <v>239</v>
      </c>
      <c r="AL3" t="s">
        <v>239</v>
      </c>
      <c r="AM3" t="s">
        <v>239</v>
      </c>
      <c r="AN3" t="s">
        <v>239</v>
      </c>
      <c r="AO3" t="s">
        <v>239</v>
      </c>
      <c r="AP3" t="s">
        <v>239</v>
      </c>
      <c r="AQ3" t="s">
        <v>239</v>
      </c>
      <c r="AR3" t="s">
        <v>239</v>
      </c>
      <c r="AS3" t="s">
        <v>239</v>
      </c>
      <c r="AT3" t="s">
        <v>240</v>
      </c>
      <c r="AU3" t="s">
        <v>240</v>
      </c>
      <c r="AV3" t="s">
        <v>240</v>
      </c>
      <c r="AW3" t="s">
        <v>240</v>
      </c>
      <c r="AX3" t="s">
        <v>240</v>
      </c>
      <c r="AY3" t="s">
        <v>240</v>
      </c>
      <c r="AZ3" t="s">
        <v>240</v>
      </c>
      <c r="BA3" t="s">
        <v>240</v>
      </c>
      <c r="BB3" t="s">
        <v>241</v>
      </c>
      <c r="BC3" t="s">
        <v>241</v>
      </c>
      <c r="BD3" t="s">
        <v>241</v>
      </c>
      <c r="BE3" t="s">
        <v>241</v>
      </c>
      <c r="BF3" t="s">
        <v>235</v>
      </c>
      <c r="BG3" t="s">
        <v>235</v>
      </c>
      <c r="BH3" t="s">
        <v>235</v>
      </c>
      <c r="BI3" t="s">
        <v>235</v>
      </c>
      <c r="BJ3" t="s">
        <v>238</v>
      </c>
      <c r="BK3" t="s">
        <v>238</v>
      </c>
      <c r="BL3" t="s">
        <v>238</v>
      </c>
      <c r="BM3" t="s">
        <v>238</v>
      </c>
      <c r="BN3" t="s">
        <v>239</v>
      </c>
      <c r="BO3" t="s">
        <v>239</v>
      </c>
      <c r="BP3" t="s">
        <v>239</v>
      </c>
      <c r="BQ3" t="s">
        <v>239</v>
      </c>
      <c r="BR3" t="s">
        <v>242</v>
      </c>
      <c r="BS3" t="s">
        <v>242</v>
      </c>
      <c r="BT3" t="s">
        <v>242</v>
      </c>
      <c r="BU3" t="s">
        <v>242</v>
      </c>
      <c r="BV3" t="s">
        <v>239</v>
      </c>
      <c r="BW3" t="s">
        <v>239</v>
      </c>
      <c r="BX3" t="s">
        <v>239</v>
      </c>
      <c r="BY3" t="s">
        <v>239</v>
      </c>
      <c r="BZ3" t="s">
        <v>239</v>
      </c>
      <c r="CA3" t="s">
        <v>239</v>
      </c>
      <c r="CB3" t="s">
        <v>239</v>
      </c>
      <c r="CC3" t="s">
        <v>239</v>
      </c>
      <c r="CD3" t="s">
        <v>239</v>
      </c>
      <c r="CE3" t="s">
        <v>239</v>
      </c>
      <c r="CF3" t="s">
        <v>239</v>
      </c>
      <c r="CG3" t="s">
        <v>239</v>
      </c>
      <c r="CH3" t="s">
        <v>239</v>
      </c>
      <c r="CI3" t="s">
        <v>239</v>
      </c>
      <c r="CJ3" t="s">
        <v>239</v>
      </c>
      <c r="CK3" t="s">
        <v>239</v>
      </c>
      <c r="CL3" t="s">
        <v>239</v>
      </c>
      <c r="CM3" t="s">
        <v>239</v>
      </c>
      <c r="CN3" t="s">
        <v>239</v>
      </c>
      <c r="CO3" t="s">
        <v>239</v>
      </c>
      <c r="CP3" t="s">
        <v>239</v>
      </c>
      <c r="CQ3" t="s">
        <v>239</v>
      </c>
      <c r="CR3" t="s">
        <v>239</v>
      </c>
      <c r="CS3" t="s">
        <v>239</v>
      </c>
      <c r="CT3" t="s">
        <v>239</v>
      </c>
      <c r="CU3" t="s">
        <v>239</v>
      </c>
      <c r="CV3" t="s">
        <v>239</v>
      </c>
      <c r="CW3" t="s">
        <v>239</v>
      </c>
      <c r="CX3" t="s">
        <v>240</v>
      </c>
      <c r="CY3" t="s">
        <v>240</v>
      </c>
      <c r="CZ3" t="s">
        <v>240</v>
      </c>
      <c r="DA3" t="s">
        <v>240</v>
      </c>
      <c r="DB3" t="s">
        <v>240</v>
      </c>
      <c r="DC3" t="s">
        <v>240</v>
      </c>
      <c r="DD3" t="s">
        <v>240</v>
      </c>
      <c r="DE3" t="s">
        <v>240</v>
      </c>
      <c r="DF3" t="s">
        <v>241</v>
      </c>
      <c r="DG3" t="s">
        <v>241</v>
      </c>
      <c r="DH3" t="s">
        <v>241</v>
      </c>
      <c r="DI3" t="s">
        <v>241</v>
      </c>
      <c r="DJ3" t="s">
        <v>235</v>
      </c>
      <c r="DK3" t="s">
        <v>235</v>
      </c>
      <c r="DL3" t="s">
        <v>235</v>
      </c>
      <c r="DM3" t="s">
        <v>235</v>
      </c>
      <c r="DN3" t="s">
        <v>238</v>
      </c>
      <c r="DO3" t="s">
        <v>238</v>
      </c>
      <c r="DP3" t="s">
        <v>238</v>
      </c>
      <c r="DQ3" t="s">
        <v>238</v>
      </c>
      <c r="DR3" t="s">
        <v>239</v>
      </c>
      <c r="DS3" t="s">
        <v>239</v>
      </c>
      <c r="DT3" t="s">
        <v>239</v>
      </c>
      <c r="DU3" t="s">
        <v>239</v>
      </c>
      <c r="DV3" t="s">
        <v>242</v>
      </c>
      <c r="DW3" t="s">
        <v>242</v>
      </c>
      <c r="DX3" t="s">
        <v>242</v>
      </c>
      <c r="DY3" t="s">
        <v>242</v>
      </c>
      <c r="DZ3" t="s">
        <v>239</v>
      </c>
      <c r="EA3" t="s">
        <v>239</v>
      </c>
      <c r="EB3" t="s">
        <v>239</v>
      </c>
      <c r="EC3" t="s">
        <v>239</v>
      </c>
      <c r="ED3" t="s">
        <v>239</v>
      </c>
      <c r="EE3" t="s">
        <v>239</v>
      </c>
      <c r="EF3" t="s">
        <v>239</v>
      </c>
      <c r="EG3" t="s">
        <v>239</v>
      </c>
      <c r="EH3" t="s">
        <v>239</v>
      </c>
      <c r="EI3" t="s">
        <v>239</v>
      </c>
      <c r="EJ3" t="s">
        <v>239</v>
      </c>
      <c r="EK3" t="s">
        <v>239</v>
      </c>
      <c r="EL3" t="s">
        <v>239</v>
      </c>
      <c r="EM3" t="s">
        <v>239</v>
      </c>
      <c r="EN3" t="s">
        <v>239</v>
      </c>
      <c r="EO3" t="s">
        <v>239</v>
      </c>
      <c r="EP3" t="s">
        <v>239</v>
      </c>
      <c r="EQ3" t="s">
        <v>239</v>
      </c>
      <c r="ER3" t="s">
        <v>239</v>
      </c>
      <c r="ES3" t="s">
        <v>239</v>
      </c>
      <c r="ET3" t="s">
        <v>239</v>
      </c>
      <c r="EU3" t="s">
        <v>239</v>
      </c>
      <c r="EV3" t="s">
        <v>239</v>
      </c>
      <c r="EW3" t="s">
        <v>239</v>
      </c>
      <c r="EX3" t="s">
        <v>239</v>
      </c>
      <c r="EY3" t="s">
        <v>239</v>
      </c>
      <c r="EZ3" t="s">
        <v>239</v>
      </c>
      <c r="FA3" t="s">
        <v>239</v>
      </c>
      <c r="FB3" t="s">
        <v>240</v>
      </c>
      <c r="FC3" t="s">
        <v>240</v>
      </c>
      <c r="FD3" t="s">
        <v>240</v>
      </c>
      <c r="FE3" t="s">
        <v>240</v>
      </c>
      <c r="FF3" t="s">
        <v>240</v>
      </c>
      <c r="FG3" t="s">
        <v>240</v>
      </c>
      <c r="FH3" t="s">
        <v>240</v>
      </c>
      <c r="FI3" t="s">
        <v>240</v>
      </c>
      <c r="FJ3" t="s">
        <v>239</v>
      </c>
      <c r="FK3" t="s">
        <v>239</v>
      </c>
      <c r="FL3" t="s">
        <v>239</v>
      </c>
      <c r="FM3" t="s">
        <v>239</v>
      </c>
      <c r="FN3" t="s">
        <v>239</v>
      </c>
      <c r="FO3" t="s">
        <v>239</v>
      </c>
      <c r="FP3" t="s">
        <v>239</v>
      </c>
      <c r="FQ3" t="s">
        <v>239</v>
      </c>
      <c r="FR3" t="s">
        <v>239</v>
      </c>
      <c r="FS3" t="s">
        <v>239</v>
      </c>
      <c r="FT3" t="s">
        <v>239</v>
      </c>
      <c r="FU3" t="s">
        <v>239</v>
      </c>
      <c r="FV3" t="s">
        <v>239</v>
      </c>
      <c r="FW3" t="s">
        <v>239</v>
      </c>
      <c r="FX3" t="s">
        <v>239</v>
      </c>
      <c r="FY3" t="s">
        <v>239</v>
      </c>
      <c r="FZ3" t="s">
        <v>241</v>
      </c>
      <c r="GA3" t="s">
        <v>241</v>
      </c>
      <c r="GB3" t="s">
        <v>241</v>
      </c>
      <c r="GC3" t="s">
        <v>241</v>
      </c>
      <c r="GD3" t="s">
        <v>235</v>
      </c>
      <c r="GE3" t="s">
        <v>235</v>
      </c>
      <c r="GF3" t="s">
        <v>235</v>
      </c>
      <c r="GG3" t="s">
        <v>235</v>
      </c>
      <c r="GH3" t="s">
        <v>238</v>
      </c>
      <c r="GI3" t="s">
        <v>238</v>
      </c>
      <c r="GJ3" t="s">
        <v>238</v>
      </c>
      <c r="GK3" t="s">
        <v>238</v>
      </c>
      <c r="GL3" t="s">
        <v>239</v>
      </c>
      <c r="GM3" t="s">
        <v>239</v>
      </c>
      <c r="GN3" t="s">
        <v>239</v>
      </c>
      <c r="GO3" t="s">
        <v>239</v>
      </c>
      <c r="GP3" t="s">
        <v>238</v>
      </c>
      <c r="GQ3" t="s">
        <v>238</v>
      </c>
      <c r="GR3" t="s">
        <v>238</v>
      </c>
      <c r="GS3" t="s">
        <v>238</v>
      </c>
      <c r="GT3" t="s">
        <v>242</v>
      </c>
      <c r="GU3" t="s">
        <v>242</v>
      </c>
      <c r="GV3" t="s">
        <v>242</v>
      </c>
      <c r="GW3" t="s">
        <v>242</v>
      </c>
      <c r="GX3" t="s">
        <v>239</v>
      </c>
      <c r="GY3" t="s">
        <v>239</v>
      </c>
      <c r="GZ3" t="s">
        <v>239</v>
      </c>
      <c r="HA3" t="s">
        <v>239</v>
      </c>
      <c r="HB3" t="s">
        <v>239</v>
      </c>
      <c r="HC3" t="s">
        <v>239</v>
      </c>
      <c r="HD3" t="s">
        <v>239</v>
      </c>
      <c r="HE3" t="s">
        <v>239</v>
      </c>
      <c r="HF3" t="s">
        <v>239</v>
      </c>
      <c r="HG3" t="s">
        <v>239</v>
      </c>
      <c r="HH3" t="s">
        <v>239</v>
      </c>
      <c r="HI3" t="s">
        <v>239</v>
      </c>
      <c r="HJ3" t="s">
        <v>239</v>
      </c>
      <c r="HK3" t="s">
        <v>239</v>
      </c>
      <c r="HL3" t="s">
        <v>239</v>
      </c>
      <c r="HM3" t="s">
        <v>239</v>
      </c>
      <c r="HN3" t="s">
        <v>239</v>
      </c>
      <c r="HO3" t="s">
        <v>239</v>
      </c>
      <c r="HP3" t="s">
        <v>239</v>
      </c>
      <c r="HQ3" t="s">
        <v>239</v>
      </c>
      <c r="HR3" t="s">
        <v>239</v>
      </c>
      <c r="HS3" t="s">
        <v>239</v>
      </c>
      <c r="HT3" t="s">
        <v>239</v>
      </c>
      <c r="HU3" t="s">
        <v>239</v>
      </c>
      <c r="HV3" t="s">
        <v>239</v>
      </c>
      <c r="HW3" t="s">
        <v>239</v>
      </c>
      <c r="HX3" t="s">
        <v>239</v>
      </c>
      <c r="HY3" t="s">
        <v>239</v>
      </c>
      <c r="HZ3" t="s">
        <v>240</v>
      </c>
      <c r="IA3" t="s">
        <v>240</v>
      </c>
      <c r="IB3" t="s">
        <v>240</v>
      </c>
      <c r="IC3" t="s">
        <v>240</v>
      </c>
      <c r="ID3" t="s">
        <v>240</v>
      </c>
      <c r="IE3" t="s">
        <v>240</v>
      </c>
      <c r="IF3" t="s">
        <v>240</v>
      </c>
      <c r="IG3" t="s">
        <v>240</v>
      </c>
      <c r="IH3" t="s">
        <v>239</v>
      </c>
      <c r="II3" t="s">
        <v>239</v>
      </c>
      <c r="IJ3" t="s">
        <v>239</v>
      </c>
      <c r="IK3" t="s">
        <v>239</v>
      </c>
      <c r="IL3" t="s">
        <v>239</v>
      </c>
      <c r="IM3" t="s">
        <v>239</v>
      </c>
      <c r="IN3" t="s">
        <v>239</v>
      </c>
      <c r="IO3" t="s">
        <v>239</v>
      </c>
      <c r="IP3" t="s">
        <v>239</v>
      </c>
      <c r="IQ3" t="s">
        <v>239</v>
      </c>
      <c r="IR3" t="s">
        <v>239</v>
      </c>
      <c r="IS3" t="s">
        <v>239</v>
      </c>
      <c r="IT3" t="s">
        <v>239</v>
      </c>
      <c r="IU3" t="s">
        <v>239</v>
      </c>
      <c r="IV3" t="s">
        <v>239</v>
      </c>
      <c r="IW3" t="s">
        <v>239</v>
      </c>
      <c r="IX3" t="s">
        <v>241</v>
      </c>
      <c r="IY3" t="s">
        <v>241</v>
      </c>
      <c r="IZ3" t="s">
        <v>241</v>
      </c>
      <c r="JA3" t="s">
        <v>241</v>
      </c>
      <c r="JB3" t="s">
        <v>235</v>
      </c>
      <c r="JC3" t="s">
        <v>235</v>
      </c>
      <c r="JD3" t="s">
        <v>235</v>
      </c>
      <c r="JE3" t="s">
        <v>235</v>
      </c>
      <c r="JF3" t="s">
        <v>238</v>
      </c>
      <c r="JG3" t="s">
        <v>238</v>
      </c>
      <c r="JH3" t="s">
        <v>238</v>
      </c>
      <c r="JI3" t="s">
        <v>238</v>
      </c>
      <c r="JJ3" t="s">
        <v>239</v>
      </c>
      <c r="JK3" t="s">
        <v>239</v>
      </c>
      <c r="JL3" t="s">
        <v>239</v>
      </c>
      <c r="JM3" t="s">
        <v>239</v>
      </c>
      <c r="JN3" t="s">
        <v>238</v>
      </c>
      <c r="JO3" t="s">
        <v>238</v>
      </c>
      <c r="JP3" t="s">
        <v>238</v>
      </c>
      <c r="JQ3" t="s">
        <v>238</v>
      </c>
      <c r="JR3" t="s">
        <v>242</v>
      </c>
      <c r="JS3" t="s">
        <v>242</v>
      </c>
      <c r="JT3" t="s">
        <v>242</v>
      </c>
      <c r="JU3" t="s">
        <v>242</v>
      </c>
      <c r="JV3" t="s">
        <v>239</v>
      </c>
      <c r="JW3" t="s">
        <v>239</v>
      </c>
      <c r="JX3" t="s">
        <v>239</v>
      </c>
      <c r="JY3" t="s">
        <v>239</v>
      </c>
      <c r="JZ3" t="s">
        <v>239</v>
      </c>
      <c r="KA3" t="s">
        <v>239</v>
      </c>
      <c r="KB3" t="s">
        <v>239</v>
      </c>
      <c r="KC3" t="s">
        <v>239</v>
      </c>
      <c r="KD3" t="s">
        <v>239</v>
      </c>
      <c r="KE3" t="s">
        <v>239</v>
      </c>
      <c r="KF3" t="s">
        <v>239</v>
      </c>
      <c r="KG3" t="s">
        <v>239</v>
      </c>
      <c r="KH3" t="s">
        <v>239</v>
      </c>
      <c r="KI3" t="s">
        <v>239</v>
      </c>
      <c r="KJ3" t="s">
        <v>239</v>
      </c>
      <c r="KK3" t="s">
        <v>239</v>
      </c>
      <c r="KL3" t="s">
        <v>239</v>
      </c>
      <c r="KM3" t="s">
        <v>239</v>
      </c>
      <c r="KN3" t="s">
        <v>239</v>
      </c>
      <c r="KO3" t="s">
        <v>239</v>
      </c>
      <c r="KP3" t="s">
        <v>239</v>
      </c>
      <c r="KQ3" t="s">
        <v>239</v>
      </c>
      <c r="KR3" t="s">
        <v>239</v>
      </c>
      <c r="KS3" t="s">
        <v>239</v>
      </c>
      <c r="KT3" t="s">
        <v>239</v>
      </c>
      <c r="KU3" t="s">
        <v>239</v>
      </c>
      <c r="KV3" t="s">
        <v>239</v>
      </c>
      <c r="KW3" t="s">
        <v>239</v>
      </c>
      <c r="KX3" t="s">
        <v>240</v>
      </c>
      <c r="KY3" t="s">
        <v>240</v>
      </c>
      <c r="KZ3" t="s">
        <v>240</v>
      </c>
      <c r="LA3" t="s">
        <v>240</v>
      </c>
      <c r="LB3" t="s">
        <v>240</v>
      </c>
      <c r="LC3" t="s">
        <v>240</v>
      </c>
      <c r="LD3" t="s">
        <v>240</v>
      </c>
      <c r="LE3" t="s">
        <v>240</v>
      </c>
      <c r="LF3" t="s">
        <v>241</v>
      </c>
      <c r="LG3" t="s">
        <v>241</v>
      </c>
      <c r="LH3" t="s">
        <v>241</v>
      </c>
      <c r="LI3" t="s">
        <v>241</v>
      </c>
      <c r="LJ3" t="s">
        <v>235</v>
      </c>
      <c r="LK3" t="s">
        <v>235</v>
      </c>
      <c r="LL3" t="s">
        <v>235</v>
      </c>
      <c r="LM3" t="s">
        <v>235</v>
      </c>
      <c r="LN3" t="s">
        <v>238</v>
      </c>
      <c r="LO3" t="s">
        <v>238</v>
      </c>
      <c r="LP3" t="s">
        <v>238</v>
      </c>
      <c r="LQ3" t="s">
        <v>238</v>
      </c>
      <c r="LR3" t="s">
        <v>239</v>
      </c>
      <c r="LS3" t="s">
        <v>239</v>
      </c>
      <c r="LT3" t="s">
        <v>239</v>
      </c>
      <c r="LU3" t="s">
        <v>239</v>
      </c>
      <c r="LV3" t="s">
        <v>238</v>
      </c>
      <c r="LW3" t="s">
        <v>238</v>
      </c>
      <c r="LX3" t="s">
        <v>238</v>
      </c>
      <c r="LY3" t="s">
        <v>238</v>
      </c>
      <c r="LZ3" t="s">
        <v>242</v>
      </c>
      <c r="MA3" t="s">
        <v>242</v>
      </c>
      <c r="MB3" t="s">
        <v>242</v>
      </c>
      <c r="MC3" t="s">
        <v>242</v>
      </c>
      <c r="MD3" t="s">
        <v>239</v>
      </c>
      <c r="ME3" t="s">
        <v>239</v>
      </c>
      <c r="MF3" t="s">
        <v>239</v>
      </c>
      <c r="MG3" t="s">
        <v>239</v>
      </c>
      <c r="MH3" t="s">
        <v>239</v>
      </c>
      <c r="MI3" t="s">
        <v>239</v>
      </c>
      <c r="MJ3" t="s">
        <v>239</v>
      </c>
      <c r="MK3" t="s">
        <v>239</v>
      </c>
      <c r="ML3" t="s">
        <v>239</v>
      </c>
      <c r="MM3" t="s">
        <v>239</v>
      </c>
      <c r="MN3" t="s">
        <v>239</v>
      </c>
      <c r="MO3" t="s">
        <v>239</v>
      </c>
      <c r="MP3" t="s">
        <v>239</v>
      </c>
      <c r="MQ3" t="s">
        <v>239</v>
      </c>
      <c r="MR3" t="s">
        <v>239</v>
      </c>
      <c r="MS3" t="s">
        <v>239</v>
      </c>
      <c r="MT3" t="s">
        <v>239</v>
      </c>
      <c r="MU3" t="s">
        <v>239</v>
      </c>
      <c r="MV3" t="s">
        <v>239</v>
      </c>
      <c r="MW3" t="s">
        <v>239</v>
      </c>
      <c r="MX3" t="s">
        <v>239</v>
      </c>
      <c r="MY3" t="s">
        <v>239</v>
      </c>
      <c r="MZ3" t="s">
        <v>239</v>
      </c>
      <c r="NA3" t="s">
        <v>239</v>
      </c>
      <c r="NB3" t="s">
        <v>239</v>
      </c>
      <c r="NC3" t="s">
        <v>239</v>
      </c>
      <c r="ND3" t="s">
        <v>239</v>
      </c>
      <c r="NE3" t="s">
        <v>239</v>
      </c>
      <c r="NF3" t="s">
        <v>240</v>
      </c>
      <c r="NG3" t="s">
        <v>240</v>
      </c>
      <c r="NH3" t="s">
        <v>240</v>
      </c>
      <c r="NI3" t="s">
        <v>240</v>
      </c>
      <c r="NJ3" t="s">
        <v>240</v>
      </c>
      <c r="NK3" t="s">
        <v>240</v>
      </c>
      <c r="NL3" t="s">
        <v>240</v>
      </c>
      <c r="NM3" t="s">
        <v>240</v>
      </c>
      <c r="NN3" t="s">
        <v>241</v>
      </c>
      <c r="NO3" t="s">
        <v>241</v>
      </c>
      <c r="NP3" t="s">
        <v>241</v>
      </c>
      <c r="NQ3" t="s">
        <v>241</v>
      </c>
      <c r="NR3" t="s">
        <v>235</v>
      </c>
      <c r="NS3" t="s">
        <v>235</v>
      </c>
      <c r="NT3" t="s">
        <v>235</v>
      </c>
      <c r="NU3" t="s">
        <v>235</v>
      </c>
      <c r="NV3" t="s">
        <v>238</v>
      </c>
      <c r="NW3" t="s">
        <v>238</v>
      </c>
      <c r="NX3" t="s">
        <v>238</v>
      </c>
      <c r="NY3" t="s">
        <v>238</v>
      </c>
      <c r="NZ3" t="s">
        <v>239</v>
      </c>
      <c r="OA3" t="s">
        <v>239</v>
      </c>
      <c r="OB3" t="s">
        <v>239</v>
      </c>
      <c r="OC3" t="s">
        <v>239</v>
      </c>
      <c r="OD3" t="s">
        <v>238</v>
      </c>
      <c r="OE3" t="s">
        <v>238</v>
      </c>
      <c r="OF3" t="s">
        <v>238</v>
      </c>
      <c r="OG3" t="s">
        <v>238</v>
      </c>
      <c r="OH3" t="s">
        <v>242</v>
      </c>
      <c r="OI3" t="s">
        <v>242</v>
      </c>
      <c r="OJ3" t="s">
        <v>242</v>
      </c>
      <c r="OK3" t="s">
        <v>242</v>
      </c>
      <c r="OL3" t="s">
        <v>239</v>
      </c>
      <c r="OM3" t="s">
        <v>240</v>
      </c>
      <c r="ON3" t="s">
        <v>240</v>
      </c>
      <c r="OO3" t="s">
        <v>239</v>
      </c>
      <c r="OP3" t="s">
        <v>239</v>
      </c>
      <c r="OQ3" t="s">
        <v>239</v>
      </c>
      <c r="OR3" t="s">
        <v>239</v>
      </c>
      <c r="OS3" t="s">
        <v>243</v>
      </c>
      <c r="OT3" t="s">
        <v>243</v>
      </c>
      <c r="OU3" t="s">
        <v>243</v>
      </c>
      <c r="OV3" t="s">
        <v>243</v>
      </c>
      <c r="OW3" t="s">
        <v>243</v>
      </c>
      <c r="OX3" t="s">
        <v>243</v>
      </c>
      <c r="OY3" t="s">
        <v>239</v>
      </c>
      <c r="OZ3" t="s">
        <v>239</v>
      </c>
      <c r="PA3" t="s">
        <v>239</v>
      </c>
      <c r="PB3" t="s">
        <v>238</v>
      </c>
      <c r="PC3" t="s">
        <v>238</v>
      </c>
      <c r="PD3" t="s">
        <v>239</v>
      </c>
      <c r="PE3" t="s">
        <v>240</v>
      </c>
      <c r="PF3" t="s">
        <v>240</v>
      </c>
      <c r="PG3" t="s">
        <v>239</v>
      </c>
      <c r="PH3" t="s">
        <v>239</v>
      </c>
      <c r="PI3" t="s">
        <v>239</v>
      </c>
      <c r="PJ3" t="s">
        <v>239</v>
      </c>
      <c r="PK3" t="s">
        <v>243</v>
      </c>
      <c r="PL3" t="s">
        <v>243</v>
      </c>
      <c r="PM3" t="s">
        <v>243</v>
      </c>
      <c r="PN3" t="s">
        <v>243</v>
      </c>
      <c r="PO3" t="s">
        <v>243</v>
      </c>
      <c r="PP3" t="s">
        <v>243</v>
      </c>
      <c r="PQ3" t="s">
        <v>239</v>
      </c>
      <c r="PR3" t="s">
        <v>239</v>
      </c>
      <c r="PS3" t="s">
        <v>239</v>
      </c>
      <c r="PT3" t="s">
        <v>238</v>
      </c>
      <c r="PU3" t="s">
        <v>238</v>
      </c>
      <c r="PV3" t="s">
        <v>239</v>
      </c>
      <c r="PW3" t="s">
        <v>239</v>
      </c>
      <c r="PX3" t="s">
        <v>239</v>
      </c>
      <c r="PY3" t="s">
        <v>238</v>
      </c>
      <c r="PZ3" t="s">
        <v>238</v>
      </c>
      <c r="QA3" t="s">
        <v>239</v>
      </c>
      <c r="QB3" t="s">
        <v>239</v>
      </c>
      <c r="QC3" t="s">
        <v>239</v>
      </c>
      <c r="QD3" t="s">
        <v>238</v>
      </c>
      <c r="QE3" t="s">
        <v>238</v>
      </c>
      <c r="QF3" t="s">
        <v>243</v>
      </c>
      <c r="QG3" t="s">
        <v>243</v>
      </c>
      <c r="QH3" t="s">
        <v>243</v>
      </c>
      <c r="QI3" t="s">
        <v>243</v>
      </c>
      <c r="QJ3" t="s">
        <v>243</v>
      </c>
      <c r="QK3" t="s">
        <v>243</v>
      </c>
      <c r="QL3" t="s">
        <v>243</v>
      </c>
      <c r="QM3" t="s">
        <v>243</v>
      </c>
      <c r="QN3" t="s">
        <v>238</v>
      </c>
      <c r="QO3" t="s">
        <v>235</v>
      </c>
      <c r="QP3" t="s">
        <v>235</v>
      </c>
      <c r="QQ3" t="s">
        <v>235</v>
      </c>
      <c r="QR3" t="s">
        <v>238</v>
      </c>
      <c r="QS3" t="s">
        <v>235</v>
      </c>
      <c r="QT3" t="s">
        <v>235</v>
      </c>
      <c r="QU3" t="s">
        <v>235</v>
      </c>
    </row>
    <row r="4" spans="1:463" x14ac:dyDescent="0.2">
      <c r="A4" t="s">
        <v>274</v>
      </c>
      <c r="B4" s="2">
        <v>9.0618602320000006E-12</v>
      </c>
      <c r="C4" s="2">
        <v>1.4711603599999998E-11</v>
      </c>
      <c r="D4">
        <v>2.336508344E-2</v>
      </c>
      <c r="E4">
        <v>7.0843679509999993E-2</v>
      </c>
      <c r="F4">
        <v>0.47005162239999998</v>
      </c>
      <c r="G4">
        <v>7.1774137449999997E-2</v>
      </c>
      <c r="H4">
        <v>0.21762147800000001</v>
      </c>
      <c r="I4">
        <v>1.4439302060000001</v>
      </c>
      <c r="J4">
        <v>32.53025976</v>
      </c>
      <c r="K4">
        <v>32.553624839999998</v>
      </c>
      <c r="L4">
        <v>32.553624839999998</v>
      </c>
      <c r="M4">
        <v>32.553624839999998</v>
      </c>
      <c r="N4">
        <v>32.482781160000002</v>
      </c>
      <c r="O4">
        <v>32.553624839999998</v>
      </c>
      <c r="P4">
        <v>32.083573219999998</v>
      </c>
      <c r="Q4">
        <v>32.553624839999998</v>
      </c>
      <c r="R4">
        <v>1.8255053990000001</v>
      </c>
      <c r="S4">
        <v>0.42536266950000001</v>
      </c>
      <c r="T4">
        <v>1.0641815619999999</v>
      </c>
      <c r="U4">
        <v>3.034679283</v>
      </c>
      <c r="V4">
        <v>1.301209759</v>
      </c>
      <c r="W4">
        <v>0.24695392860000001</v>
      </c>
      <c r="X4">
        <v>0.79291323709999995</v>
      </c>
      <c r="Y4">
        <v>1.929892849</v>
      </c>
      <c r="Z4">
        <v>3.1267151580000001</v>
      </c>
      <c r="AA4">
        <v>0.5454630895</v>
      </c>
      <c r="AB4">
        <v>2.025455</v>
      </c>
      <c r="AC4">
        <v>4.2961390000000002</v>
      </c>
      <c r="AD4">
        <v>0.94997552240000005</v>
      </c>
      <c r="AE4">
        <v>0.26804261219999997</v>
      </c>
      <c r="AF4">
        <v>0.55963957139999998</v>
      </c>
      <c r="AG4">
        <v>2.0693294999999998</v>
      </c>
      <c r="AH4">
        <v>3.1267151580000001</v>
      </c>
      <c r="AI4">
        <v>0.5454630895</v>
      </c>
      <c r="AJ4">
        <v>2.025455</v>
      </c>
      <c r="AK4">
        <v>4.2961390000000002</v>
      </c>
      <c r="AL4">
        <v>0.45424238680000001</v>
      </c>
      <c r="AM4">
        <v>7.1985265290000003E-2</v>
      </c>
      <c r="AN4">
        <v>0.31264631929999998</v>
      </c>
      <c r="AO4">
        <v>0.65309528230000002</v>
      </c>
      <c r="AP4">
        <v>0.55520664679999998</v>
      </c>
      <c r="AQ4">
        <v>7.94420973E-2</v>
      </c>
      <c r="AR4">
        <v>0.37781067410000002</v>
      </c>
      <c r="AS4">
        <v>0.80229033250000004</v>
      </c>
      <c r="AT4">
        <v>0.40062361140000002</v>
      </c>
      <c r="AU4">
        <v>0.37974054499999998</v>
      </c>
      <c r="AV4">
        <v>-0.36576204299999998</v>
      </c>
      <c r="AW4">
        <v>1.847172013</v>
      </c>
      <c r="AX4">
        <v>2.9033245600000002</v>
      </c>
      <c r="AY4">
        <v>0.87328381030000002</v>
      </c>
      <c r="AZ4">
        <v>1.7179620309999999</v>
      </c>
      <c r="BA4">
        <v>8.0532400339999999</v>
      </c>
      <c r="BB4">
        <v>0.33563813510000001</v>
      </c>
      <c r="BC4">
        <v>0.1526928129</v>
      </c>
      <c r="BD4">
        <v>0.13510857100000001</v>
      </c>
      <c r="BE4">
        <v>1.0126899970000001</v>
      </c>
      <c r="BF4">
        <v>1.7215827960000001</v>
      </c>
      <c r="BG4">
        <v>0.28087975529999998</v>
      </c>
      <c r="BH4">
        <v>1.195877847</v>
      </c>
      <c r="BI4">
        <v>2.7422135600000002</v>
      </c>
      <c r="BJ4">
        <v>13.488965500000001</v>
      </c>
      <c r="BK4">
        <v>11.6742726</v>
      </c>
      <c r="BL4">
        <v>0.1326846528</v>
      </c>
      <c r="BM4">
        <v>49.120328550000004</v>
      </c>
      <c r="BN4">
        <v>0.98365428249999998</v>
      </c>
      <c r="BO4">
        <v>0.185370543</v>
      </c>
      <c r="BP4">
        <v>0.60786532250000003</v>
      </c>
      <c r="BQ4">
        <v>1.4961452209999999</v>
      </c>
      <c r="BR4">
        <v>34.939335120000003</v>
      </c>
      <c r="BS4">
        <v>12.688951339999999</v>
      </c>
      <c r="BT4">
        <v>9.8746902159999994</v>
      </c>
      <c r="BU4">
        <v>74.014549400000007</v>
      </c>
      <c r="BV4">
        <v>1.5044591430000001</v>
      </c>
      <c r="BW4">
        <v>0.2114595983</v>
      </c>
      <c r="BX4">
        <v>1.0641815619999999</v>
      </c>
      <c r="BY4">
        <v>2.217739554</v>
      </c>
      <c r="BZ4">
        <v>1.1774324300000001</v>
      </c>
      <c r="CA4">
        <v>0.20793060390000001</v>
      </c>
      <c r="CB4">
        <v>0.69391766850000003</v>
      </c>
      <c r="CC4">
        <v>1.7744871449999999</v>
      </c>
      <c r="CD4">
        <v>2.6818915739999998</v>
      </c>
      <c r="CE4">
        <v>0.2331886356</v>
      </c>
      <c r="CF4">
        <v>2.025455</v>
      </c>
      <c r="CG4">
        <v>2.983101</v>
      </c>
      <c r="CH4">
        <v>0.85665459020000001</v>
      </c>
      <c r="CI4">
        <v>0.1979956746</v>
      </c>
      <c r="CJ4">
        <v>0.55963957139999998</v>
      </c>
      <c r="CK4">
        <v>1.8664155</v>
      </c>
      <c r="CL4">
        <v>2.6818915739999998</v>
      </c>
      <c r="CM4">
        <v>0.2331886356</v>
      </c>
      <c r="CN4">
        <v>2.025455</v>
      </c>
      <c r="CO4">
        <v>2.983101</v>
      </c>
      <c r="CP4">
        <v>0.45005629279999998</v>
      </c>
      <c r="CQ4">
        <v>6.9427357369999998E-2</v>
      </c>
      <c r="CR4">
        <v>0.31264631929999998</v>
      </c>
      <c r="CS4">
        <v>0.63200105200000001</v>
      </c>
      <c r="CT4">
        <v>0.54582430790000003</v>
      </c>
      <c r="CU4">
        <v>7.3711873679999998E-2</v>
      </c>
      <c r="CV4">
        <v>0.37781067410000002</v>
      </c>
      <c r="CW4">
        <v>0.72967442510000002</v>
      </c>
      <c r="CX4">
        <v>0.35051246130000002</v>
      </c>
      <c r="CY4">
        <v>0.36539625310000001</v>
      </c>
      <c r="CZ4">
        <v>-0.35428901219999998</v>
      </c>
      <c r="DA4">
        <v>1.6083691849999999</v>
      </c>
      <c r="DB4">
        <v>2.6291962579999999</v>
      </c>
      <c r="DC4">
        <v>0.59959459640000001</v>
      </c>
      <c r="DD4">
        <v>1.7179620309999999</v>
      </c>
      <c r="DE4">
        <v>5.8993233969999999</v>
      </c>
      <c r="DF4">
        <v>0.30535363139999999</v>
      </c>
      <c r="DG4">
        <v>0.12755851930000001</v>
      </c>
      <c r="DH4">
        <v>0.13510857100000001</v>
      </c>
      <c r="DI4">
        <v>0.82730999709999997</v>
      </c>
      <c r="DJ4">
        <v>1.679115184</v>
      </c>
      <c r="DK4">
        <v>0.24643718019999999</v>
      </c>
      <c r="DL4">
        <v>1.195877847</v>
      </c>
      <c r="DM4">
        <v>2.6312373560000002</v>
      </c>
      <c r="DN4">
        <v>21.65108674</v>
      </c>
      <c r="DO4">
        <v>10.249788179999999</v>
      </c>
      <c r="DP4">
        <v>2.3883237510000002</v>
      </c>
      <c r="DQ4">
        <v>49.114780609999997</v>
      </c>
      <c r="DR4">
        <v>0.98301806479999998</v>
      </c>
      <c r="DS4">
        <v>0.18459627710000001</v>
      </c>
      <c r="DT4">
        <v>0.60786532250000003</v>
      </c>
      <c r="DU4">
        <v>1.4961127329999999</v>
      </c>
      <c r="DV4">
        <v>37.677895149999998</v>
      </c>
      <c r="DW4">
        <v>12.94818304</v>
      </c>
      <c r="DX4">
        <v>12.08736753</v>
      </c>
      <c r="DY4">
        <v>74.014549400000007</v>
      </c>
      <c r="DZ4">
        <v>0.67739436539999998</v>
      </c>
      <c r="EA4">
        <v>0.15927566379999999</v>
      </c>
      <c r="EB4">
        <v>0.40205141439999997</v>
      </c>
      <c r="EC4">
        <v>1.2227207819999999</v>
      </c>
      <c r="ED4">
        <v>0.55734308050000003</v>
      </c>
      <c r="EE4">
        <v>0.1148464996</v>
      </c>
      <c r="EF4">
        <v>0.3214906595</v>
      </c>
      <c r="EG4">
        <v>1.007839022</v>
      </c>
      <c r="EH4">
        <v>1.234737446</v>
      </c>
      <c r="EI4">
        <v>0.2484943758</v>
      </c>
      <c r="EJ4">
        <v>0.72792657140000006</v>
      </c>
      <c r="EK4">
        <v>2.076996286</v>
      </c>
      <c r="EL4">
        <v>0.48317226749999997</v>
      </c>
      <c r="EM4">
        <v>0.1128921681</v>
      </c>
      <c r="EN4">
        <v>0.28765884879999998</v>
      </c>
      <c r="EO4">
        <v>0.92475709679999996</v>
      </c>
      <c r="EP4">
        <v>2.1949251529999998</v>
      </c>
      <c r="EQ4">
        <v>0.71261299720000004</v>
      </c>
      <c r="ER4">
        <v>1.0100480000000001</v>
      </c>
      <c r="ES4">
        <v>4.2428809999999997</v>
      </c>
      <c r="ET4">
        <v>0.16989926050000001</v>
      </c>
      <c r="EU4">
        <v>2.4921338250000001E-2</v>
      </c>
      <c r="EV4">
        <v>0.1210517401</v>
      </c>
      <c r="EW4">
        <v>0.29388234200000002</v>
      </c>
      <c r="EX4">
        <v>0.2209969806</v>
      </c>
      <c r="EY4">
        <v>3.7370569780000001E-2</v>
      </c>
      <c r="EZ4">
        <v>0.15234665480000001</v>
      </c>
      <c r="FA4">
        <v>0.40774853170000003</v>
      </c>
      <c r="FB4">
        <v>0.25894461839999999</v>
      </c>
      <c r="FC4">
        <v>0.2514398934</v>
      </c>
      <c r="FD4">
        <v>-0.34838425029999998</v>
      </c>
      <c r="FE4">
        <v>1.2469605699999999</v>
      </c>
      <c r="FF4">
        <v>3.8365537770000002</v>
      </c>
      <c r="FG4">
        <v>0.94508800469999998</v>
      </c>
      <c r="FH4">
        <v>2.5191452220000001</v>
      </c>
      <c r="FI4">
        <v>8.2239228390000001</v>
      </c>
      <c r="FJ4">
        <v>1.247356159</v>
      </c>
      <c r="FK4">
        <v>0.51050720579999997</v>
      </c>
      <c r="FL4">
        <v>0.52055721769999996</v>
      </c>
      <c r="FM4">
        <v>3.0133519789999998</v>
      </c>
      <c r="FN4">
        <v>0.94671520379999996</v>
      </c>
      <c r="FO4">
        <v>0.3495013025</v>
      </c>
      <c r="FP4">
        <v>0.46894137380000001</v>
      </c>
      <c r="FQ4">
        <v>2.1271120510000001</v>
      </c>
      <c r="FR4">
        <v>2.0735530369999999</v>
      </c>
      <c r="FS4">
        <v>0.6960632538</v>
      </c>
      <c r="FT4">
        <v>0.96774000000000004</v>
      </c>
      <c r="FU4">
        <v>4.2428809999999997</v>
      </c>
      <c r="FV4">
        <v>1.4309839790000001</v>
      </c>
      <c r="FW4">
        <v>0.40223550050000001</v>
      </c>
      <c r="FX4">
        <v>0.86698699999999995</v>
      </c>
      <c r="FY4">
        <v>2.9814400000000001</v>
      </c>
      <c r="FZ4">
        <v>8.5865485709999995E-2</v>
      </c>
      <c r="GA4">
        <v>1.9462830640000001E-2</v>
      </c>
      <c r="GB4">
        <v>5.7589032060000003E-2</v>
      </c>
      <c r="GC4">
        <v>0.1773967736</v>
      </c>
      <c r="GD4">
        <v>1.6241258169999999</v>
      </c>
      <c r="GE4">
        <v>0.25108457899999997</v>
      </c>
      <c r="GF4">
        <v>1.149488286</v>
      </c>
      <c r="GG4">
        <v>2.6355468530000001</v>
      </c>
      <c r="GH4">
        <v>40.326176140000001</v>
      </c>
      <c r="GI4">
        <v>36.933721400000003</v>
      </c>
      <c r="GJ4">
        <v>7.3873430190000006E-2</v>
      </c>
      <c r="GK4">
        <v>99.950751049999994</v>
      </c>
      <c r="GL4">
        <v>0.32487558630000002</v>
      </c>
      <c r="GM4">
        <v>4.1669877119999997E-2</v>
      </c>
      <c r="GN4">
        <v>0.23365995340000001</v>
      </c>
      <c r="GO4">
        <v>0.47180867459999998</v>
      </c>
      <c r="GP4">
        <v>8.2739536769999997</v>
      </c>
      <c r="GQ4">
        <v>2.0772294910000002</v>
      </c>
      <c r="GR4">
        <v>3.299679882</v>
      </c>
      <c r="GS4">
        <v>13.040485800000001</v>
      </c>
      <c r="GT4">
        <v>121.74576709999999</v>
      </c>
      <c r="GU4">
        <v>24.242699649999999</v>
      </c>
      <c r="GV4">
        <v>56.370811029999999</v>
      </c>
      <c r="GW4">
        <v>173.64417570000001</v>
      </c>
      <c r="GX4">
        <v>0.62588703189999995</v>
      </c>
      <c r="GY4">
        <v>0.1224560898</v>
      </c>
      <c r="GZ4">
        <v>0.40205141439999997</v>
      </c>
      <c r="HA4">
        <v>1.0998090300000001</v>
      </c>
      <c r="HB4">
        <v>0.53592076430000002</v>
      </c>
      <c r="HC4">
        <v>9.9966058960000007E-2</v>
      </c>
      <c r="HD4">
        <v>0.3214906595</v>
      </c>
      <c r="HE4">
        <v>0.89191324220000001</v>
      </c>
      <c r="HF4">
        <v>1.1618077959999999</v>
      </c>
      <c r="HG4">
        <v>0.19277920000000001</v>
      </c>
      <c r="HH4">
        <v>0.72792657140000006</v>
      </c>
      <c r="HI4">
        <v>1.732791</v>
      </c>
      <c r="HJ4">
        <v>0.45112369159999999</v>
      </c>
      <c r="HK4">
        <v>8.3131285200000002E-2</v>
      </c>
      <c r="HL4">
        <v>0.28765884879999998</v>
      </c>
      <c r="HM4">
        <v>0.75443775930000001</v>
      </c>
      <c r="HN4">
        <v>1.916690979</v>
      </c>
      <c r="HO4">
        <v>0.48188353979999998</v>
      </c>
      <c r="HP4">
        <v>0.99275000000000002</v>
      </c>
      <c r="HQ4">
        <v>3.2984969999999998</v>
      </c>
      <c r="HR4">
        <v>0.16664656429999999</v>
      </c>
      <c r="HS4">
        <v>2.181843956E-2</v>
      </c>
      <c r="HT4">
        <v>0.1210517401</v>
      </c>
      <c r="HU4">
        <v>0.2593118177</v>
      </c>
      <c r="HV4">
        <v>0.2137338406</v>
      </c>
      <c r="HW4">
        <v>3.0290408800000002E-2</v>
      </c>
      <c r="HX4">
        <v>0.15234665480000001</v>
      </c>
      <c r="HY4">
        <v>0.33971399009999997</v>
      </c>
      <c r="HZ4">
        <v>0.2214563031</v>
      </c>
      <c r="IA4">
        <v>0.2429544384</v>
      </c>
      <c r="IB4">
        <v>-0.62800910210000005</v>
      </c>
      <c r="IC4">
        <v>1.2615132060000001</v>
      </c>
      <c r="ID4">
        <v>3.5626334050000001</v>
      </c>
      <c r="IE4">
        <v>0.74995348880000001</v>
      </c>
      <c r="IF4">
        <v>2.5191452220000001</v>
      </c>
      <c r="IG4">
        <v>8.3225316350000007</v>
      </c>
      <c r="IH4">
        <v>1.028317887</v>
      </c>
      <c r="II4">
        <v>0.33008517859999997</v>
      </c>
      <c r="IJ4">
        <v>0.52051721279999996</v>
      </c>
      <c r="IK4">
        <v>2.5120871939999998</v>
      </c>
      <c r="IL4">
        <v>0.88811895529999996</v>
      </c>
      <c r="IM4">
        <v>0.29516583610000002</v>
      </c>
      <c r="IN4">
        <v>0.46894137380000001</v>
      </c>
      <c r="IO4">
        <v>1.952574298</v>
      </c>
      <c r="IP4">
        <v>1.8083501740000001</v>
      </c>
      <c r="IQ4">
        <v>0.44441531769999998</v>
      </c>
      <c r="IR4">
        <v>0.96774000000000004</v>
      </c>
      <c r="IS4">
        <v>3.2009840000000001</v>
      </c>
      <c r="IT4">
        <v>1.3680715320000001</v>
      </c>
      <c r="IU4">
        <v>0.31862199450000001</v>
      </c>
      <c r="IV4">
        <v>0.790215</v>
      </c>
      <c r="IW4">
        <v>2.6317550000000001</v>
      </c>
      <c r="IX4">
        <v>8.0030255199999997E-2</v>
      </c>
      <c r="IY4">
        <v>1.389379084E-2</v>
      </c>
      <c r="IZ4">
        <v>5.5874999809999999E-2</v>
      </c>
      <c r="JA4">
        <v>0.1174799996</v>
      </c>
      <c r="JB4">
        <v>1.594686898</v>
      </c>
      <c r="JC4">
        <v>0.2282413542</v>
      </c>
      <c r="JD4">
        <v>1.149488286</v>
      </c>
      <c r="JE4">
        <v>2.5188072269999999</v>
      </c>
      <c r="JF4">
        <v>54.552008280000003</v>
      </c>
      <c r="JG4">
        <v>33.244065519999999</v>
      </c>
      <c r="JH4">
        <v>7.3873430190000006E-2</v>
      </c>
      <c r="JI4">
        <v>100</v>
      </c>
      <c r="JJ4">
        <v>0.32382392100000001</v>
      </c>
      <c r="JK4">
        <v>4.1155540169999998E-2</v>
      </c>
      <c r="JL4">
        <v>0.23359139679999999</v>
      </c>
      <c r="JM4">
        <v>0.46879082319999998</v>
      </c>
      <c r="JN4">
        <v>8.9987195549999992</v>
      </c>
      <c r="JO4">
        <v>1.8043584260000001</v>
      </c>
      <c r="JP4">
        <v>4.2938084170000002</v>
      </c>
      <c r="JQ4">
        <v>13.318026980000001</v>
      </c>
      <c r="JR4">
        <v>128.61213040000001</v>
      </c>
      <c r="JS4">
        <v>21.47164416</v>
      </c>
      <c r="JT4">
        <v>85.120871930000007</v>
      </c>
      <c r="JU4">
        <v>178.9709178</v>
      </c>
      <c r="JV4">
        <v>0.92234492779999999</v>
      </c>
      <c r="JW4">
        <v>0.1868500246</v>
      </c>
      <c r="JX4">
        <v>0.49976762180000001</v>
      </c>
      <c r="JY4">
        <v>1.6036120469999999</v>
      </c>
      <c r="JZ4">
        <v>0.73373500899999999</v>
      </c>
      <c r="KA4">
        <v>0.18067406999999999</v>
      </c>
      <c r="KB4">
        <v>0.36259951530000001</v>
      </c>
      <c r="KC4">
        <v>1.1784901860000001</v>
      </c>
      <c r="KD4">
        <v>1.6560799369999999</v>
      </c>
      <c r="KE4">
        <v>0.28016944989999998</v>
      </c>
      <c r="KF4">
        <v>0.95501999999999998</v>
      </c>
      <c r="KG4">
        <v>2.4612409999999998</v>
      </c>
      <c r="KH4">
        <v>1.3006663890000001</v>
      </c>
      <c r="KI4">
        <v>0.33849330560000002</v>
      </c>
      <c r="KJ4">
        <v>0.48862633329999999</v>
      </c>
      <c r="KK4">
        <v>2.158325</v>
      </c>
      <c r="KL4">
        <v>1.6560799369999999</v>
      </c>
      <c r="KM4">
        <v>0.28016944989999998</v>
      </c>
      <c r="KN4">
        <v>0.95501999999999998</v>
      </c>
      <c r="KO4">
        <v>2.4612409999999998</v>
      </c>
      <c r="KP4">
        <v>0.3806367356</v>
      </c>
      <c r="KQ4">
        <v>7.7263532620000006E-2</v>
      </c>
      <c r="KR4">
        <v>0.23719999310000001</v>
      </c>
      <c r="KS4">
        <v>0.59471721290000001</v>
      </c>
      <c r="KT4">
        <v>0.45172966710000001</v>
      </c>
      <c r="KU4">
        <v>8.1664910090000001E-2</v>
      </c>
      <c r="KV4">
        <v>0.26663500400000001</v>
      </c>
      <c r="KW4">
        <v>0.66024940809999999</v>
      </c>
      <c r="KX4">
        <v>0.3185512942</v>
      </c>
      <c r="KY4">
        <v>0.44367752049999998</v>
      </c>
      <c r="KZ4">
        <v>-0.54474913400000002</v>
      </c>
      <c r="LA4">
        <v>1.9219445669999999</v>
      </c>
      <c r="LB4">
        <v>2.295990019</v>
      </c>
      <c r="LC4">
        <v>0.68779870939999999</v>
      </c>
      <c r="LD4">
        <v>1.432281656</v>
      </c>
      <c r="LE4">
        <v>6.1866630249999996</v>
      </c>
      <c r="LF4">
        <v>2.7152962249999999</v>
      </c>
      <c r="LG4">
        <v>0.88748948699999997</v>
      </c>
      <c r="LH4">
        <v>1.0391399960000001</v>
      </c>
      <c r="LI4">
        <v>4.9127999830000002</v>
      </c>
      <c r="LJ4">
        <v>7.2831061289999999E-2</v>
      </c>
      <c r="LK4">
        <v>1.043568189E-2</v>
      </c>
      <c r="LL4">
        <v>4.5131028609999999E-2</v>
      </c>
      <c r="LM4">
        <v>0.1049174561</v>
      </c>
      <c r="LN4">
        <v>53.361818370000002</v>
      </c>
      <c r="LO4">
        <v>16.937723139999999</v>
      </c>
      <c r="LP4">
        <v>11.86478396</v>
      </c>
      <c r="LQ4">
        <v>100</v>
      </c>
      <c r="LR4">
        <v>0.85831686080000003</v>
      </c>
      <c r="LS4">
        <v>0.21011690259999999</v>
      </c>
      <c r="LT4">
        <v>0.42124070270000002</v>
      </c>
      <c r="LU4">
        <v>1.4631168779999999</v>
      </c>
      <c r="LV4">
        <v>21.562568250000002</v>
      </c>
      <c r="LW4">
        <v>5.4445787650000002</v>
      </c>
      <c r="LX4">
        <v>8.6023883239999996</v>
      </c>
      <c r="LY4">
        <v>39.540026539999999</v>
      </c>
      <c r="LZ4">
        <v>4.1147735159999996</v>
      </c>
      <c r="MA4">
        <v>1.4344857070000001</v>
      </c>
      <c r="MB4">
        <v>2.035499111</v>
      </c>
      <c r="MC4">
        <v>9.6233424129999996</v>
      </c>
      <c r="MD4">
        <v>0.90484288359999998</v>
      </c>
      <c r="ME4">
        <v>0.17429805979999999</v>
      </c>
      <c r="MF4">
        <v>0.50076121520000005</v>
      </c>
      <c r="MG4">
        <v>1.4805784179999999</v>
      </c>
      <c r="MH4">
        <v>0.72097398479999997</v>
      </c>
      <c r="MI4">
        <v>0.1743074664</v>
      </c>
      <c r="MJ4">
        <v>0.35980390070000001</v>
      </c>
      <c r="MK4">
        <v>1.1241831259999999</v>
      </c>
      <c r="ML4">
        <v>1.625816868</v>
      </c>
      <c r="MM4">
        <v>0.25943478609999998</v>
      </c>
      <c r="MN4">
        <v>0.95501999999999998</v>
      </c>
      <c r="MO4">
        <v>2.3174350000000001</v>
      </c>
      <c r="MP4">
        <v>1.2865941839999999</v>
      </c>
      <c r="MQ4">
        <v>0.3311747116</v>
      </c>
      <c r="MR4">
        <v>0.48711300000000002</v>
      </c>
      <c r="MS4">
        <v>2.0896020000000002</v>
      </c>
      <c r="MT4">
        <v>1.625816868</v>
      </c>
      <c r="MU4">
        <v>0.25943478609999998</v>
      </c>
      <c r="MV4">
        <v>0.95501999999999998</v>
      </c>
      <c r="MW4">
        <v>2.3174350000000001</v>
      </c>
      <c r="MX4">
        <v>0.37717374460000003</v>
      </c>
      <c r="MY4">
        <v>7.5616157609999998E-2</v>
      </c>
      <c r="MZ4">
        <v>0.23719999310000001</v>
      </c>
      <c r="NA4">
        <v>0.58831732930000002</v>
      </c>
      <c r="NB4">
        <v>0.4470271274</v>
      </c>
      <c r="NC4">
        <v>7.9295653260000001E-2</v>
      </c>
      <c r="ND4">
        <v>0.26663500400000001</v>
      </c>
      <c r="NE4">
        <v>0.65135053600000004</v>
      </c>
      <c r="NF4">
        <v>0.31663156329999997</v>
      </c>
      <c r="NG4">
        <v>0.44222850670000002</v>
      </c>
      <c r="NH4">
        <v>-0.43897938289999999</v>
      </c>
      <c r="NI4">
        <v>1.8211536859999999</v>
      </c>
      <c r="NJ4">
        <v>2.2754974529999998</v>
      </c>
      <c r="NK4">
        <v>0.66966426040000004</v>
      </c>
      <c r="NL4">
        <v>1.4207581739999999</v>
      </c>
      <c r="NM4">
        <v>5.7099794810000004</v>
      </c>
      <c r="NN4">
        <v>2.7302859779999999</v>
      </c>
      <c r="NO4">
        <v>0.88967111369999996</v>
      </c>
      <c r="NP4">
        <v>1.0418999959999999</v>
      </c>
      <c r="NQ4">
        <v>4.911419983</v>
      </c>
      <c r="NR4">
        <v>7.1930469720000001E-2</v>
      </c>
      <c r="NS4">
        <v>9.9888404280000006E-3</v>
      </c>
      <c r="NT4">
        <v>4.5131028609999999E-2</v>
      </c>
      <c r="NU4">
        <v>0.10428550139999999</v>
      </c>
      <c r="NV4">
        <v>54.363298069999999</v>
      </c>
      <c r="NW4">
        <v>16.685085449999999</v>
      </c>
      <c r="NX4">
        <v>12.20698806</v>
      </c>
      <c r="NY4">
        <v>100</v>
      </c>
      <c r="NZ4">
        <v>0.85349930620000003</v>
      </c>
      <c r="OA4">
        <v>0.20781380590000001</v>
      </c>
      <c r="OB4">
        <v>0.42019170950000001</v>
      </c>
      <c r="OC4">
        <v>1.442879652</v>
      </c>
      <c r="OD4">
        <v>21.85961356</v>
      </c>
      <c r="OE4">
        <v>5.4032177429999999</v>
      </c>
      <c r="OF4">
        <v>8.7793011940000003</v>
      </c>
      <c r="OG4">
        <v>39.694825299999998</v>
      </c>
      <c r="OH4">
        <v>4.092176051</v>
      </c>
      <c r="OI4">
        <v>1.43163592</v>
      </c>
      <c r="OJ4">
        <v>2.036071041</v>
      </c>
      <c r="OK4">
        <v>9.597850115</v>
      </c>
      <c r="OL4">
        <v>0.55037660919999998</v>
      </c>
      <c r="OM4">
        <v>0.50556584069999999</v>
      </c>
      <c r="ON4">
        <v>2.8697261470000002</v>
      </c>
      <c r="OO4">
        <v>3.028165</v>
      </c>
      <c r="OP4">
        <v>2.0521630000000002</v>
      </c>
      <c r="OQ4">
        <v>5.0803279999999997</v>
      </c>
      <c r="OR4">
        <v>0.45455379870000001</v>
      </c>
      <c r="OS4" s="2">
        <v>2.654318804E-5</v>
      </c>
      <c r="OT4">
        <v>8.0070050149999995E-4</v>
      </c>
      <c r="OU4" s="2">
        <v>2.654318804E-5</v>
      </c>
      <c r="OV4">
        <v>5.1018227120000004E-4</v>
      </c>
      <c r="OW4">
        <v>7.637817288E-4</v>
      </c>
      <c r="OX4" s="2">
        <v>3.6918772749999997E-5</v>
      </c>
      <c r="OY4">
        <v>1.396047708</v>
      </c>
      <c r="OZ4">
        <v>0.60994852249999998</v>
      </c>
      <c r="PA4">
        <v>0.2418694287</v>
      </c>
      <c r="PB4">
        <v>15.33759072</v>
      </c>
      <c r="PC4">
        <v>95.569047400000002</v>
      </c>
      <c r="PD4">
        <v>0.54077744539999995</v>
      </c>
      <c r="PE4">
        <v>0.43144600129999999</v>
      </c>
      <c r="PF4">
        <v>2.465636462</v>
      </c>
      <c r="PG4">
        <v>2.135157</v>
      </c>
      <c r="PH4">
        <v>1.7116629999999999</v>
      </c>
      <c r="PI4">
        <v>3.8468200000000001</v>
      </c>
      <c r="PJ4">
        <v>0.4507256852</v>
      </c>
      <c r="PK4" s="2">
        <v>2.4045881339999998E-5</v>
      </c>
      <c r="PL4">
        <v>7.992615813E-4</v>
      </c>
      <c r="PM4" s="2">
        <v>2.4045881339999998E-5</v>
      </c>
      <c r="PN4">
        <v>5.1015496759999998E-4</v>
      </c>
      <c r="PO4">
        <v>7.6354303239999999E-4</v>
      </c>
      <c r="PP4" s="2">
        <v>3.5718548949999999E-5</v>
      </c>
      <c r="PQ4">
        <v>1.396254629</v>
      </c>
      <c r="PR4">
        <v>0.57678478089999996</v>
      </c>
      <c r="PS4">
        <v>0.21264806380000001</v>
      </c>
      <c r="PT4">
        <v>15.324807010000001</v>
      </c>
      <c r="PU4">
        <v>95.823091000000005</v>
      </c>
      <c r="PV4">
        <v>1.595734277</v>
      </c>
      <c r="PW4">
        <v>0.62749847110000001</v>
      </c>
      <c r="PX4">
        <v>0.40216740200000001</v>
      </c>
      <c r="PY4">
        <v>12.44848004</v>
      </c>
      <c r="PZ4">
        <v>93.048819539999997</v>
      </c>
      <c r="QA4">
        <v>1.5921254579999999</v>
      </c>
      <c r="QB4">
        <v>0.58736439039999999</v>
      </c>
      <c r="QC4">
        <v>0.36614112920000003</v>
      </c>
      <c r="QD4">
        <v>12.519489439999999</v>
      </c>
      <c r="QE4">
        <v>93.02441383</v>
      </c>
      <c r="QF4" s="2">
        <v>2.9570674730000001E-5</v>
      </c>
      <c r="QG4">
        <v>5.5436768940000003E-4</v>
      </c>
      <c r="QH4">
        <v>8.0812331060000004E-4</v>
      </c>
      <c r="QI4" s="2">
        <v>5.442648463E-5</v>
      </c>
      <c r="QJ4" s="2">
        <v>2.7009626790000001E-5</v>
      </c>
      <c r="QK4">
        <v>5.5424763570000003E-4</v>
      </c>
      <c r="QL4">
        <v>8.0788736429999997E-4</v>
      </c>
      <c r="QM4" s="2">
        <v>5.3136864310000002E-5</v>
      </c>
      <c r="QN4">
        <v>9.0542255100000002</v>
      </c>
      <c r="QO4">
        <v>2.2785291220000001</v>
      </c>
      <c r="QP4">
        <v>175.56646129999999</v>
      </c>
      <c r="QQ4">
        <v>7.1539385050000002</v>
      </c>
      <c r="QR4">
        <v>9.012233342</v>
      </c>
      <c r="QS4">
        <v>2.2783633989999998</v>
      </c>
      <c r="QT4">
        <v>175.57215110000001</v>
      </c>
      <c r="QU4">
        <v>7.14935644</v>
      </c>
    </row>
    <row r="5" spans="1:463" x14ac:dyDescent="0.2">
      <c r="A5" t="s">
        <v>275</v>
      </c>
      <c r="B5" s="2">
        <v>7.0592061839999997E-12</v>
      </c>
      <c r="C5" s="2">
        <v>1.264726401E-11</v>
      </c>
      <c r="D5">
        <v>2.3707875440000001E-2</v>
      </c>
      <c r="E5">
        <v>7.0186661509999998E-2</v>
      </c>
      <c r="F5">
        <v>0.46567340680000002</v>
      </c>
      <c r="G5">
        <v>7.2827144610000005E-2</v>
      </c>
      <c r="H5">
        <v>0.21560321430000001</v>
      </c>
      <c r="I5">
        <v>1.4304809650000001</v>
      </c>
      <c r="J5">
        <v>32.529916960000001</v>
      </c>
      <c r="K5">
        <v>32.553624839999998</v>
      </c>
      <c r="L5">
        <v>32.553624839999998</v>
      </c>
      <c r="M5">
        <v>32.553624839999998</v>
      </c>
      <c r="N5">
        <v>32.48343818</v>
      </c>
      <c r="O5">
        <v>32.553624839999998</v>
      </c>
      <c r="P5">
        <v>32.087951429999997</v>
      </c>
      <c r="Q5">
        <v>32.553624839999998</v>
      </c>
      <c r="R5">
        <v>1.939748348</v>
      </c>
      <c r="S5">
        <v>0.44021337109999997</v>
      </c>
      <c r="T5">
        <v>0.95068691090000002</v>
      </c>
      <c r="U5">
        <v>2.9619201149999999</v>
      </c>
      <c r="V5">
        <v>1.5708174210000001</v>
      </c>
      <c r="W5">
        <v>0.3334296417</v>
      </c>
      <c r="X5">
        <v>0.94767357720000001</v>
      </c>
      <c r="Y5">
        <v>2.386795776</v>
      </c>
      <c r="Z5">
        <v>3.5105657680000002</v>
      </c>
      <c r="AA5">
        <v>0.63912768929999997</v>
      </c>
      <c r="AB5">
        <v>2.1834699999999998</v>
      </c>
      <c r="AC5">
        <v>4.8909729999999998</v>
      </c>
      <c r="AD5">
        <v>1.14062536</v>
      </c>
      <c r="AE5">
        <v>0.29877105129999998</v>
      </c>
      <c r="AF5">
        <v>0.65891141379999996</v>
      </c>
      <c r="AG5">
        <v>2.5694741670000001</v>
      </c>
      <c r="AH5">
        <v>3.5105657680000002</v>
      </c>
      <c r="AI5">
        <v>0.63912768929999997</v>
      </c>
      <c r="AJ5">
        <v>2.1834699999999998</v>
      </c>
      <c r="AK5">
        <v>4.8909729999999998</v>
      </c>
      <c r="AL5">
        <v>0.4879173108</v>
      </c>
      <c r="AM5">
        <v>8.9381317909999994E-2</v>
      </c>
      <c r="AN5">
        <v>0.31800173640000001</v>
      </c>
      <c r="AO5">
        <v>0.79313749789999999</v>
      </c>
      <c r="AP5">
        <v>0.60268705219999996</v>
      </c>
      <c r="AQ5">
        <v>0.1029594054</v>
      </c>
      <c r="AR5">
        <v>0.39375004219999998</v>
      </c>
      <c r="AS5">
        <v>0.99196538109999999</v>
      </c>
      <c r="AT5">
        <v>0.39349349579999998</v>
      </c>
      <c r="AU5">
        <v>0.3347187747</v>
      </c>
      <c r="AV5">
        <v>-0.39650145149999999</v>
      </c>
      <c r="AW5">
        <v>1.4034425079999999</v>
      </c>
      <c r="AX5">
        <v>3.011213819</v>
      </c>
      <c r="AY5">
        <v>0.68841156049999996</v>
      </c>
      <c r="AZ5">
        <v>1.8309376310000001</v>
      </c>
      <c r="BA5">
        <v>5.2625207429999996</v>
      </c>
      <c r="BB5">
        <v>0.36275004119999998</v>
      </c>
      <c r="BC5">
        <v>0.14735794529999999</v>
      </c>
      <c r="BD5">
        <v>0.1546289995</v>
      </c>
      <c r="BE5">
        <v>0.99060999660000004</v>
      </c>
      <c r="BF5">
        <v>1.6328898199999999</v>
      </c>
      <c r="BG5">
        <v>0.3733303161</v>
      </c>
      <c r="BH5">
        <v>0.96132563130000004</v>
      </c>
      <c r="BI5">
        <v>2.8813734480000002</v>
      </c>
      <c r="BJ5">
        <v>11.39608153</v>
      </c>
      <c r="BK5">
        <v>9.7772541579999999</v>
      </c>
      <c r="BL5">
        <v>0.11057054400000001</v>
      </c>
      <c r="BM5">
        <v>51.157247329999997</v>
      </c>
      <c r="BN5">
        <v>1.0406121779999999</v>
      </c>
      <c r="BO5">
        <v>0.21776467499999999</v>
      </c>
      <c r="BP5">
        <v>0.58304334079999998</v>
      </c>
      <c r="BQ5">
        <v>1.673163094</v>
      </c>
      <c r="BR5">
        <v>31.33942656</v>
      </c>
      <c r="BS5">
        <v>10.47000306</v>
      </c>
      <c r="BT5">
        <v>10.09479011</v>
      </c>
      <c r="BU5">
        <v>64.670922239999996</v>
      </c>
      <c r="BV5">
        <v>1.674713729</v>
      </c>
      <c r="BW5">
        <v>0.262282234</v>
      </c>
      <c r="BX5">
        <v>0.95068691090000002</v>
      </c>
      <c r="BY5">
        <v>2.5264140469999998</v>
      </c>
      <c r="BZ5">
        <v>1.368400624</v>
      </c>
      <c r="CA5">
        <v>0.2364725523</v>
      </c>
      <c r="CB5">
        <v>0.79659499540000001</v>
      </c>
      <c r="CC5">
        <v>2.0626266210000002</v>
      </c>
      <c r="CD5">
        <v>3.043114353</v>
      </c>
      <c r="CE5">
        <v>0.31058499340000001</v>
      </c>
      <c r="CF5">
        <v>2.1834699999999998</v>
      </c>
      <c r="CG5">
        <v>3.41778</v>
      </c>
      <c r="CH5">
        <v>1.047598757</v>
      </c>
      <c r="CI5">
        <v>0.21870070559999999</v>
      </c>
      <c r="CJ5">
        <v>0.65625282760000003</v>
      </c>
      <c r="CK5">
        <v>1.8763027139999999</v>
      </c>
      <c r="CL5">
        <v>3.043114353</v>
      </c>
      <c r="CM5">
        <v>0.31058499340000001</v>
      </c>
      <c r="CN5">
        <v>2.1834699999999998</v>
      </c>
      <c r="CO5">
        <v>3.41778</v>
      </c>
      <c r="CP5">
        <v>0.48276638649999998</v>
      </c>
      <c r="CQ5">
        <v>8.4942478160000001E-2</v>
      </c>
      <c r="CR5">
        <v>0.31800173640000001</v>
      </c>
      <c r="CS5">
        <v>0.73290239239999999</v>
      </c>
      <c r="CT5">
        <v>0.59147943150000004</v>
      </c>
      <c r="CU5">
        <v>9.3573664500000001E-2</v>
      </c>
      <c r="CV5">
        <v>0.39375004219999998</v>
      </c>
      <c r="CW5">
        <v>0.86782204389999995</v>
      </c>
      <c r="CX5">
        <v>0.37767393989999998</v>
      </c>
      <c r="CY5">
        <v>0.33069054530000003</v>
      </c>
      <c r="CZ5">
        <v>-0.36417041430000002</v>
      </c>
      <c r="DA5">
        <v>1.393002539</v>
      </c>
      <c r="DB5">
        <v>2.7765219870000002</v>
      </c>
      <c r="DC5">
        <v>0.58518176779999997</v>
      </c>
      <c r="DD5">
        <v>1.784792623</v>
      </c>
      <c r="DE5">
        <v>5.1136567240000002</v>
      </c>
      <c r="DF5">
        <v>0.33948436539999999</v>
      </c>
      <c r="DG5">
        <v>0.12802736770000001</v>
      </c>
      <c r="DH5">
        <v>0.1546289995</v>
      </c>
      <c r="DI5">
        <v>0.84909428279999999</v>
      </c>
      <c r="DJ5">
        <v>1.5842674960000001</v>
      </c>
      <c r="DK5">
        <v>0.31784579089999998</v>
      </c>
      <c r="DL5">
        <v>0.96132563130000004</v>
      </c>
      <c r="DM5">
        <v>2.6975913509999998</v>
      </c>
      <c r="DN5">
        <v>16.577638990000001</v>
      </c>
      <c r="DO5">
        <v>9.1245959130000003</v>
      </c>
      <c r="DP5">
        <v>0.22114108800000001</v>
      </c>
      <c r="DQ5">
        <v>51.157247329999997</v>
      </c>
      <c r="DR5">
        <v>1.040041711</v>
      </c>
      <c r="DS5">
        <v>0.21751671440000001</v>
      </c>
      <c r="DT5">
        <v>0.58304334079999998</v>
      </c>
      <c r="DU5">
        <v>1.6732788999999999</v>
      </c>
      <c r="DV5">
        <v>33.111065920000001</v>
      </c>
      <c r="DW5">
        <v>10.640293570000001</v>
      </c>
      <c r="DX5">
        <v>11.77725513</v>
      </c>
      <c r="DY5">
        <v>64.670922239999996</v>
      </c>
      <c r="DZ5">
        <v>0.73958681520000003</v>
      </c>
      <c r="EA5">
        <v>0.18233031899999999</v>
      </c>
      <c r="EB5">
        <v>0.40332001449999999</v>
      </c>
      <c r="EC5">
        <v>1.427224812</v>
      </c>
      <c r="ED5">
        <v>0.68225079529999999</v>
      </c>
      <c r="EE5">
        <v>0.14017749600000001</v>
      </c>
      <c r="EF5">
        <v>0.41318198239999998</v>
      </c>
      <c r="EG5">
        <v>1.1752257589999999</v>
      </c>
      <c r="EH5">
        <v>1.4218376109999999</v>
      </c>
      <c r="EI5">
        <v>0.30025615379999998</v>
      </c>
      <c r="EJ5">
        <v>0.85992428570000001</v>
      </c>
      <c r="EK5">
        <v>2.6024505709999999</v>
      </c>
      <c r="EL5">
        <v>0.63822742399999999</v>
      </c>
      <c r="EM5">
        <v>0.15494901850000001</v>
      </c>
      <c r="EN5">
        <v>0.37919895079999999</v>
      </c>
      <c r="EO5">
        <v>1.084608351</v>
      </c>
      <c r="EP5">
        <v>2.5271851789999999</v>
      </c>
      <c r="EQ5">
        <v>0.82098719080000004</v>
      </c>
      <c r="ER5">
        <v>1.326681</v>
      </c>
      <c r="ES5">
        <v>5.6693930000000003</v>
      </c>
      <c r="ET5">
        <v>0.2081970937</v>
      </c>
      <c r="EU5">
        <v>3.98260083E-2</v>
      </c>
      <c r="EV5">
        <v>0.13668340500000001</v>
      </c>
      <c r="EW5">
        <v>0.38864214149999998</v>
      </c>
      <c r="EX5">
        <v>0.2690134233</v>
      </c>
      <c r="EY5">
        <v>5.3436259549999997E-2</v>
      </c>
      <c r="EZ5">
        <v>0.17713631199999999</v>
      </c>
      <c r="FA5">
        <v>0.54667134049999999</v>
      </c>
      <c r="FB5">
        <v>0.1362143435</v>
      </c>
      <c r="FC5">
        <v>0.236534947</v>
      </c>
      <c r="FD5">
        <v>-0.58585381690000005</v>
      </c>
      <c r="FE5">
        <v>0.7877435424</v>
      </c>
      <c r="FF5">
        <v>3.6461860829999999</v>
      </c>
      <c r="FG5">
        <v>0.86762548500000003</v>
      </c>
      <c r="FH5">
        <v>2.5581031799999998</v>
      </c>
      <c r="FI5">
        <v>6.6378361420000003</v>
      </c>
      <c r="FJ5">
        <v>1.358067812</v>
      </c>
      <c r="FK5">
        <v>0.53356710730000001</v>
      </c>
      <c r="FL5">
        <v>0.60174071510000005</v>
      </c>
      <c r="FM5">
        <v>2.943866517</v>
      </c>
      <c r="FN5">
        <v>1.168810546</v>
      </c>
      <c r="FO5">
        <v>0.4270837347</v>
      </c>
      <c r="FP5">
        <v>0.60875093430000005</v>
      </c>
      <c r="FQ5">
        <v>2.974207405</v>
      </c>
      <c r="FR5">
        <v>2.379879147</v>
      </c>
      <c r="FS5">
        <v>0.75493310680000003</v>
      </c>
      <c r="FT5">
        <v>1.2613890000000001</v>
      </c>
      <c r="FU5">
        <v>4.7374879999999999</v>
      </c>
      <c r="FV5">
        <v>1.6138414050000001</v>
      </c>
      <c r="FW5">
        <v>0.44173323619999999</v>
      </c>
      <c r="FX5">
        <v>0.97550700000000001</v>
      </c>
      <c r="FY5">
        <v>3.9512119999999999</v>
      </c>
      <c r="FZ5">
        <v>0.1211286892</v>
      </c>
      <c r="GA5">
        <v>2.158474996E-2</v>
      </c>
      <c r="GB5">
        <v>7.3084053800000007E-2</v>
      </c>
      <c r="GC5">
        <v>0.1953685708</v>
      </c>
      <c r="GD5">
        <v>1.513749786</v>
      </c>
      <c r="GE5">
        <v>0.31935604960000002</v>
      </c>
      <c r="GF5">
        <v>0.89715429250000001</v>
      </c>
      <c r="GG5">
        <v>2.712704054</v>
      </c>
      <c r="GH5">
        <v>31.376443429999998</v>
      </c>
      <c r="GI5">
        <v>31.41240694</v>
      </c>
      <c r="GJ5">
        <v>9.8497906920000003E-2</v>
      </c>
      <c r="GK5">
        <v>97.685299189999995</v>
      </c>
      <c r="GL5">
        <v>0.39738186539999998</v>
      </c>
      <c r="GM5">
        <v>7.4295248790000004E-2</v>
      </c>
      <c r="GN5">
        <v>0.26288287230000001</v>
      </c>
      <c r="GO5">
        <v>0.64247178579999997</v>
      </c>
      <c r="GP5">
        <v>9.008712053</v>
      </c>
      <c r="GQ5">
        <v>2.038315168</v>
      </c>
      <c r="GR5">
        <v>3.225806452</v>
      </c>
      <c r="GS5">
        <v>13.34646639</v>
      </c>
      <c r="GT5">
        <v>85.145209370000003</v>
      </c>
      <c r="GU5">
        <v>14.931633550000001</v>
      </c>
      <c r="GV5">
        <v>51.18530561</v>
      </c>
      <c r="GW5">
        <v>136.82875369999999</v>
      </c>
      <c r="GX5">
        <v>0.69460860869999996</v>
      </c>
      <c r="GY5">
        <v>0.1400099736</v>
      </c>
      <c r="GZ5">
        <v>0.40332001449999999</v>
      </c>
      <c r="HA5">
        <v>1.091865922</v>
      </c>
      <c r="HB5">
        <v>0.64486310930000001</v>
      </c>
      <c r="HC5">
        <v>0.1108404357</v>
      </c>
      <c r="HD5">
        <v>0.41318198239999998</v>
      </c>
      <c r="HE5">
        <v>1.027137687</v>
      </c>
      <c r="HF5">
        <v>1.339471718</v>
      </c>
      <c r="HG5">
        <v>0.23077828319999999</v>
      </c>
      <c r="HH5">
        <v>0.85992428570000001</v>
      </c>
      <c r="HI5">
        <v>2.0219258569999998</v>
      </c>
      <c r="HJ5">
        <v>0.59590659589999995</v>
      </c>
      <c r="HK5">
        <v>0.1225726662</v>
      </c>
      <c r="HL5">
        <v>0.37919895079999999</v>
      </c>
      <c r="HM5">
        <v>1.0177259489999999</v>
      </c>
      <c r="HN5">
        <v>2.2141661890000002</v>
      </c>
      <c r="HO5">
        <v>0.54480940929999999</v>
      </c>
      <c r="HP5">
        <v>1.3266800000000001</v>
      </c>
      <c r="HQ5">
        <v>4.4252190000000002</v>
      </c>
      <c r="HR5">
        <v>0.20392972270000001</v>
      </c>
      <c r="HS5">
        <v>3.5530321150000002E-2</v>
      </c>
      <c r="HT5">
        <v>0.13668340500000001</v>
      </c>
      <c r="HU5">
        <v>0.32197471010000001</v>
      </c>
      <c r="HV5">
        <v>0.26036752260000001</v>
      </c>
      <c r="HW5">
        <v>4.4892382660000001E-2</v>
      </c>
      <c r="HX5">
        <v>0.17713631199999999</v>
      </c>
      <c r="HY5">
        <v>0.42002394199999998</v>
      </c>
      <c r="HZ5">
        <v>0.12912355280000001</v>
      </c>
      <c r="IA5">
        <v>0.21727010820000001</v>
      </c>
      <c r="IB5">
        <v>-0.52029463279999999</v>
      </c>
      <c r="IC5">
        <v>0.94975417689999997</v>
      </c>
      <c r="ID5">
        <v>3.3979463019999998</v>
      </c>
      <c r="IE5">
        <v>0.71045634479999997</v>
      </c>
      <c r="IF5">
        <v>2.5029005180000001</v>
      </c>
      <c r="IG5">
        <v>8.4376854179999992</v>
      </c>
      <c r="IH5">
        <v>1.160206667</v>
      </c>
      <c r="II5">
        <v>0.35579847129999997</v>
      </c>
      <c r="IJ5">
        <v>0.60174071510000005</v>
      </c>
      <c r="IK5">
        <v>2.910061491</v>
      </c>
      <c r="IL5">
        <v>1.053654401</v>
      </c>
      <c r="IM5">
        <v>0.30685793410000001</v>
      </c>
      <c r="IN5">
        <v>0.60875093970000005</v>
      </c>
      <c r="IO5">
        <v>2.172758687</v>
      </c>
      <c r="IP5">
        <v>2.089117763</v>
      </c>
      <c r="IQ5">
        <v>0.5065460316</v>
      </c>
      <c r="IR5">
        <v>1.2613890000000001</v>
      </c>
      <c r="IS5">
        <v>3.5806879999999999</v>
      </c>
      <c r="IT5">
        <v>1.554553063</v>
      </c>
      <c r="IU5">
        <v>0.34709159540000001</v>
      </c>
      <c r="IV5">
        <v>0.97550700000000001</v>
      </c>
      <c r="IW5">
        <v>3.2101359999999999</v>
      </c>
      <c r="IX5">
        <v>0.114437362</v>
      </c>
      <c r="IY5">
        <v>1.8403216149999999E-2</v>
      </c>
      <c r="IZ5">
        <v>7.3084053800000007E-2</v>
      </c>
      <c r="JA5">
        <v>0.18863172349999999</v>
      </c>
      <c r="JB5">
        <v>1.4828449189999999</v>
      </c>
      <c r="JC5">
        <v>0.28300534309999997</v>
      </c>
      <c r="JD5">
        <v>0.89715429250000001</v>
      </c>
      <c r="JE5">
        <v>2.4574774549999998</v>
      </c>
      <c r="JF5">
        <v>38.625516580000003</v>
      </c>
      <c r="JG5">
        <v>30.269086590000001</v>
      </c>
      <c r="JH5">
        <v>9.8497906920000003E-2</v>
      </c>
      <c r="JI5">
        <v>97.685299189999995</v>
      </c>
      <c r="JJ5">
        <v>0.39492988899999998</v>
      </c>
      <c r="JK5">
        <v>7.2258134449999997E-2</v>
      </c>
      <c r="JL5">
        <v>0.26259471919999999</v>
      </c>
      <c r="JM5">
        <v>0.61253351710000004</v>
      </c>
      <c r="JN5">
        <v>9.7125309699999995</v>
      </c>
      <c r="JO5">
        <v>1.8583164139999999</v>
      </c>
      <c r="JP5">
        <v>3.6444225559999999</v>
      </c>
      <c r="JQ5">
        <v>14.35606993</v>
      </c>
      <c r="JR5">
        <v>89.575083179999993</v>
      </c>
      <c r="JS5">
        <v>13.97190885</v>
      </c>
      <c r="JT5">
        <v>53.013352240000003</v>
      </c>
      <c r="JU5">
        <v>136.82875369999999</v>
      </c>
      <c r="JV5">
        <v>0.96865044410000001</v>
      </c>
      <c r="JW5">
        <v>0.21342705149999999</v>
      </c>
      <c r="JX5">
        <v>0.52070588480000002</v>
      </c>
      <c r="JY5">
        <v>1.656383765</v>
      </c>
      <c r="JZ5">
        <v>0.76471695070000001</v>
      </c>
      <c r="KA5">
        <v>0.20362705219999999</v>
      </c>
      <c r="KB5">
        <v>0.36154573969999998</v>
      </c>
      <c r="KC5">
        <v>1.2810881670000001</v>
      </c>
      <c r="KD5">
        <v>1.7333673949999999</v>
      </c>
      <c r="KE5">
        <v>0.33611010629999999</v>
      </c>
      <c r="KF5">
        <v>0.92903400000000003</v>
      </c>
      <c r="KG5">
        <v>2.7472560000000001</v>
      </c>
      <c r="KH5">
        <v>1.3162805580000001</v>
      </c>
      <c r="KI5">
        <v>0.36056661919999999</v>
      </c>
      <c r="KJ5">
        <v>0.69351799999999997</v>
      </c>
      <c r="KK5">
        <v>2.4007520000000002</v>
      </c>
      <c r="KL5">
        <v>1.7333673949999999</v>
      </c>
      <c r="KM5">
        <v>0.33611010629999999</v>
      </c>
      <c r="KN5">
        <v>0.92903400000000003</v>
      </c>
      <c r="KO5">
        <v>2.7472560000000001</v>
      </c>
      <c r="KP5">
        <v>0.39964113499999998</v>
      </c>
      <c r="KQ5">
        <v>8.9812393919999997E-2</v>
      </c>
      <c r="KR5">
        <v>0.20488734710000001</v>
      </c>
      <c r="KS5">
        <v>0.66029604669999997</v>
      </c>
      <c r="KT5">
        <v>0.47411270599999999</v>
      </c>
      <c r="KU5">
        <v>9.853795873E-2</v>
      </c>
      <c r="KV5">
        <v>0.25323949670000001</v>
      </c>
      <c r="KW5">
        <v>0.77172049149999999</v>
      </c>
      <c r="KX5">
        <v>0.3389425036</v>
      </c>
      <c r="KY5">
        <v>0.42705686479999999</v>
      </c>
      <c r="KZ5">
        <v>-0.65316745279999999</v>
      </c>
      <c r="LA5">
        <v>1.8110284430000001</v>
      </c>
      <c r="LB5">
        <v>2.2892701500000001</v>
      </c>
      <c r="LC5">
        <v>0.63476047300000005</v>
      </c>
      <c r="LD5">
        <v>1.3916749239999999</v>
      </c>
      <c r="LE5">
        <v>5.5784018599999996</v>
      </c>
      <c r="LF5">
        <v>2.5563602350000001</v>
      </c>
      <c r="LG5">
        <v>0.9605651449</v>
      </c>
      <c r="LH5">
        <v>0.47747999839999999</v>
      </c>
      <c r="LI5">
        <v>5.1501599819999999</v>
      </c>
      <c r="LJ5">
        <v>7.7490409250000003E-2</v>
      </c>
      <c r="LK5">
        <v>1.3300423739999999E-2</v>
      </c>
      <c r="LL5">
        <v>4.3548307459999998E-2</v>
      </c>
      <c r="LM5">
        <v>0.11211667459999999</v>
      </c>
      <c r="LN5">
        <v>50.135041549999997</v>
      </c>
      <c r="LO5">
        <v>17.141249340000002</v>
      </c>
      <c r="LP5">
        <v>12.605042020000001</v>
      </c>
      <c r="LQ5">
        <v>100</v>
      </c>
      <c r="LR5">
        <v>0.90213014039999995</v>
      </c>
      <c r="LS5">
        <v>0.23707845289999999</v>
      </c>
      <c r="LT5">
        <v>0.39735803479999998</v>
      </c>
      <c r="LU5">
        <v>1.5184678869999999</v>
      </c>
      <c r="LV5">
        <v>21.84514119</v>
      </c>
      <c r="LW5">
        <v>5.0983865020000003</v>
      </c>
      <c r="LX5">
        <v>10.349402919999999</v>
      </c>
      <c r="LY5">
        <v>37.704555509999999</v>
      </c>
      <c r="LZ5">
        <v>4.6484431549999998</v>
      </c>
      <c r="MA5">
        <v>2.4560008899999999</v>
      </c>
      <c r="MB5">
        <v>1.9416872549999999</v>
      </c>
      <c r="MC5">
        <v>20.943285660000001</v>
      </c>
      <c r="MD5">
        <v>0.95095185029999996</v>
      </c>
      <c r="ME5">
        <v>0.19325841439999999</v>
      </c>
      <c r="MF5">
        <v>0.52070588480000002</v>
      </c>
      <c r="MG5">
        <v>1.525415051</v>
      </c>
      <c r="MH5">
        <v>0.74534393389999998</v>
      </c>
      <c r="MI5">
        <v>0.1890493288</v>
      </c>
      <c r="MJ5">
        <v>0.36154573969999998</v>
      </c>
      <c r="MK5">
        <v>1.245491404</v>
      </c>
      <c r="ML5">
        <v>1.6962957839999999</v>
      </c>
      <c r="MM5">
        <v>0.30111168739999999</v>
      </c>
      <c r="MN5">
        <v>0.92903400000000003</v>
      </c>
      <c r="MO5">
        <v>2.5880380000000001</v>
      </c>
      <c r="MP5">
        <v>1.3032895790000001</v>
      </c>
      <c r="MQ5">
        <v>0.34614034760000001</v>
      </c>
      <c r="MR5">
        <v>0.69351799999999997</v>
      </c>
      <c r="MS5">
        <v>2.1637599999999999</v>
      </c>
      <c r="MT5">
        <v>1.6962957839999999</v>
      </c>
      <c r="MU5">
        <v>0.30111168739999999</v>
      </c>
      <c r="MV5">
        <v>0.92903400000000003</v>
      </c>
      <c r="MW5">
        <v>2.5880380000000001</v>
      </c>
      <c r="MX5">
        <v>0.39546432570000001</v>
      </c>
      <c r="MY5">
        <v>8.6938912879999997E-2</v>
      </c>
      <c r="MZ5">
        <v>0.20745775859999999</v>
      </c>
      <c r="NA5">
        <v>0.64932991900000003</v>
      </c>
      <c r="NB5">
        <v>0.46819096319999998</v>
      </c>
      <c r="NC5">
        <v>9.3893951069999995E-2</v>
      </c>
      <c r="ND5">
        <v>0.25628126140000002</v>
      </c>
      <c r="NE5">
        <v>0.75786997519999999</v>
      </c>
      <c r="NF5">
        <v>0.34534429350000001</v>
      </c>
      <c r="NG5">
        <v>0.42395660769999999</v>
      </c>
      <c r="NH5">
        <v>-0.64794596559999995</v>
      </c>
      <c r="NI5">
        <v>1.8075477579999999</v>
      </c>
      <c r="NJ5">
        <v>2.2675021069999999</v>
      </c>
      <c r="NK5">
        <v>0.63330713650000003</v>
      </c>
      <c r="NL5">
        <v>1.3920500170000001</v>
      </c>
      <c r="NM5">
        <v>5.5624149679999997</v>
      </c>
      <c r="NN5">
        <v>2.5948410580000001</v>
      </c>
      <c r="NO5">
        <v>0.94990178339999998</v>
      </c>
      <c r="NP5">
        <v>0.4760999984</v>
      </c>
      <c r="NQ5">
        <v>5.1487799819999998</v>
      </c>
      <c r="NR5">
        <v>7.6481492779999993E-2</v>
      </c>
      <c r="NS5">
        <v>1.2558289070000001E-2</v>
      </c>
      <c r="NT5">
        <v>4.3548307459999998E-2</v>
      </c>
      <c r="NU5">
        <v>0.1099795902</v>
      </c>
      <c r="NV5">
        <v>50.941475019999999</v>
      </c>
      <c r="NW5">
        <v>16.65555707</v>
      </c>
      <c r="NX5">
        <v>12.627156129999999</v>
      </c>
      <c r="NY5">
        <v>100</v>
      </c>
      <c r="NZ5">
        <v>0.89637712309999995</v>
      </c>
      <c r="OA5">
        <v>0.23466257979999999</v>
      </c>
      <c r="OB5">
        <v>0.39735803479999998</v>
      </c>
      <c r="OC5">
        <v>1.513926855</v>
      </c>
      <c r="OD5">
        <v>22.202934899999999</v>
      </c>
      <c r="OE5">
        <v>5.1717860160000004</v>
      </c>
      <c r="OF5">
        <v>10.28306059</v>
      </c>
      <c r="OG5">
        <v>37.30396957</v>
      </c>
      <c r="OH5">
        <v>4.4968506850000001</v>
      </c>
      <c r="OI5">
        <v>2.1849189249999998</v>
      </c>
      <c r="OJ5">
        <v>1.9422076749999999</v>
      </c>
      <c r="OK5">
        <v>21.003990829999999</v>
      </c>
      <c r="OL5">
        <v>0.60352728150000001</v>
      </c>
      <c r="OM5">
        <v>0.50030034599999995</v>
      </c>
      <c r="ON5">
        <v>3.13838756</v>
      </c>
      <c r="OO5">
        <v>3.1357010000000001</v>
      </c>
      <c r="OP5">
        <v>2.393456</v>
      </c>
      <c r="OQ5">
        <v>5.5291569999999997</v>
      </c>
      <c r="OR5">
        <v>0.48893763420000003</v>
      </c>
      <c r="OS5" s="2">
        <v>3.2328293709999999E-5</v>
      </c>
      <c r="OT5">
        <v>8.6213626310000001E-4</v>
      </c>
      <c r="OU5" s="2">
        <v>3.2328293709999999E-5</v>
      </c>
      <c r="OV5">
        <v>5.3727977579999997E-4</v>
      </c>
      <c r="OW5">
        <v>8.1573822420000002E-4</v>
      </c>
      <c r="OX5" s="2">
        <v>4.639803892E-5</v>
      </c>
      <c r="OY5">
        <v>1.475558036</v>
      </c>
      <c r="OZ5">
        <v>0.70689634079999997</v>
      </c>
      <c r="PA5">
        <v>0.37852549140000002</v>
      </c>
      <c r="PB5">
        <v>15.35036697</v>
      </c>
      <c r="PC5">
        <v>94.269328709999996</v>
      </c>
      <c r="PD5">
        <v>0.5919657988</v>
      </c>
      <c r="PE5">
        <v>0.45599573450000003</v>
      </c>
      <c r="PF5">
        <v>2.7382956030000001</v>
      </c>
      <c r="PG5">
        <v>2.465004</v>
      </c>
      <c r="PH5">
        <v>1.844875</v>
      </c>
      <c r="PI5">
        <v>4.3098789999999996</v>
      </c>
      <c r="PJ5">
        <v>0.4844240112</v>
      </c>
      <c r="PK5" s="2">
        <v>2.9840086010000001E-5</v>
      </c>
      <c r="PL5">
        <v>8.6002925660000004E-4</v>
      </c>
      <c r="PM5" s="2">
        <v>2.9840086010000001E-5</v>
      </c>
      <c r="PN5">
        <v>5.3729583760000002E-4</v>
      </c>
      <c r="PO5">
        <v>8.1560016240000001E-4</v>
      </c>
      <c r="PP5" s="2">
        <v>4.4429094179999998E-5</v>
      </c>
      <c r="PQ5">
        <v>1.4752503340000001</v>
      </c>
      <c r="PR5">
        <v>0.67418314779999999</v>
      </c>
      <c r="PS5">
        <v>0.31958893440000002</v>
      </c>
      <c r="PT5">
        <v>15.36316995</v>
      </c>
      <c r="PU5">
        <v>94.384774789999994</v>
      </c>
      <c r="PV5">
        <v>1.6813949829999999</v>
      </c>
      <c r="PW5">
        <v>0.72904730230000003</v>
      </c>
      <c r="PX5">
        <v>0.50470886950000005</v>
      </c>
      <c r="PY5">
        <v>12.63531476</v>
      </c>
      <c r="PZ5">
        <v>91.852218449999995</v>
      </c>
      <c r="QA5">
        <v>1.6807494430000001</v>
      </c>
      <c r="QB5">
        <v>0.68871415260000002</v>
      </c>
      <c r="QC5">
        <v>0.45503990010000001</v>
      </c>
      <c r="QD5">
        <v>12.651498520000001</v>
      </c>
      <c r="QE5">
        <v>91.859687559999998</v>
      </c>
      <c r="QF5" s="2">
        <v>3.4861408329999997E-5</v>
      </c>
      <c r="QG5">
        <v>5.9549170120000005E-4</v>
      </c>
      <c r="QH5">
        <v>8.6464629879999999E-4</v>
      </c>
      <c r="QI5" s="2">
        <v>6.3763498780000001E-5</v>
      </c>
      <c r="QJ5" s="2">
        <v>3.2320626919999999E-5</v>
      </c>
      <c r="QK5">
        <v>5.9526476910000002E-4</v>
      </c>
      <c r="QL5">
        <v>8.644452309E-4</v>
      </c>
      <c r="QM5" s="2">
        <v>6.1730870340000001E-5</v>
      </c>
      <c r="QN5">
        <v>8.960843315</v>
      </c>
      <c r="QO5">
        <v>179.98783700000001</v>
      </c>
      <c r="QP5">
        <v>6.7173434810000003</v>
      </c>
      <c r="QQ5">
        <v>174.2787075</v>
      </c>
      <c r="QR5">
        <v>8.9499289310000005</v>
      </c>
      <c r="QS5">
        <v>179.99010899999999</v>
      </c>
      <c r="QT5">
        <v>6.7154942819999999</v>
      </c>
      <c r="QU5">
        <v>174.28020889999999</v>
      </c>
    </row>
    <row r="6" spans="1:463" x14ac:dyDescent="0.2">
      <c r="A6" t="s">
        <v>276</v>
      </c>
      <c r="B6" s="2">
        <v>5.9239668830000002E-12</v>
      </c>
      <c r="C6" s="2">
        <v>1.591193771E-11</v>
      </c>
      <c r="D6">
        <v>2.5829377019999999E-2</v>
      </c>
      <c r="E6">
        <v>7.1721607899999998E-2</v>
      </c>
      <c r="F6">
        <v>0.46096953880000002</v>
      </c>
      <c r="G6">
        <v>7.9344088869999996E-2</v>
      </c>
      <c r="H6">
        <v>0.2203183463</v>
      </c>
      <c r="I6">
        <v>1.416031367</v>
      </c>
      <c r="J6">
        <v>32.52779546</v>
      </c>
      <c r="K6">
        <v>32.553624839999998</v>
      </c>
      <c r="L6">
        <v>32.553624839999998</v>
      </c>
      <c r="M6">
        <v>32.553624839999998</v>
      </c>
      <c r="N6">
        <v>32.48190323</v>
      </c>
      <c r="O6">
        <v>32.553624839999998</v>
      </c>
      <c r="P6">
        <v>32.092655299999997</v>
      </c>
      <c r="Q6">
        <v>32.553624839999998</v>
      </c>
      <c r="R6">
        <v>2.0865519529999998</v>
      </c>
      <c r="S6">
        <v>0.49342399599999998</v>
      </c>
      <c r="T6">
        <v>1.064691877</v>
      </c>
      <c r="U6">
        <v>3.139456332</v>
      </c>
      <c r="V6">
        <v>1.745071483</v>
      </c>
      <c r="W6">
        <v>0.40389713300000002</v>
      </c>
      <c r="X6">
        <v>0.97112988280000001</v>
      </c>
      <c r="Y6">
        <v>2.7351987599999998</v>
      </c>
      <c r="Z6">
        <v>3.8316234370000002</v>
      </c>
      <c r="AA6">
        <v>0.7607180133</v>
      </c>
      <c r="AB6">
        <v>2.3765879999999999</v>
      </c>
      <c r="AC6">
        <v>5.3695029999999999</v>
      </c>
      <c r="AD6">
        <v>1.286600993</v>
      </c>
      <c r="AE6">
        <v>0.35846368049999999</v>
      </c>
      <c r="AF6">
        <v>0.68561783870000004</v>
      </c>
      <c r="AG6">
        <v>2.6910292</v>
      </c>
      <c r="AH6">
        <v>3.8316234370000002</v>
      </c>
      <c r="AI6">
        <v>0.7607180133</v>
      </c>
      <c r="AJ6">
        <v>2.3765879999999999</v>
      </c>
      <c r="AK6">
        <v>5.3695029999999999</v>
      </c>
      <c r="AL6">
        <v>0.52743217760000005</v>
      </c>
      <c r="AM6">
        <v>0.104874445</v>
      </c>
      <c r="AN6">
        <v>0.33827711399999999</v>
      </c>
      <c r="AO6">
        <v>0.90412808349999996</v>
      </c>
      <c r="AP6">
        <v>0.65251705019999995</v>
      </c>
      <c r="AQ6">
        <v>0.1241776483</v>
      </c>
      <c r="AR6">
        <v>0.43134771449999998</v>
      </c>
      <c r="AS6">
        <v>1.131855348</v>
      </c>
      <c r="AT6">
        <v>0.39056209450000001</v>
      </c>
      <c r="AU6">
        <v>0.30824315879999997</v>
      </c>
      <c r="AV6">
        <v>-0.23788543500000001</v>
      </c>
      <c r="AW6">
        <v>1.187517165</v>
      </c>
      <c r="AX6">
        <v>3.0342874809999998</v>
      </c>
      <c r="AY6">
        <v>0.67244859410000002</v>
      </c>
      <c r="AZ6">
        <v>1.9138509159999999</v>
      </c>
      <c r="BA6">
        <v>5.9586180049999999</v>
      </c>
      <c r="BB6">
        <v>0.38219508839999999</v>
      </c>
      <c r="BC6">
        <v>0.13839098829999999</v>
      </c>
      <c r="BD6">
        <v>0.18175411699999999</v>
      </c>
      <c r="BE6">
        <v>0.91217999679999995</v>
      </c>
      <c r="BF6">
        <v>1.731402983</v>
      </c>
      <c r="BG6">
        <v>0.43595350319999998</v>
      </c>
      <c r="BH6">
        <v>0.97012042359999995</v>
      </c>
      <c r="BI6">
        <v>3.1456312309999999</v>
      </c>
      <c r="BJ6">
        <v>9.8899107639999997</v>
      </c>
      <c r="BK6">
        <v>8.7896786089999992</v>
      </c>
      <c r="BL6">
        <v>0.11057054400000001</v>
      </c>
      <c r="BM6">
        <v>43.876645430000004</v>
      </c>
      <c r="BN6">
        <v>1.120442299</v>
      </c>
      <c r="BO6">
        <v>0.24635904810000001</v>
      </c>
      <c r="BP6">
        <v>0.57130160289999998</v>
      </c>
      <c r="BQ6">
        <v>1.8601032289999999</v>
      </c>
      <c r="BR6">
        <v>29.177852720000001</v>
      </c>
      <c r="BS6">
        <v>9.0803821189999994</v>
      </c>
      <c r="BT6">
        <v>10.962748619999999</v>
      </c>
      <c r="BU6">
        <v>55.019386429999997</v>
      </c>
      <c r="BV6">
        <v>1.837508291</v>
      </c>
      <c r="BW6">
        <v>0.31165483970000002</v>
      </c>
      <c r="BX6">
        <v>1.064656552</v>
      </c>
      <c r="BY6">
        <v>2.8801055610000001</v>
      </c>
      <c r="BZ6">
        <v>1.4976950769999999</v>
      </c>
      <c r="CA6">
        <v>0.25992854599999998</v>
      </c>
      <c r="CB6">
        <v>0.89562043940000002</v>
      </c>
      <c r="CC6">
        <v>2.091776673</v>
      </c>
      <c r="CD6">
        <v>3.3352033680000002</v>
      </c>
      <c r="CE6">
        <v>0.37891233169999999</v>
      </c>
      <c r="CF6">
        <v>2.3765879999999999</v>
      </c>
      <c r="CG6">
        <v>3.8008329999999999</v>
      </c>
      <c r="CH6">
        <v>1.176051798</v>
      </c>
      <c r="CI6">
        <v>0.26865568940000001</v>
      </c>
      <c r="CJ6">
        <v>0.68561783870000004</v>
      </c>
      <c r="CK6">
        <v>1.9047120909999999</v>
      </c>
      <c r="CL6">
        <v>3.3352033680000002</v>
      </c>
      <c r="CM6">
        <v>0.37891233169999999</v>
      </c>
      <c r="CN6">
        <v>2.3765879999999999</v>
      </c>
      <c r="CO6">
        <v>3.8008329999999999</v>
      </c>
      <c r="CP6">
        <v>0.52197020520000004</v>
      </c>
      <c r="CQ6">
        <v>9.9292107209999994E-2</v>
      </c>
      <c r="CR6">
        <v>0.33602852370000003</v>
      </c>
      <c r="CS6">
        <v>0.8174986004</v>
      </c>
      <c r="CT6">
        <v>0.64052551069999997</v>
      </c>
      <c r="CU6">
        <v>0.1124412648</v>
      </c>
      <c r="CV6">
        <v>0.43134771449999998</v>
      </c>
      <c r="CW6">
        <v>0.97887729000000001</v>
      </c>
      <c r="CX6">
        <v>0.38619844580000001</v>
      </c>
      <c r="CY6">
        <v>0.30592877480000003</v>
      </c>
      <c r="CZ6">
        <v>-0.31748924049999999</v>
      </c>
      <c r="DA6">
        <v>1.187517165</v>
      </c>
      <c r="DB6">
        <v>2.8156882510000001</v>
      </c>
      <c r="DC6">
        <v>0.55576957770000002</v>
      </c>
      <c r="DD6">
        <v>1.8315733350000001</v>
      </c>
      <c r="DE6">
        <v>4.94803148</v>
      </c>
      <c r="DF6">
        <v>0.35833907659999997</v>
      </c>
      <c r="DG6">
        <v>0.1253108389</v>
      </c>
      <c r="DH6">
        <v>0.17656114219999999</v>
      </c>
      <c r="DI6">
        <v>0.8467285685</v>
      </c>
      <c r="DJ6">
        <v>1.68097162</v>
      </c>
      <c r="DK6">
        <v>0.37679505880000003</v>
      </c>
      <c r="DL6">
        <v>0.97012042359999995</v>
      </c>
      <c r="DM6">
        <v>2.9991161389999998</v>
      </c>
      <c r="DN6">
        <v>13.20009265</v>
      </c>
      <c r="DO6">
        <v>8.2396506190000007</v>
      </c>
      <c r="DP6">
        <v>0.66342326399999996</v>
      </c>
      <c r="DQ6">
        <v>43.876645430000004</v>
      </c>
      <c r="DR6">
        <v>1.1199825880000001</v>
      </c>
      <c r="DS6">
        <v>0.24614216189999999</v>
      </c>
      <c r="DT6">
        <v>0.57117198140000003</v>
      </c>
      <c r="DU6">
        <v>1.8578501670000001</v>
      </c>
      <c r="DV6">
        <v>30.95583341</v>
      </c>
      <c r="DW6">
        <v>9.4456910809999997</v>
      </c>
      <c r="DX6">
        <v>11.81016015</v>
      </c>
      <c r="DY6">
        <v>56.637603679999998</v>
      </c>
      <c r="DZ6">
        <v>0.79752964820000005</v>
      </c>
      <c r="EA6">
        <v>0.2062528096</v>
      </c>
      <c r="EB6">
        <v>0.4505339491</v>
      </c>
      <c r="EC6">
        <v>1.619832546</v>
      </c>
      <c r="ED6">
        <v>0.75266295480000001</v>
      </c>
      <c r="EE6">
        <v>0.17502492150000001</v>
      </c>
      <c r="EF6">
        <v>0.48292616840000002</v>
      </c>
      <c r="EG6">
        <v>1.3124873180000001</v>
      </c>
      <c r="EH6">
        <v>1.5501926029999999</v>
      </c>
      <c r="EI6">
        <v>0.3551518749</v>
      </c>
      <c r="EJ6">
        <v>0.96217371429999998</v>
      </c>
      <c r="EK6">
        <v>2.837695429</v>
      </c>
      <c r="EL6">
        <v>0.71675829879999997</v>
      </c>
      <c r="EM6">
        <v>0.21252581579999999</v>
      </c>
      <c r="EN6">
        <v>0.40031824560000001</v>
      </c>
      <c r="EO6">
        <v>1.4195814520000001</v>
      </c>
      <c r="EP6">
        <v>2.797591116</v>
      </c>
      <c r="EQ6">
        <v>0.89132172450000002</v>
      </c>
      <c r="ER6">
        <v>1.4217709999999999</v>
      </c>
      <c r="ES6">
        <v>5.8495530000000002</v>
      </c>
      <c r="ET6">
        <v>0.2323843994</v>
      </c>
      <c r="EU6">
        <v>5.2656438270000001E-2</v>
      </c>
      <c r="EV6">
        <v>0.1545934524</v>
      </c>
      <c r="EW6">
        <v>0.45604026809999998</v>
      </c>
      <c r="EX6">
        <v>0.29872029729999999</v>
      </c>
      <c r="EY6">
        <v>6.7562896969999994E-2</v>
      </c>
      <c r="EZ6">
        <v>0.1944816332</v>
      </c>
      <c r="FA6">
        <v>0.61897349209999997</v>
      </c>
      <c r="FB6">
        <v>0.1104746595</v>
      </c>
      <c r="FC6">
        <v>0.25151078960000001</v>
      </c>
      <c r="FD6">
        <v>-0.69668930269999996</v>
      </c>
      <c r="FE6">
        <v>0.78002764199999997</v>
      </c>
      <c r="FF6">
        <v>3.597050104</v>
      </c>
      <c r="FG6">
        <v>0.89126655489999995</v>
      </c>
      <c r="FH6">
        <v>2.4975908040000001</v>
      </c>
      <c r="FI6">
        <v>7.6784870950000004</v>
      </c>
      <c r="FJ6">
        <v>1.465612573</v>
      </c>
      <c r="FK6">
        <v>0.56104956279999996</v>
      </c>
      <c r="FL6">
        <v>0.67845955820000003</v>
      </c>
      <c r="FM6">
        <v>3.1155922540000001</v>
      </c>
      <c r="FN6">
        <v>1.331105406</v>
      </c>
      <c r="FO6">
        <v>0.4774215255</v>
      </c>
      <c r="FP6">
        <v>0.67412937549999996</v>
      </c>
      <c r="FQ6">
        <v>2.8127089839999999</v>
      </c>
      <c r="FR6">
        <v>2.6398021630000001</v>
      </c>
      <c r="FS6">
        <v>0.84354552999999999</v>
      </c>
      <c r="FT6">
        <v>1.301782</v>
      </c>
      <c r="FU6">
        <v>4.9976130000000003</v>
      </c>
      <c r="FV6">
        <v>1.7738942630000001</v>
      </c>
      <c r="FW6">
        <v>0.52632634440000003</v>
      </c>
      <c r="FX6">
        <v>0.89018799999999998</v>
      </c>
      <c r="FY6">
        <v>4.1651680000000004</v>
      </c>
      <c r="FZ6">
        <v>0.1339722203</v>
      </c>
      <c r="GA6">
        <v>3.1777820870000001E-2</v>
      </c>
      <c r="GB6">
        <v>7.9459999729999994E-2</v>
      </c>
      <c r="GC6">
        <v>0.24977999910000001</v>
      </c>
      <c r="GD6">
        <v>1.5916137349999999</v>
      </c>
      <c r="GE6">
        <v>0.36499811069999999</v>
      </c>
      <c r="GF6">
        <v>0.90172354639999996</v>
      </c>
      <c r="GG6">
        <v>2.8279198920000002</v>
      </c>
      <c r="GH6">
        <v>24.916117440000001</v>
      </c>
      <c r="GI6">
        <v>27.270465049999999</v>
      </c>
      <c r="GJ6">
        <v>9.8497906920000003E-2</v>
      </c>
      <c r="GK6">
        <v>92.793606609999998</v>
      </c>
      <c r="GL6">
        <v>0.44229775059999998</v>
      </c>
      <c r="GM6">
        <v>0.1034188415</v>
      </c>
      <c r="GN6">
        <v>0.27459294639999998</v>
      </c>
      <c r="GO6">
        <v>0.78851239949999996</v>
      </c>
      <c r="GP6">
        <v>9.3482903729999993</v>
      </c>
      <c r="GQ6">
        <v>2.1498911079999998</v>
      </c>
      <c r="GR6">
        <v>2.056090524</v>
      </c>
      <c r="GS6">
        <v>13.44496429</v>
      </c>
      <c r="GT6">
        <v>78.708312680000006</v>
      </c>
      <c r="GU6">
        <v>17.908506599999999</v>
      </c>
      <c r="GV6">
        <v>40.03523114</v>
      </c>
      <c r="GW6">
        <v>125.8494845</v>
      </c>
      <c r="GX6">
        <v>0.75509134850000004</v>
      </c>
      <c r="GY6">
        <v>0.16136494300000001</v>
      </c>
      <c r="GZ6">
        <v>0.45053394299999999</v>
      </c>
      <c r="HA6">
        <v>1.254608417</v>
      </c>
      <c r="HB6">
        <v>0.7101924463</v>
      </c>
      <c r="HC6">
        <v>0.1388298781</v>
      </c>
      <c r="HD6">
        <v>0.48292616840000002</v>
      </c>
      <c r="HE6">
        <v>1.147698847</v>
      </c>
      <c r="HF6">
        <v>1.4652837949999999</v>
      </c>
      <c r="HG6">
        <v>0.27908128189999998</v>
      </c>
      <c r="HH6">
        <v>0.96217371429999998</v>
      </c>
      <c r="HI6">
        <v>2.2469749999999999</v>
      </c>
      <c r="HJ6">
        <v>0.66707203969999995</v>
      </c>
      <c r="HK6">
        <v>0.17242126399999999</v>
      </c>
      <c r="HL6">
        <v>0.40031824560000001</v>
      </c>
      <c r="HM6">
        <v>1.317364515</v>
      </c>
      <c r="HN6">
        <v>2.4746753789999998</v>
      </c>
      <c r="HO6">
        <v>0.5997756219</v>
      </c>
      <c r="HP6">
        <v>1.4217709999999999</v>
      </c>
      <c r="HQ6">
        <v>5.0612510000000004</v>
      </c>
      <c r="HR6">
        <v>0.22767662699999999</v>
      </c>
      <c r="HS6">
        <v>4.768570406E-2</v>
      </c>
      <c r="HT6">
        <v>0.1545934524</v>
      </c>
      <c r="HU6">
        <v>0.3859901416</v>
      </c>
      <c r="HV6">
        <v>0.28956526599999999</v>
      </c>
      <c r="HW6">
        <v>5.8845330469999999E-2</v>
      </c>
      <c r="HX6">
        <v>0.1944816332</v>
      </c>
      <c r="HY6">
        <v>0.49911284340000001</v>
      </c>
      <c r="HZ6">
        <v>0.1134684658</v>
      </c>
      <c r="IA6">
        <v>0.2257795249</v>
      </c>
      <c r="IB6">
        <v>-0.62612940920000004</v>
      </c>
      <c r="IC6">
        <v>0.84635049340000001</v>
      </c>
      <c r="ID6">
        <v>3.3599777500000001</v>
      </c>
      <c r="IE6">
        <v>0.69726631569999997</v>
      </c>
      <c r="IF6">
        <v>2.48745007</v>
      </c>
      <c r="IG6">
        <v>8.1584867380000006</v>
      </c>
      <c r="IH6">
        <v>1.281065715</v>
      </c>
      <c r="II6">
        <v>0.37326403050000001</v>
      </c>
      <c r="IJ6">
        <v>0.67845955820000003</v>
      </c>
      <c r="IK6">
        <v>2.8409960399999998</v>
      </c>
      <c r="IL6">
        <v>1.1927365270000001</v>
      </c>
      <c r="IM6">
        <v>0.3571077533</v>
      </c>
      <c r="IN6">
        <v>0.65314050329999995</v>
      </c>
      <c r="IO6">
        <v>2.4794464180000002</v>
      </c>
      <c r="IP6">
        <v>2.3382993320000001</v>
      </c>
      <c r="IQ6">
        <v>0.55942877849999995</v>
      </c>
      <c r="IR6">
        <v>1.301782</v>
      </c>
      <c r="IS6">
        <v>3.9173360000000002</v>
      </c>
      <c r="IT6">
        <v>1.7071151680000001</v>
      </c>
      <c r="IU6">
        <v>0.43797928899999999</v>
      </c>
      <c r="IV6">
        <v>0.89018799999999998</v>
      </c>
      <c r="IW6">
        <v>3.55755</v>
      </c>
      <c r="IX6">
        <v>0.12611235230000001</v>
      </c>
      <c r="IY6">
        <v>2.7024129479999999E-2</v>
      </c>
      <c r="IZ6">
        <v>7.9459999729999994E-2</v>
      </c>
      <c r="JA6">
        <v>0.22865999919999999</v>
      </c>
      <c r="JB6">
        <v>1.5610475850000001</v>
      </c>
      <c r="JC6">
        <v>0.32780689219999998</v>
      </c>
      <c r="JD6">
        <v>0.90172354639999996</v>
      </c>
      <c r="JE6">
        <v>2.657088833</v>
      </c>
      <c r="JF6">
        <v>29.06729717</v>
      </c>
      <c r="JG6">
        <v>26.357549779999999</v>
      </c>
      <c r="JH6">
        <v>9.8497906920000003E-2</v>
      </c>
      <c r="JI6">
        <v>92.793606609999998</v>
      </c>
      <c r="JJ6">
        <v>0.43897250609999999</v>
      </c>
      <c r="JK6">
        <v>9.9028614680000002E-2</v>
      </c>
      <c r="JL6">
        <v>0.27459294639999998</v>
      </c>
      <c r="JM6">
        <v>0.70862664689999999</v>
      </c>
      <c r="JN6">
        <v>9.9491167039999997</v>
      </c>
      <c r="JO6">
        <v>1.958234912</v>
      </c>
      <c r="JP6">
        <v>3.2504309280000001</v>
      </c>
      <c r="JQ6">
        <v>14.89780842</v>
      </c>
      <c r="JR6">
        <v>82.832021620000006</v>
      </c>
      <c r="JS6">
        <v>17.090605539999999</v>
      </c>
      <c r="JT6">
        <v>43.733053589999997</v>
      </c>
      <c r="JU6">
        <v>125.8494845</v>
      </c>
      <c r="JV6">
        <v>1.037255582</v>
      </c>
      <c r="JW6">
        <v>0.2525012338</v>
      </c>
      <c r="JX6">
        <v>0.51866289099999996</v>
      </c>
      <c r="JY6">
        <v>1.967624117</v>
      </c>
      <c r="JZ6">
        <v>0.8170466019</v>
      </c>
      <c r="KA6">
        <v>0.21024973720000001</v>
      </c>
      <c r="KB6">
        <v>0.38445084540000002</v>
      </c>
      <c r="KC6">
        <v>1.323879233</v>
      </c>
      <c r="KD6">
        <v>1.854302184</v>
      </c>
      <c r="KE6">
        <v>0.39396227639999998</v>
      </c>
      <c r="KF6">
        <v>0.92479</v>
      </c>
      <c r="KG6">
        <v>3.115542</v>
      </c>
      <c r="KH6">
        <v>1.3707945130000001</v>
      </c>
      <c r="KI6">
        <v>0.42252341230000001</v>
      </c>
      <c r="KJ6">
        <v>0.48233700000000002</v>
      </c>
      <c r="KK6">
        <v>2.8083809999999998</v>
      </c>
      <c r="KL6">
        <v>1.854302184</v>
      </c>
      <c r="KM6">
        <v>0.39396227639999998</v>
      </c>
      <c r="KN6">
        <v>0.92479</v>
      </c>
      <c r="KO6">
        <v>3.115542</v>
      </c>
      <c r="KP6">
        <v>0.42522477559999999</v>
      </c>
      <c r="KQ6">
        <v>9.9886471569999996E-2</v>
      </c>
      <c r="KR6">
        <v>0.19028028420000001</v>
      </c>
      <c r="KS6">
        <v>0.68979337070000002</v>
      </c>
      <c r="KT6">
        <v>0.50364482450000003</v>
      </c>
      <c r="KU6">
        <v>0.11268979580000001</v>
      </c>
      <c r="KV6">
        <v>0.25260366490000002</v>
      </c>
      <c r="KW6">
        <v>0.82708186790000005</v>
      </c>
      <c r="KX6">
        <v>0.33777320080000001</v>
      </c>
      <c r="KY6">
        <v>0.3900375371</v>
      </c>
      <c r="KZ6">
        <v>-0.56945200870000001</v>
      </c>
      <c r="LA6">
        <v>1.7011585629999999</v>
      </c>
      <c r="LB6">
        <v>2.26246554</v>
      </c>
      <c r="LC6">
        <v>0.55962101620000004</v>
      </c>
      <c r="LD6">
        <v>1.4174305250000001</v>
      </c>
      <c r="LE6">
        <v>5.4276207760000004</v>
      </c>
      <c r="LF6">
        <v>2.4040608689999998</v>
      </c>
      <c r="LG6">
        <v>0.9197420221</v>
      </c>
      <c r="LH6">
        <v>0.47471999840000001</v>
      </c>
      <c r="LI6">
        <v>5.197079982</v>
      </c>
      <c r="LJ6">
        <v>8.5338954950000004E-2</v>
      </c>
      <c r="LK6">
        <v>1.698100944E-2</v>
      </c>
      <c r="LL6">
        <v>4.5365707919999998E-2</v>
      </c>
      <c r="LM6">
        <v>0.12904919140000001</v>
      </c>
      <c r="LN6">
        <v>46.570433989999998</v>
      </c>
      <c r="LO6">
        <v>17.531074100000001</v>
      </c>
      <c r="LP6">
        <v>12.71561256</v>
      </c>
      <c r="LQ6">
        <v>100</v>
      </c>
      <c r="LR6">
        <v>0.95895785140000001</v>
      </c>
      <c r="LS6">
        <v>0.2556390751</v>
      </c>
      <c r="LT6">
        <v>0.38776271839999998</v>
      </c>
      <c r="LU6">
        <v>1.569745417</v>
      </c>
      <c r="LV6">
        <v>21.70506507</v>
      </c>
      <c r="LW6">
        <v>5.1339955560000003</v>
      </c>
      <c r="LX6">
        <v>9.7080937639999991</v>
      </c>
      <c r="LY6">
        <v>38.555474160000003</v>
      </c>
      <c r="LZ6">
        <v>4.8765845920000004</v>
      </c>
      <c r="MA6">
        <v>2.312706688</v>
      </c>
      <c r="MB6">
        <v>1.9241574180000001</v>
      </c>
      <c r="MC6">
        <v>21.06504894</v>
      </c>
      <c r="MD6">
        <v>1.016317345</v>
      </c>
      <c r="ME6">
        <v>0.2222280388</v>
      </c>
      <c r="MF6">
        <v>0.51866289099999996</v>
      </c>
      <c r="MG6">
        <v>1.8567746249999999</v>
      </c>
      <c r="MH6">
        <v>0.79781563359999996</v>
      </c>
      <c r="MI6">
        <v>0.19641456909999999</v>
      </c>
      <c r="MJ6">
        <v>0.38445084540000002</v>
      </c>
      <c r="MK6">
        <v>1.2957797959999999</v>
      </c>
      <c r="ML6">
        <v>1.814132979</v>
      </c>
      <c r="MM6">
        <v>0.34831485400000001</v>
      </c>
      <c r="MN6">
        <v>0.92479</v>
      </c>
      <c r="MO6">
        <v>2.9211170000000002</v>
      </c>
      <c r="MP6">
        <v>1.345078075</v>
      </c>
      <c r="MQ6">
        <v>0.39192028080000002</v>
      </c>
      <c r="MR6">
        <v>0.48233700000000002</v>
      </c>
      <c r="MS6">
        <v>2.308319</v>
      </c>
      <c r="MT6">
        <v>1.814132979</v>
      </c>
      <c r="MU6">
        <v>0.34831485400000001</v>
      </c>
      <c r="MV6">
        <v>0.92479</v>
      </c>
      <c r="MW6">
        <v>2.9211170000000002</v>
      </c>
      <c r="MX6">
        <v>0.42078402619999999</v>
      </c>
      <c r="MY6">
        <v>9.603290263E-2</v>
      </c>
      <c r="MZ6">
        <v>0.19234754109999999</v>
      </c>
      <c r="NA6">
        <v>0.68226988099999997</v>
      </c>
      <c r="NB6">
        <v>0.49720624400000002</v>
      </c>
      <c r="NC6">
        <v>0.1062089737</v>
      </c>
      <c r="ND6">
        <v>0.25488218439999999</v>
      </c>
      <c r="NE6">
        <v>0.80948597300000003</v>
      </c>
      <c r="NF6">
        <v>0.34154039990000001</v>
      </c>
      <c r="NG6">
        <v>0.38758741689999998</v>
      </c>
      <c r="NH6">
        <v>-0.59266718090000003</v>
      </c>
      <c r="NI6">
        <v>1.7011585629999999</v>
      </c>
      <c r="NJ6">
        <v>2.2393674240000001</v>
      </c>
      <c r="NK6">
        <v>0.55384136949999996</v>
      </c>
      <c r="NL6">
        <v>1.4291200310000001</v>
      </c>
      <c r="NM6">
        <v>5.4276207760000004</v>
      </c>
      <c r="NN6">
        <v>2.376351922</v>
      </c>
      <c r="NO6">
        <v>0.89497898509999996</v>
      </c>
      <c r="NP6">
        <v>0.4760999984</v>
      </c>
      <c r="NQ6">
        <v>5.1943199819999997</v>
      </c>
      <c r="NR6">
        <v>8.4263121369999999E-2</v>
      </c>
      <c r="NS6">
        <v>1.59598242E-2</v>
      </c>
      <c r="NT6">
        <v>4.5365707919999998E-2</v>
      </c>
      <c r="NU6">
        <v>0.12331206729999999</v>
      </c>
      <c r="NV6">
        <v>47.365651409999998</v>
      </c>
      <c r="NW6">
        <v>16.9610226</v>
      </c>
      <c r="NX6">
        <v>14.75011057</v>
      </c>
      <c r="NY6">
        <v>100</v>
      </c>
      <c r="NZ6">
        <v>0.95324965299999997</v>
      </c>
      <c r="OA6">
        <v>0.2519470231</v>
      </c>
      <c r="OB6">
        <v>0.39248284709999998</v>
      </c>
      <c r="OC6">
        <v>1.559929398</v>
      </c>
      <c r="OD6">
        <v>21.93896793</v>
      </c>
      <c r="OE6">
        <v>5.0762898129999998</v>
      </c>
      <c r="OF6">
        <v>9.7080937639999991</v>
      </c>
      <c r="OG6">
        <v>38.158602430000002</v>
      </c>
      <c r="OH6">
        <v>4.9084980260000002</v>
      </c>
      <c r="OI6">
        <v>2.2930993009999998</v>
      </c>
      <c r="OJ6">
        <v>1.9251798179999999</v>
      </c>
      <c r="OK6">
        <v>21.003990829999999</v>
      </c>
      <c r="OL6">
        <v>0.65646946070000001</v>
      </c>
      <c r="OM6">
        <v>0.48926854600000003</v>
      </c>
      <c r="ON6">
        <v>3.2938742730000001</v>
      </c>
      <c r="OO6">
        <v>3.340624</v>
      </c>
      <c r="OP6">
        <v>2.75136</v>
      </c>
      <c r="OQ6">
        <v>6.0919840000000001</v>
      </c>
      <c r="OR6">
        <v>0.52809086999999999</v>
      </c>
      <c r="OS6" s="2">
        <v>3.7365804520000003E-5</v>
      </c>
      <c r="OT6">
        <v>9.1895746430000001E-4</v>
      </c>
      <c r="OU6" s="2">
        <v>3.7365804520000003E-5</v>
      </c>
      <c r="OV6">
        <v>5.7637775640000002E-4</v>
      </c>
      <c r="OW6">
        <v>8.6603524360000001E-4</v>
      </c>
      <c r="OX6" s="2">
        <v>5.2922220780000001E-5</v>
      </c>
      <c r="OY6">
        <v>1.602419748</v>
      </c>
      <c r="OZ6">
        <v>0.78362863120000004</v>
      </c>
      <c r="PA6">
        <v>0.45556734360000001</v>
      </c>
      <c r="PB6">
        <v>14.59037792</v>
      </c>
      <c r="PC6">
        <v>93.936185249999994</v>
      </c>
      <c r="PD6">
        <v>0.64348878740000004</v>
      </c>
      <c r="PE6">
        <v>0.4596702963</v>
      </c>
      <c r="PF6">
        <v>2.8877294309999999</v>
      </c>
      <c r="PG6">
        <v>2.6494499999999999</v>
      </c>
      <c r="PH6">
        <v>2.1032440000000001</v>
      </c>
      <c r="PI6">
        <v>4.752694</v>
      </c>
      <c r="PJ6">
        <v>0.52314662270000001</v>
      </c>
      <c r="PK6" s="2">
        <v>3.481895984E-5</v>
      </c>
      <c r="PL6">
        <v>9.1641469889999999E-4</v>
      </c>
      <c r="PM6" s="2">
        <v>3.481895984E-5</v>
      </c>
      <c r="PN6">
        <v>5.7650799490000003E-4</v>
      </c>
      <c r="PO6">
        <v>8.6589300510000002E-4</v>
      </c>
      <c r="PP6" s="2">
        <v>5.0521693820000001E-5</v>
      </c>
      <c r="PQ6">
        <v>1.6026341200000001</v>
      </c>
      <c r="PR6">
        <v>0.74837790250000003</v>
      </c>
      <c r="PS6">
        <v>0.38301100059999998</v>
      </c>
      <c r="PT6">
        <v>14.58807088</v>
      </c>
      <c r="PU6">
        <v>94.010669429999993</v>
      </c>
      <c r="PV6">
        <v>1.8425452019999999</v>
      </c>
      <c r="PW6">
        <v>0.81358795100000003</v>
      </c>
      <c r="PX6">
        <v>0.56080080539999999</v>
      </c>
      <c r="PY6">
        <v>11.845418260000001</v>
      </c>
      <c r="PZ6">
        <v>91.784733200000005</v>
      </c>
      <c r="QA6">
        <v>1.8424259000000001</v>
      </c>
      <c r="QB6">
        <v>0.76989829249999997</v>
      </c>
      <c r="QC6">
        <v>0.50220118560000004</v>
      </c>
      <c r="QD6">
        <v>11.837040229999999</v>
      </c>
      <c r="QE6">
        <v>91.793914630000003</v>
      </c>
      <c r="QF6" s="2">
        <v>3.9817177879999997E-5</v>
      </c>
      <c r="QG6">
        <v>6.4421481420000001E-4</v>
      </c>
      <c r="QH6">
        <v>9.2426818579999996E-4</v>
      </c>
      <c r="QI6" s="2">
        <v>7.0528643880000003E-5</v>
      </c>
      <c r="QJ6" s="2">
        <v>3.7217610469999997E-5</v>
      </c>
      <c r="QK6">
        <v>6.4403260130000003E-4</v>
      </c>
      <c r="QL6">
        <v>9.2410039869999995E-4</v>
      </c>
      <c r="QM6" s="2">
        <v>6.8081693830000006E-5</v>
      </c>
      <c r="QN6">
        <v>9.1294045229999998</v>
      </c>
      <c r="QO6">
        <v>179.98938709999999</v>
      </c>
      <c r="QP6">
        <v>6.7158438450000002</v>
      </c>
      <c r="QQ6">
        <v>174.27813080000001</v>
      </c>
      <c r="QR6">
        <v>9.1165303269999995</v>
      </c>
      <c r="QS6">
        <v>179.990891</v>
      </c>
      <c r="QT6">
        <v>6.7143413089999999</v>
      </c>
      <c r="QU6">
        <v>174.2815325</v>
      </c>
    </row>
    <row r="7" spans="1:463" x14ac:dyDescent="0.2">
      <c r="A7" t="s">
        <v>277</v>
      </c>
      <c r="B7" s="2">
        <v>3.9171114050000001E-11</v>
      </c>
      <c r="C7" s="2">
        <v>4.4352416609999999E-11</v>
      </c>
      <c r="D7">
        <v>1.339364511E-2</v>
      </c>
      <c r="E7">
        <v>6.5737983149999998E-2</v>
      </c>
      <c r="F7">
        <v>0.49861190900000002</v>
      </c>
      <c r="G7">
        <v>4.1143329419999999E-2</v>
      </c>
      <c r="H7">
        <v>0.20193752149999999</v>
      </c>
      <c r="I7">
        <v>1.531663252</v>
      </c>
      <c r="J7">
        <v>32.54023119</v>
      </c>
      <c r="K7">
        <v>32.553624839999998</v>
      </c>
      <c r="L7">
        <v>32.553624839999998</v>
      </c>
      <c r="M7">
        <v>32.553624839999998</v>
      </c>
      <c r="N7">
        <v>32.487886860000003</v>
      </c>
      <c r="O7">
        <v>32.553624839999998</v>
      </c>
      <c r="P7">
        <v>32.055012929999997</v>
      </c>
      <c r="Q7">
        <v>32.553624839999998</v>
      </c>
      <c r="R7">
        <v>2.1114160540000002</v>
      </c>
      <c r="S7">
        <v>0.5302118884</v>
      </c>
      <c r="T7">
        <v>1.1366338540000001</v>
      </c>
      <c r="U7">
        <v>3.2194258979999999</v>
      </c>
      <c r="V7">
        <v>1.6355279460000001</v>
      </c>
      <c r="W7">
        <v>0.31825111620000002</v>
      </c>
      <c r="X7">
        <v>0.99054079610000001</v>
      </c>
      <c r="Y7">
        <v>2.5805497850000001</v>
      </c>
      <c r="Z7">
        <v>3.7469440000000001</v>
      </c>
      <c r="AA7">
        <v>0.68314358210000004</v>
      </c>
      <c r="AB7">
        <v>2.5068700000000002</v>
      </c>
      <c r="AC7">
        <v>5.0784700000000003</v>
      </c>
      <c r="AD7">
        <v>1.0610063540000001</v>
      </c>
      <c r="AE7">
        <v>0.2433037998</v>
      </c>
      <c r="AF7">
        <v>0.67787805560000003</v>
      </c>
      <c r="AG7">
        <v>2.0387669229999998</v>
      </c>
      <c r="AH7">
        <v>3.7469440000000001</v>
      </c>
      <c r="AI7">
        <v>0.68314358210000004</v>
      </c>
      <c r="AJ7">
        <v>2.5068700000000002</v>
      </c>
      <c r="AK7">
        <v>5.0784700000000003</v>
      </c>
      <c r="AL7">
        <v>0.48773071509999999</v>
      </c>
      <c r="AM7">
        <v>7.8297314359999995E-2</v>
      </c>
      <c r="AN7">
        <v>0.32802901899999998</v>
      </c>
      <c r="AO7">
        <v>0.76632280699999999</v>
      </c>
      <c r="AP7">
        <v>0.60312375409999996</v>
      </c>
      <c r="AQ7">
        <v>9.1656198640000006E-2</v>
      </c>
      <c r="AR7">
        <v>0.43297152659999999</v>
      </c>
      <c r="AS7">
        <v>0.91609550500000003</v>
      </c>
      <c r="AT7">
        <v>0.32442672690000002</v>
      </c>
      <c r="AU7">
        <v>0.39539958759999999</v>
      </c>
      <c r="AV7">
        <v>-0.61768058690000005</v>
      </c>
      <c r="AW7">
        <v>1.6560120819999999</v>
      </c>
      <c r="AX7">
        <v>3.0658456200000002</v>
      </c>
      <c r="AY7">
        <v>0.84950523730000005</v>
      </c>
      <c r="AZ7">
        <v>1.8778173549999999</v>
      </c>
      <c r="BA7">
        <v>8.1096162219999997</v>
      </c>
      <c r="BB7">
        <v>0.23179876769999999</v>
      </c>
      <c r="BC7">
        <v>8.5091730899999996E-2</v>
      </c>
      <c r="BD7">
        <v>9.5564999669999998E-2</v>
      </c>
      <c r="BE7">
        <v>0.57062999800000003</v>
      </c>
      <c r="BF7">
        <v>2.5311192220000001</v>
      </c>
      <c r="BG7">
        <v>0.50648311899999998</v>
      </c>
      <c r="BH7">
        <v>1.698559385</v>
      </c>
      <c r="BI7">
        <v>4.1715081740000004</v>
      </c>
      <c r="BJ7">
        <v>9.0720911070000003</v>
      </c>
      <c r="BK7">
        <v>9.3666976270000006</v>
      </c>
      <c r="BL7">
        <v>8.6428960429999993E-2</v>
      </c>
      <c r="BM7">
        <v>41.332955470000002</v>
      </c>
      <c r="BN7">
        <v>1.0407593749999999</v>
      </c>
      <c r="BO7">
        <v>0.1872821019</v>
      </c>
      <c r="BP7">
        <v>0.63543383360000005</v>
      </c>
      <c r="BQ7">
        <v>1.638926026</v>
      </c>
      <c r="BR7">
        <v>48.047413450000001</v>
      </c>
      <c r="BS7">
        <v>14.674423340000001</v>
      </c>
      <c r="BT7">
        <v>17.524490539999999</v>
      </c>
      <c r="BU7">
        <v>104.64082070000001</v>
      </c>
      <c r="BV7">
        <v>1.6736177489999999</v>
      </c>
      <c r="BW7">
        <v>0.21569853959999999</v>
      </c>
      <c r="BX7">
        <v>1.1366338540000001</v>
      </c>
      <c r="BY7">
        <v>2.3430743390000002</v>
      </c>
      <c r="BZ7">
        <v>1.431154094</v>
      </c>
      <c r="CA7">
        <v>0.23002917389999999</v>
      </c>
      <c r="CB7">
        <v>0.87936817560000002</v>
      </c>
      <c r="CC7">
        <v>2.0573929299999998</v>
      </c>
      <c r="CD7">
        <v>3.1047718419999999</v>
      </c>
      <c r="CE7">
        <v>0.24988811859999999</v>
      </c>
      <c r="CF7">
        <v>2.3525399999999999</v>
      </c>
      <c r="CG7">
        <v>3.3946800000000001</v>
      </c>
      <c r="CH7">
        <v>0.95621043989999999</v>
      </c>
      <c r="CI7">
        <v>0.16790337289999999</v>
      </c>
      <c r="CJ7">
        <v>0.66737666669999995</v>
      </c>
      <c r="CK7">
        <v>1.5286385709999999</v>
      </c>
      <c r="CL7">
        <v>3.1047718419999999</v>
      </c>
      <c r="CM7">
        <v>0.24988811859999999</v>
      </c>
      <c r="CN7">
        <v>2.3525399999999999</v>
      </c>
      <c r="CO7">
        <v>3.3946800000000001</v>
      </c>
      <c r="CP7">
        <v>0.48225826290000001</v>
      </c>
      <c r="CQ7">
        <v>7.4110332030000003E-2</v>
      </c>
      <c r="CR7">
        <v>0.32802901899999998</v>
      </c>
      <c r="CS7">
        <v>0.74061638399999996</v>
      </c>
      <c r="CT7">
        <v>0.59035911590000001</v>
      </c>
      <c r="CU7">
        <v>8.1720377580000003E-2</v>
      </c>
      <c r="CV7">
        <v>0.43297152659999999</v>
      </c>
      <c r="CW7">
        <v>0.86090854859999999</v>
      </c>
      <c r="CX7">
        <v>0.27582605869999999</v>
      </c>
      <c r="CY7">
        <v>0.37299762679999998</v>
      </c>
      <c r="CZ7">
        <v>-0.62826706710000002</v>
      </c>
      <c r="DA7">
        <v>1.4892694870000001</v>
      </c>
      <c r="DB7">
        <v>2.719818488</v>
      </c>
      <c r="DC7">
        <v>0.54412298800000003</v>
      </c>
      <c r="DD7">
        <v>1.854586455</v>
      </c>
      <c r="DE7">
        <v>5.6924081710000003</v>
      </c>
      <c r="DF7">
        <v>0.2116865433</v>
      </c>
      <c r="DG7">
        <v>7.4544730929999997E-2</v>
      </c>
      <c r="DH7">
        <v>9.5564999669999998E-2</v>
      </c>
      <c r="DI7">
        <v>0.47444399840000001</v>
      </c>
      <c r="DJ7">
        <v>2.4508906480000001</v>
      </c>
      <c r="DK7">
        <v>0.41893191959999998</v>
      </c>
      <c r="DL7">
        <v>1.698559385</v>
      </c>
      <c r="DM7">
        <v>3.7690016919999998</v>
      </c>
      <c r="DN7">
        <v>16.09029511</v>
      </c>
      <c r="DO7">
        <v>8.266602657</v>
      </c>
      <c r="DP7">
        <v>1.8796992480000001</v>
      </c>
      <c r="DQ7">
        <v>41.332955470000002</v>
      </c>
      <c r="DR7">
        <v>1.0401712409999999</v>
      </c>
      <c r="DS7">
        <v>0.1871084613</v>
      </c>
      <c r="DT7">
        <v>0.63543383360000005</v>
      </c>
      <c r="DU7">
        <v>1.638779926</v>
      </c>
      <c r="DV7">
        <v>52.231052759999997</v>
      </c>
      <c r="DW7">
        <v>15.50850076</v>
      </c>
      <c r="DX7">
        <v>21.077303189999999</v>
      </c>
      <c r="DY7">
        <v>104.64082070000001</v>
      </c>
      <c r="DZ7">
        <v>0.86111811220000001</v>
      </c>
      <c r="EA7">
        <v>0.20784434230000001</v>
      </c>
      <c r="EB7">
        <v>0.47047718049999998</v>
      </c>
      <c r="EC7">
        <v>1.4995518329999999</v>
      </c>
      <c r="ED7">
        <v>0.74730960209999997</v>
      </c>
      <c r="EE7">
        <v>0.14478263769999999</v>
      </c>
      <c r="EF7">
        <v>0.40210556549999998</v>
      </c>
      <c r="EG7">
        <v>1.1893578929999999</v>
      </c>
      <c r="EH7">
        <v>1.6084277140000001</v>
      </c>
      <c r="EI7">
        <v>0.3263112292</v>
      </c>
      <c r="EJ7">
        <v>0.89754142859999997</v>
      </c>
      <c r="EK7">
        <v>2.6699257140000001</v>
      </c>
      <c r="EL7">
        <v>0.62774987199999999</v>
      </c>
      <c r="EM7">
        <v>0.1369938084</v>
      </c>
      <c r="EN7">
        <v>0.37277777779999999</v>
      </c>
      <c r="EO7">
        <v>1.008548548</v>
      </c>
      <c r="EP7">
        <v>2.8629236320000002</v>
      </c>
      <c r="EQ7">
        <v>0.86660385019999997</v>
      </c>
      <c r="ER7">
        <v>1.3991899999999999</v>
      </c>
      <c r="ES7">
        <v>5.3303399999999996</v>
      </c>
      <c r="ET7">
        <v>0.20820954329999999</v>
      </c>
      <c r="EU7">
        <v>2.9750295869999999E-2</v>
      </c>
      <c r="EV7">
        <v>0.1491602745</v>
      </c>
      <c r="EW7">
        <v>0.34040795969999998</v>
      </c>
      <c r="EX7">
        <v>0.27307667749999998</v>
      </c>
      <c r="EY7">
        <v>4.3855848060000001E-2</v>
      </c>
      <c r="EZ7">
        <v>0.18586299210000001</v>
      </c>
      <c r="FA7">
        <v>0.46466748130000002</v>
      </c>
      <c r="FB7">
        <v>0.19532858559999999</v>
      </c>
      <c r="FC7">
        <v>0.25089279749999999</v>
      </c>
      <c r="FD7">
        <v>-0.4914749873</v>
      </c>
      <c r="FE7">
        <v>1.02745778</v>
      </c>
      <c r="FF7">
        <v>4.0262870939999997</v>
      </c>
      <c r="FG7">
        <v>1.0227733809999999</v>
      </c>
      <c r="FH7">
        <v>2.5846061169999999</v>
      </c>
      <c r="FI7">
        <v>8.6672008920000003</v>
      </c>
      <c r="FJ7">
        <v>1.611818623</v>
      </c>
      <c r="FK7">
        <v>0.63086912390000005</v>
      </c>
      <c r="FL7">
        <v>0.68077718050000002</v>
      </c>
      <c r="FM7">
        <v>3.2562026099999999</v>
      </c>
      <c r="FN7">
        <v>1.25092085</v>
      </c>
      <c r="FO7">
        <v>0.39236248800000001</v>
      </c>
      <c r="FP7">
        <v>0.55047413690000002</v>
      </c>
      <c r="FQ7">
        <v>2.9002190489999999</v>
      </c>
      <c r="FR7">
        <v>2.7144715260000001</v>
      </c>
      <c r="FS7">
        <v>0.81718029240000001</v>
      </c>
      <c r="FT7">
        <v>1.19763</v>
      </c>
      <c r="FU7">
        <v>5.1193999999999997</v>
      </c>
      <c r="FV7">
        <v>1.8455827890000001</v>
      </c>
      <c r="FW7">
        <v>0.53531759990000005</v>
      </c>
      <c r="FX7">
        <v>1.0697000000000001</v>
      </c>
      <c r="FY7">
        <v>3.78817</v>
      </c>
      <c r="FZ7">
        <v>7.8368751289999997E-2</v>
      </c>
      <c r="GA7">
        <v>1.523699349E-2</v>
      </c>
      <c r="GB7">
        <v>5.3514807509999998E-2</v>
      </c>
      <c r="GC7">
        <v>0.13991076869999999</v>
      </c>
      <c r="GD7">
        <v>2.3161636030000001</v>
      </c>
      <c r="GE7">
        <v>0.4313340256</v>
      </c>
      <c r="GF7">
        <v>1.5862975020000001</v>
      </c>
      <c r="GG7">
        <v>3.8293826950000001</v>
      </c>
      <c r="GH7">
        <v>18.760290999999999</v>
      </c>
      <c r="GI7">
        <v>22.967856099999999</v>
      </c>
      <c r="GJ7">
        <v>4.9248953460000001E-2</v>
      </c>
      <c r="GK7">
        <v>94.268055419999996</v>
      </c>
      <c r="GL7">
        <v>0.39410638980000001</v>
      </c>
      <c r="GM7">
        <v>5.1717838459999999E-2</v>
      </c>
      <c r="GN7">
        <v>0.28829253599999999</v>
      </c>
      <c r="GO7">
        <v>0.60061542720000005</v>
      </c>
      <c r="GP7">
        <v>7.2662447029999999</v>
      </c>
      <c r="GQ7">
        <v>1.775062779</v>
      </c>
      <c r="GR7">
        <v>3.1519330210000001</v>
      </c>
      <c r="GS7">
        <v>12.036921059999999</v>
      </c>
      <c r="GT7">
        <v>132.15590270000001</v>
      </c>
      <c r="GU7">
        <v>24.020703099999999</v>
      </c>
      <c r="GV7">
        <v>71.474126609999999</v>
      </c>
      <c r="GW7">
        <v>186.86416840000001</v>
      </c>
      <c r="GX7">
        <v>0.78763396230000005</v>
      </c>
      <c r="GY7">
        <v>0.1507787797</v>
      </c>
      <c r="GZ7">
        <v>0.47047718049999998</v>
      </c>
      <c r="HA7">
        <v>1.3039871489999999</v>
      </c>
      <c r="HB7">
        <v>0.71271297759999996</v>
      </c>
      <c r="HC7">
        <v>0.1229977588</v>
      </c>
      <c r="HD7">
        <v>0.40210556549999998</v>
      </c>
      <c r="HE7">
        <v>1.0897242519999999</v>
      </c>
      <c r="HF7">
        <v>1.50034694</v>
      </c>
      <c r="HG7">
        <v>0.24549421469999999</v>
      </c>
      <c r="HH7">
        <v>0.89754142859999997</v>
      </c>
      <c r="HI7">
        <v>2.2931228570000002</v>
      </c>
      <c r="HJ7">
        <v>0.58159378070000001</v>
      </c>
      <c r="HK7">
        <v>0.1006381963</v>
      </c>
      <c r="HL7">
        <v>0.37277777779999999</v>
      </c>
      <c r="HM7">
        <v>0.86093028989999998</v>
      </c>
      <c r="HN7">
        <v>2.4506265790000001</v>
      </c>
      <c r="HO7">
        <v>0.54411848149999997</v>
      </c>
      <c r="HP7">
        <v>1.3991899999999999</v>
      </c>
      <c r="HQ7">
        <v>4.4000700000000004</v>
      </c>
      <c r="HR7">
        <v>0.20408029429999999</v>
      </c>
      <c r="HS7">
        <v>2.652429723E-2</v>
      </c>
      <c r="HT7">
        <v>0.1480748388</v>
      </c>
      <c r="HU7">
        <v>0.30900639169999999</v>
      </c>
      <c r="HV7">
        <v>0.26353669079999997</v>
      </c>
      <c r="HW7">
        <v>3.6397189910000002E-2</v>
      </c>
      <c r="HX7">
        <v>0.18586299210000001</v>
      </c>
      <c r="HY7">
        <v>0.4040324643</v>
      </c>
      <c r="HZ7">
        <v>0.1514928039</v>
      </c>
      <c r="IA7">
        <v>0.21874694149999999</v>
      </c>
      <c r="IB7">
        <v>-0.47738362249999999</v>
      </c>
      <c r="IC7">
        <v>0.96434453419999999</v>
      </c>
      <c r="ID7">
        <v>3.673023675</v>
      </c>
      <c r="IE7">
        <v>0.75971345680000002</v>
      </c>
      <c r="IF7">
        <v>2.5846061169999999</v>
      </c>
      <c r="IG7">
        <v>7.028393178</v>
      </c>
      <c r="IH7">
        <v>1.3027653159999999</v>
      </c>
      <c r="II7">
        <v>0.37772585980000001</v>
      </c>
      <c r="IJ7">
        <v>0.68077718050000002</v>
      </c>
      <c r="IK7">
        <v>2.698282544</v>
      </c>
      <c r="IL7">
        <v>1.146922158</v>
      </c>
      <c r="IM7">
        <v>0.31328782030000002</v>
      </c>
      <c r="IN7">
        <v>0.55047413690000002</v>
      </c>
      <c r="IO7">
        <v>2.2807143120000002</v>
      </c>
      <c r="IP7">
        <v>2.3226936839999999</v>
      </c>
      <c r="IQ7">
        <v>0.49890394179999997</v>
      </c>
      <c r="IR7">
        <v>1.19763</v>
      </c>
      <c r="IS7">
        <v>3.8165800000000001</v>
      </c>
      <c r="IT7">
        <v>1.741433526</v>
      </c>
      <c r="IU7">
        <v>0.41797101959999999</v>
      </c>
      <c r="IV7">
        <v>1.0697000000000001</v>
      </c>
      <c r="IW7">
        <v>3.24003</v>
      </c>
      <c r="IX7">
        <v>7.2308130319999997E-2</v>
      </c>
      <c r="IY7">
        <v>1.120352269E-2</v>
      </c>
      <c r="IZ7">
        <v>5.3514807509999998E-2</v>
      </c>
      <c r="JA7">
        <v>0.1109351017</v>
      </c>
      <c r="JB7">
        <v>2.266077079</v>
      </c>
      <c r="JC7">
        <v>0.37522686360000002</v>
      </c>
      <c r="JD7">
        <v>1.5862975020000001</v>
      </c>
      <c r="JE7">
        <v>3.500643862</v>
      </c>
      <c r="JF7">
        <v>26.129353829999999</v>
      </c>
      <c r="JG7">
        <v>23.905384789999999</v>
      </c>
      <c r="JH7">
        <v>0.14774686040000001</v>
      </c>
      <c r="JI7">
        <v>94.268055419999996</v>
      </c>
      <c r="JJ7">
        <v>0.39319715290000001</v>
      </c>
      <c r="JK7">
        <v>5.1118629870000001E-2</v>
      </c>
      <c r="JL7">
        <v>0.28829253599999999</v>
      </c>
      <c r="JM7">
        <v>0.59257283999999999</v>
      </c>
      <c r="JN7">
        <v>8.0443155149999992</v>
      </c>
      <c r="JO7">
        <v>1.5579549070000001</v>
      </c>
      <c r="JP7">
        <v>3.0288106379999999</v>
      </c>
      <c r="JQ7">
        <v>12.036921059999999</v>
      </c>
      <c r="JR7">
        <v>141.49502419999999</v>
      </c>
      <c r="JS7">
        <v>20.97240201</v>
      </c>
      <c r="JT7">
        <v>90.142793859999998</v>
      </c>
      <c r="JU7">
        <v>186.86416840000001</v>
      </c>
      <c r="JV7">
        <v>0.96509640600000002</v>
      </c>
      <c r="JW7">
        <v>0.20901549790000001</v>
      </c>
      <c r="JX7">
        <v>0.4954106767</v>
      </c>
      <c r="JY7">
        <v>1.717292048</v>
      </c>
      <c r="JZ7">
        <v>0.80375138349999997</v>
      </c>
      <c r="KA7">
        <v>0.24718303350000001</v>
      </c>
      <c r="KB7">
        <v>0.40349940070000001</v>
      </c>
      <c r="KC7">
        <v>1.637770763</v>
      </c>
      <c r="KD7">
        <v>1.7688477890000001</v>
      </c>
      <c r="KE7">
        <v>0.34874445749999999</v>
      </c>
      <c r="KF7">
        <v>1.01881</v>
      </c>
      <c r="KG7">
        <v>3.1131700000000002</v>
      </c>
      <c r="KH7">
        <v>1.3340384439999999</v>
      </c>
      <c r="KI7">
        <v>0.35925867430000002</v>
      </c>
      <c r="KJ7">
        <v>0.52754999999999996</v>
      </c>
      <c r="KK7">
        <v>2.5381399999999998</v>
      </c>
      <c r="KL7">
        <v>1.7688477890000001</v>
      </c>
      <c r="KM7">
        <v>0.34874445749999999</v>
      </c>
      <c r="KN7">
        <v>1.01881</v>
      </c>
      <c r="KO7">
        <v>3.1131700000000002</v>
      </c>
      <c r="KP7">
        <v>0.39484196189999998</v>
      </c>
      <c r="KQ7">
        <v>8.5239021750000005E-2</v>
      </c>
      <c r="KR7">
        <v>0.25002941839999998</v>
      </c>
      <c r="KS7">
        <v>0.65659491719999996</v>
      </c>
      <c r="KT7">
        <v>0.47325328119999999</v>
      </c>
      <c r="KU7">
        <v>9.4766437319999994E-2</v>
      </c>
      <c r="KV7">
        <v>0.29411070810000001</v>
      </c>
      <c r="KW7">
        <v>0.7803513366</v>
      </c>
      <c r="KX7">
        <v>0.27525056539999998</v>
      </c>
      <c r="KY7">
        <v>0.5096749491</v>
      </c>
      <c r="KZ7">
        <v>-1.0498492129999999</v>
      </c>
      <c r="LA7">
        <v>2.0096086710000001</v>
      </c>
      <c r="LB7">
        <v>2.4052812389999998</v>
      </c>
      <c r="LC7">
        <v>0.77589262680000004</v>
      </c>
      <c r="LD7">
        <v>1.446048088</v>
      </c>
      <c r="LE7">
        <v>6.7233370309999998</v>
      </c>
      <c r="LF7">
        <v>2.6138225209999999</v>
      </c>
      <c r="LG7">
        <v>0.91864904120000002</v>
      </c>
      <c r="LH7">
        <v>0.61823999789999995</v>
      </c>
      <c r="LI7">
        <v>4.9238399829999997</v>
      </c>
      <c r="LJ7">
        <v>7.5911086269999997E-2</v>
      </c>
      <c r="LK7">
        <v>1.161901387E-2</v>
      </c>
      <c r="LL7">
        <v>4.6469040160000002E-2</v>
      </c>
      <c r="LM7">
        <v>0.111607179</v>
      </c>
      <c r="LN7">
        <v>50.972330560000003</v>
      </c>
      <c r="LO7">
        <v>17.323635710000001</v>
      </c>
      <c r="LP7">
        <v>7.2755417959999997</v>
      </c>
      <c r="LQ7">
        <v>98.283344470000003</v>
      </c>
      <c r="LR7">
        <v>0.87475888970000004</v>
      </c>
      <c r="LS7">
        <v>0.21884598159999999</v>
      </c>
      <c r="LT7">
        <v>0.4326763938</v>
      </c>
      <c r="LU7">
        <v>1.541353897</v>
      </c>
      <c r="LV7">
        <v>20.768609779999998</v>
      </c>
      <c r="LW7">
        <v>5.2679326670000002</v>
      </c>
      <c r="LX7">
        <v>6.0592658119999996</v>
      </c>
      <c r="LY7">
        <v>38.058381249999996</v>
      </c>
      <c r="LZ7">
        <v>4.4149407610000004</v>
      </c>
      <c r="MA7">
        <v>1.9685467809999999</v>
      </c>
      <c r="MB7">
        <v>2.0309352120000002</v>
      </c>
      <c r="MC7">
        <v>16.174948300000001</v>
      </c>
      <c r="MD7">
        <v>0.94315752310000001</v>
      </c>
      <c r="ME7">
        <v>0.18782056029999999</v>
      </c>
      <c r="MF7">
        <v>0.4954106767</v>
      </c>
      <c r="MG7">
        <v>1.5992636200000001</v>
      </c>
      <c r="MH7">
        <v>0.78686079269999998</v>
      </c>
      <c r="MI7">
        <v>0.2274283268</v>
      </c>
      <c r="MJ7">
        <v>0.40349940070000001</v>
      </c>
      <c r="MK7">
        <v>1.534320557</v>
      </c>
      <c r="ML7">
        <v>1.730018316</v>
      </c>
      <c r="MM7">
        <v>0.30836769739999997</v>
      </c>
      <c r="MN7">
        <v>1.01881</v>
      </c>
      <c r="MO7">
        <v>2.6960700000000002</v>
      </c>
      <c r="MP7">
        <v>1.3146101910000001</v>
      </c>
      <c r="MQ7">
        <v>0.34447470229999999</v>
      </c>
      <c r="MR7">
        <v>0.52288666669999995</v>
      </c>
      <c r="MS7">
        <v>2.38625</v>
      </c>
      <c r="MT7">
        <v>1.730018316</v>
      </c>
      <c r="MU7">
        <v>0.30836769739999997</v>
      </c>
      <c r="MV7">
        <v>1.01881</v>
      </c>
      <c r="MW7">
        <v>2.6960700000000002</v>
      </c>
      <c r="MX7">
        <v>0.3905463824</v>
      </c>
      <c r="MY7">
        <v>8.2196332930000005E-2</v>
      </c>
      <c r="MZ7">
        <v>0.25191740330000001</v>
      </c>
      <c r="NA7">
        <v>0.64263644470000003</v>
      </c>
      <c r="NB7">
        <v>0.46702999989999999</v>
      </c>
      <c r="NC7">
        <v>8.9576624709999997E-2</v>
      </c>
      <c r="ND7">
        <v>0.2967317827</v>
      </c>
      <c r="NE7">
        <v>0.74846846330000005</v>
      </c>
      <c r="NF7">
        <v>0.27380235079999998</v>
      </c>
      <c r="NG7">
        <v>0.50062390290000003</v>
      </c>
      <c r="NH7">
        <v>-1.03194389</v>
      </c>
      <c r="NI7">
        <v>1.9310148039999999</v>
      </c>
      <c r="NJ7">
        <v>2.3707818450000002</v>
      </c>
      <c r="NK7">
        <v>0.73692923619999995</v>
      </c>
      <c r="NL7">
        <v>1.422697796</v>
      </c>
      <c r="NM7">
        <v>6.3086074539999997</v>
      </c>
      <c r="NN7">
        <v>2.6094275809999998</v>
      </c>
      <c r="NO7">
        <v>0.89879546399999999</v>
      </c>
      <c r="NP7">
        <v>0.62099999790000004</v>
      </c>
      <c r="NQ7">
        <v>4.9238399829999997</v>
      </c>
      <c r="NR7">
        <v>7.4760986700000004E-2</v>
      </c>
      <c r="NS7">
        <v>1.0772697939999999E-2</v>
      </c>
      <c r="NT7">
        <v>4.6469040160000002E-2</v>
      </c>
      <c r="NU7">
        <v>0.1088085509</v>
      </c>
      <c r="NV7">
        <v>52.139847289999999</v>
      </c>
      <c r="NW7">
        <v>16.805039059999999</v>
      </c>
      <c r="NX7">
        <v>10.968597969999999</v>
      </c>
      <c r="NY7">
        <v>98.283344470000003</v>
      </c>
      <c r="NZ7">
        <v>0.86916879709999995</v>
      </c>
      <c r="OA7">
        <v>0.21735030320000001</v>
      </c>
      <c r="OB7">
        <v>0.39244983960000002</v>
      </c>
      <c r="OC7">
        <v>1.521904554</v>
      </c>
      <c r="OD7">
        <v>21.116297840000001</v>
      </c>
      <c r="OE7">
        <v>5.1440506529999999</v>
      </c>
      <c r="OF7">
        <v>10.3051747</v>
      </c>
      <c r="OG7">
        <v>38.235294119999999</v>
      </c>
      <c r="OH7">
        <v>4.3790551449999997</v>
      </c>
      <c r="OI7">
        <v>1.8657170789999999</v>
      </c>
      <c r="OJ7">
        <v>2.0309352120000002</v>
      </c>
      <c r="OK7">
        <v>16.103059640000001</v>
      </c>
      <c r="OL7">
        <v>0.58588742699999996</v>
      </c>
      <c r="OM7">
        <v>0.4624114735</v>
      </c>
      <c r="ON7">
        <v>3.0759128370000002</v>
      </c>
      <c r="OO7">
        <v>3.4794</v>
      </c>
      <c r="OP7">
        <v>2.5718000000000001</v>
      </c>
      <c r="OQ7">
        <v>6.0511999999999997</v>
      </c>
      <c r="OR7">
        <v>0.479391862</v>
      </c>
      <c r="OS7" s="2">
        <v>2.9281732569999999E-5</v>
      </c>
      <c r="OT7">
        <v>8.3552121799999998E-4</v>
      </c>
      <c r="OU7" s="2">
        <v>2.9281732569999999E-5</v>
      </c>
      <c r="OV7">
        <v>5.3373742999999996E-4</v>
      </c>
      <c r="OW7">
        <v>7.9159257000000003E-4</v>
      </c>
      <c r="OX7" s="2">
        <v>4.3928647980000003E-5</v>
      </c>
      <c r="OY7">
        <v>1.4931578619999999</v>
      </c>
      <c r="OZ7">
        <v>0.63926860510000005</v>
      </c>
      <c r="PA7">
        <v>0.34937172840000003</v>
      </c>
      <c r="PB7">
        <v>14.27542122</v>
      </c>
      <c r="PC7">
        <v>94.882761419999994</v>
      </c>
      <c r="PD7">
        <v>0.57307067570000003</v>
      </c>
      <c r="PE7">
        <v>0.38835866120000001</v>
      </c>
      <c r="PF7">
        <v>2.5697143919999998</v>
      </c>
      <c r="PG7">
        <v>2.3464900000000002</v>
      </c>
      <c r="PH7">
        <v>2.0695100000000002</v>
      </c>
      <c r="PI7">
        <v>4.4160000000000004</v>
      </c>
      <c r="PJ7">
        <v>0.4743464013</v>
      </c>
      <c r="PK7" s="2">
        <v>2.6259245099999999E-5</v>
      </c>
      <c r="PL7">
        <v>8.3312921770000001E-4</v>
      </c>
      <c r="PM7" s="2">
        <v>2.6259245099999999E-5</v>
      </c>
      <c r="PN7">
        <v>5.3354587550000004E-4</v>
      </c>
      <c r="PO7">
        <v>7.9101412449999998E-4</v>
      </c>
      <c r="PP7" s="2">
        <v>4.2115093280000002E-5</v>
      </c>
      <c r="PQ7">
        <v>1.492279344</v>
      </c>
      <c r="PR7">
        <v>0.59652238869999996</v>
      </c>
      <c r="PS7">
        <v>0.29262089740000002</v>
      </c>
      <c r="PT7">
        <v>14.28082948</v>
      </c>
      <c r="PU7">
        <v>95.025312650000004</v>
      </c>
      <c r="PV7">
        <v>1.69568622</v>
      </c>
      <c r="PW7">
        <v>0.68423106710000003</v>
      </c>
      <c r="PX7">
        <v>0.50821733189999996</v>
      </c>
      <c r="PY7">
        <v>12.015145009999999</v>
      </c>
      <c r="PZ7">
        <v>92.476369800000001</v>
      </c>
      <c r="QA7">
        <v>1.695826874</v>
      </c>
      <c r="QB7">
        <v>0.63135623500000004</v>
      </c>
      <c r="QC7">
        <v>0.4570417101</v>
      </c>
      <c r="QD7">
        <v>11.998381630000001</v>
      </c>
      <c r="QE7">
        <v>92.500778010000005</v>
      </c>
      <c r="QF7" s="2">
        <v>3.2939657409999998E-5</v>
      </c>
      <c r="QG7">
        <v>5.8882739389999996E-4</v>
      </c>
      <c r="QH7">
        <v>8.4889260610000001E-4</v>
      </c>
      <c r="QI7" s="2">
        <v>6.2503178659999997E-5</v>
      </c>
      <c r="QJ7" s="2">
        <v>2.9799143189999998E-5</v>
      </c>
      <c r="QK7">
        <v>5.8860151500000001E-4</v>
      </c>
      <c r="QL7">
        <v>8.48398485E-4</v>
      </c>
      <c r="QM7" s="2">
        <v>6.0515037559999997E-5</v>
      </c>
      <c r="QN7">
        <v>9.4876615419999997</v>
      </c>
      <c r="QO7">
        <v>2.2734221560000001</v>
      </c>
      <c r="QP7">
        <v>175.5554315</v>
      </c>
      <c r="QQ7">
        <v>7.15987405</v>
      </c>
      <c r="QR7">
        <v>9.419747933</v>
      </c>
      <c r="QS7">
        <v>2.2739768219999998</v>
      </c>
      <c r="QT7">
        <v>175.56120670000001</v>
      </c>
      <c r="QU7">
        <v>7.1567703859999998</v>
      </c>
    </row>
    <row r="8" spans="1:463" x14ac:dyDescent="0.2">
      <c r="A8" t="s">
        <v>278</v>
      </c>
      <c r="B8" s="2">
        <v>7.3230665910000002E-12</v>
      </c>
      <c r="C8" s="2">
        <v>9.8666907390000002E-12</v>
      </c>
      <c r="D8">
        <v>1.264902471E-2</v>
      </c>
      <c r="E8">
        <v>6.3313681960000007E-2</v>
      </c>
      <c r="F8">
        <v>0.49746546019999999</v>
      </c>
      <c r="G8">
        <v>3.8855963889999998E-2</v>
      </c>
      <c r="H8">
        <v>0.19449042089999999</v>
      </c>
      <c r="I8">
        <v>1.5281415279999999</v>
      </c>
      <c r="J8">
        <v>32.540975809999999</v>
      </c>
      <c r="K8">
        <v>32.553624839999998</v>
      </c>
      <c r="L8">
        <v>32.553624839999998</v>
      </c>
      <c r="M8">
        <v>32.553624839999998</v>
      </c>
      <c r="N8">
        <v>32.490311159999997</v>
      </c>
      <c r="O8">
        <v>32.553624839999998</v>
      </c>
      <c r="P8">
        <v>32.056159379999997</v>
      </c>
      <c r="Q8">
        <v>32.553624839999998</v>
      </c>
      <c r="R8">
        <v>2.1127436020000001</v>
      </c>
      <c r="S8">
        <v>0.42550081360000003</v>
      </c>
      <c r="T8">
        <v>1.0458912490000001</v>
      </c>
      <c r="U8">
        <v>2.998368122</v>
      </c>
      <c r="V8">
        <v>1.8803342030000001</v>
      </c>
      <c r="W8">
        <v>0.35116111680000001</v>
      </c>
      <c r="X8">
        <v>1.052448716</v>
      </c>
      <c r="Y8">
        <v>2.6706754199999998</v>
      </c>
      <c r="Z8">
        <v>3.993077805</v>
      </c>
      <c r="AA8">
        <v>0.64106397289999995</v>
      </c>
      <c r="AB8">
        <v>2.6528529999999999</v>
      </c>
      <c r="AC8">
        <v>5.2320209999999996</v>
      </c>
      <c r="AD8">
        <v>1.235247231</v>
      </c>
      <c r="AE8">
        <v>0.22814620390000001</v>
      </c>
      <c r="AF8">
        <v>0.80706309519999997</v>
      </c>
      <c r="AG8">
        <v>1.8515336520000001</v>
      </c>
      <c r="AH8">
        <v>3.993077805</v>
      </c>
      <c r="AI8">
        <v>0.64106397289999995</v>
      </c>
      <c r="AJ8">
        <v>2.6528529999999999</v>
      </c>
      <c r="AK8">
        <v>5.2320209999999996</v>
      </c>
      <c r="AL8">
        <v>0.51127078299999995</v>
      </c>
      <c r="AM8">
        <v>8.7599822519999995E-2</v>
      </c>
      <c r="AN8">
        <v>0.33460966619999999</v>
      </c>
      <c r="AO8">
        <v>0.82145925119999996</v>
      </c>
      <c r="AP8">
        <v>0.63504613259999998</v>
      </c>
      <c r="AQ8">
        <v>0.1016484181</v>
      </c>
      <c r="AR8">
        <v>0.423955313</v>
      </c>
      <c r="AS8">
        <v>1.030469876</v>
      </c>
      <c r="AT8">
        <v>0.31751277709999998</v>
      </c>
      <c r="AU8">
        <v>0.29671368710000001</v>
      </c>
      <c r="AV8">
        <v>-0.32504984100000001</v>
      </c>
      <c r="AW8">
        <v>1.1711326479999999</v>
      </c>
      <c r="AX8">
        <v>3.0732960660000002</v>
      </c>
      <c r="AY8">
        <v>0.62311256739999998</v>
      </c>
      <c r="AZ8">
        <v>1.9212484970000001</v>
      </c>
      <c r="BA8">
        <v>4.991879097</v>
      </c>
      <c r="BB8">
        <v>0.2451685083</v>
      </c>
      <c r="BC8">
        <v>7.40431171E-2</v>
      </c>
      <c r="BD8">
        <v>0.12881999960000001</v>
      </c>
      <c r="BE8">
        <v>0.58408499800000002</v>
      </c>
      <c r="BF8">
        <v>2.3889755949999998</v>
      </c>
      <c r="BG8">
        <v>0.56586115020000005</v>
      </c>
      <c r="BH8">
        <v>1.396400973</v>
      </c>
      <c r="BI8">
        <v>4.5917751259999999</v>
      </c>
      <c r="BJ8">
        <v>8.20657411</v>
      </c>
      <c r="BK8">
        <v>8.0327261029999999</v>
      </c>
      <c r="BL8">
        <v>0.1326846528</v>
      </c>
      <c r="BM8">
        <v>47.279964620000001</v>
      </c>
      <c r="BN8">
        <v>1.0836899790000001</v>
      </c>
      <c r="BO8">
        <v>0.21080957380000001</v>
      </c>
      <c r="BP8">
        <v>0.64471073749999996</v>
      </c>
      <c r="BQ8">
        <v>1.739954614</v>
      </c>
      <c r="BR8">
        <v>44.082546600000001</v>
      </c>
      <c r="BS8">
        <v>11.713276889999999</v>
      </c>
      <c r="BT8">
        <v>17.120795829999999</v>
      </c>
      <c r="BU8">
        <v>77.627697830000002</v>
      </c>
      <c r="BV8">
        <v>1.7785847859999999</v>
      </c>
      <c r="BW8">
        <v>0.25263719829999998</v>
      </c>
      <c r="BX8">
        <v>1.0458912490000001</v>
      </c>
      <c r="BY8">
        <v>2.653838124</v>
      </c>
      <c r="BZ8">
        <v>1.5704685620000001</v>
      </c>
      <c r="CA8">
        <v>0.2365337699</v>
      </c>
      <c r="CB8">
        <v>0.94084337220000003</v>
      </c>
      <c r="CC8">
        <v>2.124983007</v>
      </c>
      <c r="CD8">
        <v>3.3490533469999999</v>
      </c>
      <c r="CE8">
        <v>0.24802577749999999</v>
      </c>
      <c r="CF8">
        <v>2.562179</v>
      </c>
      <c r="CG8">
        <v>3.6248179999999999</v>
      </c>
      <c r="CH8">
        <v>1.136960156</v>
      </c>
      <c r="CI8">
        <v>0.1773348377</v>
      </c>
      <c r="CJ8">
        <v>0.798072</v>
      </c>
      <c r="CK8">
        <v>1.5471115</v>
      </c>
      <c r="CL8">
        <v>3.3490533469999999</v>
      </c>
      <c r="CM8">
        <v>0.24802577749999999</v>
      </c>
      <c r="CN8">
        <v>2.562179</v>
      </c>
      <c r="CO8">
        <v>3.6248179999999999</v>
      </c>
      <c r="CP8">
        <v>0.50502704460000003</v>
      </c>
      <c r="CQ8">
        <v>8.2691755889999996E-2</v>
      </c>
      <c r="CR8">
        <v>0.33460966619999999</v>
      </c>
      <c r="CS8">
        <v>0.76278280239999996</v>
      </c>
      <c r="CT8">
        <v>0.62127185809999996</v>
      </c>
      <c r="CU8">
        <v>9.1254331549999998E-2</v>
      </c>
      <c r="CV8">
        <v>0.423955313</v>
      </c>
      <c r="CW8">
        <v>0.89719478610000003</v>
      </c>
      <c r="CX8">
        <v>0.31396829929999998</v>
      </c>
      <c r="CY8">
        <v>0.29557178169999998</v>
      </c>
      <c r="CZ8">
        <v>-0.29515755599999999</v>
      </c>
      <c r="DA8">
        <v>1.0602427860000001</v>
      </c>
      <c r="DB8">
        <v>2.802497335</v>
      </c>
      <c r="DC8">
        <v>0.50915683209999996</v>
      </c>
      <c r="DD8">
        <v>1.849064</v>
      </c>
      <c r="DE8">
        <v>4.7421965960000003</v>
      </c>
      <c r="DF8">
        <v>0.2289672157</v>
      </c>
      <c r="DG8">
        <v>6.6292644900000003E-2</v>
      </c>
      <c r="DH8">
        <v>0.1139561535</v>
      </c>
      <c r="DI8">
        <v>0.48058499830000001</v>
      </c>
      <c r="DJ8">
        <v>2.311871075</v>
      </c>
      <c r="DK8">
        <v>0.4609446176</v>
      </c>
      <c r="DL8">
        <v>1.396400973</v>
      </c>
      <c r="DM8">
        <v>3.7917399359999999</v>
      </c>
      <c r="DN8">
        <v>13.87998003</v>
      </c>
      <c r="DO8">
        <v>7.8870127490000002</v>
      </c>
      <c r="DP8">
        <v>0.35382574080000001</v>
      </c>
      <c r="DQ8">
        <v>47.279964620000001</v>
      </c>
      <c r="DR8">
        <v>1.0828252819999999</v>
      </c>
      <c r="DS8">
        <v>0.2104550184</v>
      </c>
      <c r="DT8">
        <v>0.64470646880000004</v>
      </c>
      <c r="DU8">
        <v>1.7375114110000001</v>
      </c>
      <c r="DV8">
        <v>46.952900040000003</v>
      </c>
      <c r="DW8">
        <v>12.090266590000001</v>
      </c>
      <c r="DX8">
        <v>20.807973690000001</v>
      </c>
      <c r="DY8">
        <v>87.753049720000007</v>
      </c>
      <c r="DZ8">
        <v>0.91035985829999999</v>
      </c>
      <c r="EA8">
        <v>0.20562735700000001</v>
      </c>
      <c r="EB8">
        <v>0.5097963781</v>
      </c>
      <c r="EC8">
        <v>1.608570469</v>
      </c>
      <c r="ED8">
        <v>0.89530767099999997</v>
      </c>
      <c r="EE8">
        <v>0.1633223033</v>
      </c>
      <c r="EF8">
        <v>0.59004405049999997</v>
      </c>
      <c r="EG8">
        <v>1.5178369599999999</v>
      </c>
      <c r="EH8">
        <v>1.8056675289999999</v>
      </c>
      <c r="EI8">
        <v>0.34305245439999998</v>
      </c>
      <c r="EJ8">
        <v>1.0998404289999999</v>
      </c>
      <c r="EK8">
        <v>3.1264074289999999</v>
      </c>
      <c r="EL8">
        <v>0.80227740329999997</v>
      </c>
      <c r="EM8">
        <v>0.1624235654</v>
      </c>
      <c r="EN8">
        <v>0.49765384509999999</v>
      </c>
      <c r="EO8">
        <v>1.46255841</v>
      </c>
      <c r="EP8">
        <v>3.0835648419999999</v>
      </c>
      <c r="EQ8">
        <v>0.86445190220000001</v>
      </c>
      <c r="ER8">
        <v>1.698885</v>
      </c>
      <c r="ES8">
        <v>6.3726609999999999</v>
      </c>
      <c r="ET8">
        <v>0.25172520590000003</v>
      </c>
      <c r="EU8">
        <v>4.2686856519999997E-2</v>
      </c>
      <c r="EV8">
        <v>0.17217979959999999</v>
      </c>
      <c r="EW8">
        <v>0.44224977209999999</v>
      </c>
      <c r="EX8">
        <v>0.32637455780000002</v>
      </c>
      <c r="EY8">
        <v>5.5956511930000001E-2</v>
      </c>
      <c r="EZ8">
        <v>0.21639985249999999</v>
      </c>
      <c r="FA8">
        <v>0.60075284890000002</v>
      </c>
      <c r="FB8">
        <v>5.7472861399999998E-2</v>
      </c>
      <c r="FC8">
        <v>0.2328203918</v>
      </c>
      <c r="FD8">
        <v>-0.71408272279999996</v>
      </c>
      <c r="FE8">
        <v>0.66973965270000002</v>
      </c>
      <c r="FF8">
        <v>3.721671572</v>
      </c>
      <c r="FG8">
        <v>0.83036760759999995</v>
      </c>
      <c r="FH8">
        <v>2.6229749230000001</v>
      </c>
      <c r="FI8">
        <v>6.5555919410000003</v>
      </c>
      <c r="FJ8">
        <v>1.5924129060000001</v>
      </c>
      <c r="FK8">
        <v>0.56928442710000005</v>
      </c>
      <c r="FL8">
        <v>0.7663867097</v>
      </c>
      <c r="FM8">
        <v>3.2938293949999999</v>
      </c>
      <c r="FN8">
        <v>1.4900316250000001</v>
      </c>
      <c r="FO8">
        <v>0.4582598799</v>
      </c>
      <c r="FP8">
        <v>0.76922234150000002</v>
      </c>
      <c r="FQ8">
        <v>3.11130796</v>
      </c>
      <c r="FR8">
        <v>2.9270091630000001</v>
      </c>
      <c r="FS8">
        <v>0.8142751385</v>
      </c>
      <c r="FT8">
        <v>1.608924</v>
      </c>
      <c r="FU8">
        <v>5.0427860000000004</v>
      </c>
      <c r="FV8">
        <v>2.0120341740000001</v>
      </c>
      <c r="FW8">
        <v>0.49309777049999998</v>
      </c>
      <c r="FX8">
        <v>1.2206459999999999</v>
      </c>
      <c r="FY8">
        <v>4.3584610000000001</v>
      </c>
      <c r="FZ8">
        <v>0.1028606836</v>
      </c>
      <c r="GA8">
        <v>1.5998808060000001E-2</v>
      </c>
      <c r="GB8">
        <v>6.8137499759999998E-2</v>
      </c>
      <c r="GC8">
        <v>0.17215499940000001</v>
      </c>
      <c r="GD8">
        <v>2.1905333090000001</v>
      </c>
      <c r="GE8">
        <v>0.48384737509999998</v>
      </c>
      <c r="GF8">
        <v>1.297867632</v>
      </c>
      <c r="GG8">
        <v>4.0321077040000004</v>
      </c>
      <c r="GH8">
        <v>18.833595280000001</v>
      </c>
      <c r="GI8">
        <v>22.102609430000001</v>
      </c>
      <c r="GJ8">
        <v>7.3873430190000006E-2</v>
      </c>
      <c r="GK8">
        <v>88.204875650000005</v>
      </c>
      <c r="GL8">
        <v>0.483051489</v>
      </c>
      <c r="GM8">
        <v>8.4200473799999995E-2</v>
      </c>
      <c r="GN8">
        <v>0.33004714460000001</v>
      </c>
      <c r="GO8">
        <v>0.756600622</v>
      </c>
      <c r="GP8">
        <v>8.1387000280000006</v>
      </c>
      <c r="GQ8">
        <v>1.947252177</v>
      </c>
      <c r="GR8">
        <v>2.3885742429999999</v>
      </c>
      <c r="GS8">
        <v>12.67281244</v>
      </c>
      <c r="GT8">
        <v>99.481752090000001</v>
      </c>
      <c r="GU8">
        <v>14.97927016</v>
      </c>
      <c r="GV8">
        <v>58.087189070000001</v>
      </c>
      <c r="GW8">
        <v>146.76206250000001</v>
      </c>
      <c r="GX8">
        <v>0.84683763879999996</v>
      </c>
      <c r="GY8">
        <v>0.15371034119999999</v>
      </c>
      <c r="GZ8">
        <v>0.5097963781</v>
      </c>
      <c r="HA8">
        <v>1.3141657200000001</v>
      </c>
      <c r="HB8">
        <v>0.83448878520000003</v>
      </c>
      <c r="HC8">
        <v>0.1180381475</v>
      </c>
      <c r="HD8">
        <v>0.59004405049999997</v>
      </c>
      <c r="HE8">
        <v>1.14393397</v>
      </c>
      <c r="HF8">
        <v>1.6813264240000001</v>
      </c>
      <c r="HG8">
        <v>0.2452366218</v>
      </c>
      <c r="HH8">
        <v>1.0998404289999999</v>
      </c>
      <c r="HI8">
        <v>2.3458964290000002</v>
      </c>
      <c r="HJ8">
        <v>0.74522903370000004</v>
      </c>
      <c r="HK8">
        <v>0.12386229949999999</v>
      </c>
      <c r="HL8">
        <v>0.49765384509999999</v>
      </c>
      <c r="HM8">
        <v>1.174625056</v>
      </c>
      <c r="HN8">
        <v>2.6512579949999999</v>
      </c>
      <c r="HO8">
        <v>0.52610694560000004</v>
      </c>
      <c r="HP8">
        <v>1.698885</v>
      </c>
      <c r="HQ8">
        <v>4.2592910000000002</v>
      </c>
      <c r="HR8">
        <v>0.24635738269999999</v>
      </c>
      <c r="HS8">
        <v>3.8208250309999997E-2</v>
      </c>
      <c r="HT8">
        <v>0.17217979959999999</v>
      </c>
      <c r="HU8">
        <v>0.37850428079999998</v>
      </c>
      <c r="HV8">
        <v>0.31525363839999998</v>
      </c>
      <c r="HW8">
        <v>4.706111416E-2</v>
      </c>
      <c r="HX8">
        <v>0.21639985249999999</v>
      </c>
      <c r="HY8">
        <v>0.48412240940000001</v>
      </c>
      <c r="HZ8">
        <v>5.6775794290000001E-2</v>
      </c>
      <c r="IA8">
        <v>0.21577943290000001</v>
      </c>
      <c r="IB8">
        <v>-0.61710675950000005</v>
      </c>
      <c r="IC8">
        <v>0.61931754059999999</v>
      </c>
      <c r="ID8">
        <v>3.4055391930000001</v>
      </c>
      <c r="IE8">
        <v>0.59349943510000003</v>
      </c>
      <c r="IF8">
        <v>2.5613022139999999</v>
      </c>
      <c r="IG8">
        <v>6.5243253120000002</v>
      </c>
      <c r="IH8">
        <v>1.335704531</v>
      </c>
      <c r="II8">
        <v>0.35321854699999999</v>
      </c>
      <c r="IJ8">
        <v>0.7663867097</v>
      </c>
      <c r="IK8">
        <v>3.0372986399999999</v>
      </c>
      <c r="IL8">
        <v>1.3144333159999999</v>
      </c>
      <c r="IM8">
        <v>0.31595196399999997</v>
      </c>
      <c r="IN8">
        <v>0.76918234549999998</v>
      </c>
      <c r="IO8">
        <v>2.247360102</v>
      </c>
      <c r="IP8">
        <v>2.5120354680000001</v>
      </c>
      <c r="IQ8">
        <v>0.48107296510000003</v>
      </c>
      <c r="IR8">
        <v>1.60897</v>
      </c>
      <c r="IS8">
        <v>3.9083100000000002</v>
      </c>
      <c r="IT8">
        <v>1.9114469949999999</v>
      </c>
      <c r="IU8">
        <v>0.36189962710000001</v>
      </c>
      <c r="IV8">
        <v>1.2206459999999999</v>
      </c>
      <c r="IW8">
        <v>3.4588040000000002</v>
      </c>
      <c r="IX8">
        <v>9.6633624979999999E-2</v>
      </c>
      <c r="IY8">
        <v>1.3464789560000001E-2</v>
      </c>
      <c r="IZ8">
        <v>6.8137499759999998E-2</v>
      </c>
      <c r="JA8">
        <v>0.1620282347</v>
      </c>
      <c r="JB8">
        <v>2.1439497279999999</v>
      </c>
      <c r="JC8">
        <v>0.41861299619999998</v>
      </c>
      <c r="JD8">
        <v>1.297867632</v>
      </c>
      <c r="JE8">
        <v>3.6187232950000001</v>
      </c>
      <c r="JF8">
        <v>24.558674419999999</v>
      </c>
      <c r="JG8">
        <v>22.36515335</v>
      </c>
      <c r="JH8">
        <v>7.3873430190000006E-2</v>
      </c>
      <c r="JI8">
        <v>88.204875650000005</v>
      </c>
      <c r="JJ8">
        <v>0.47979219239999998</v>
      </c>
      <c r="JK8">
        <v>8.105444446E-2</v>
      </c>
      <c r="JL8">
        <v>0.33004714460000001</v>
      </c>
      <c r="JM8">
        <v>0.75522228960000004</v>
      </c>
      <c r="JN8">
        <v>8.9924153790000005</v>
      </c>
      <c r="JO8">
        <v>1.7374595500000001</v>
      </c>
      <c r="JP8">
        <v>3.856322767</v>
      </c>
      <c r="JQ8">
        <v>13.34646639</v>
      </c>
      <c r="JR8">
        <v>105.3840814</v>
      </c>
      <c r="JS8">
        <v>14.002707729999999</v>
      </c>
      <c r="JT8">
        <v>61.717638389999998</v>
      </c>
      <c r="JU8">
        <v>146.76206250000001</v>
      </c>
      <c r="JV8">
        <v>0.97464990799999995</v>
      </c>
      <c r="JW8">
        <v>0.21661702520000001</v>
      </c>
      <c r="JX8">
        <v>0.56254834119999997</v>
      </c>
      <c r="JY8">
        <v>1.7022784520000001</v>
      </c>
      <c r="JZ8">
        <v>0.77229506039999996</v>
      </c>
      <c r="KA8">
        <v>0.2032926951</v>
      </c>
      <c r="KB8">
        <v>0.36806503940000002</v>
      </c>
      <c r="KC8">
        <v>1.2770227489999999</v>
      </c>
      <c r="KD8">
        <v>1.746944968</v>
      </c>
      <c r="KE8">
        <v>0.3435510007</v>
      </c>
      <c r="KF8">
        <v>0.96168100000000001</v>
      </c>
      <c r="KG8">
        <v>2.7398579999999999</v>
      </c>
      <c r="KH8">
        <v>1.331784952</v>
      </c>
      <c r="KI8">
        <v>0.3811021523</v>
      </c>
      <c r="KJ8">
        <v>0.67427966669999995</v>
      </c>
      <c r="KK8">
        <v>2.4160119999999998</v>
      </c>
      <c r="KL8">
        <v>1.746944968</v>
      </c>
      <c r="KM8">
        <v>0.3435510007</v>
      </c>
      <c r="KN8">
        <v>0.96168100000000001</v>
      </c>
      <c r="KO8">
        <v>2.7398579999999999</v>
      </c>
      <c r="KP8">
        <v>0.40044466470000001</v>
      </c>
      <c r="KQ8">
        <v>9.0041468619999995E-2</v>
      </c>
      <c r="KR8">
        <v>0.1991751765</v>
      </c>
      <c r="KS8">
        <v>0.66531437940000004</v>
      </c>
      <c r="KT8">
        <v>0.47558178309999999</v>
      </c>
      <c r="KU8">
        <v>9.9319917160000007E-2</v>
      </c>
      <c r="KV8">
        <v>0.25365035180000001</v>
      </c>
      <c r="KW8">
        <v>0.77787243939999995</v>
      </c>
      <c r="KX8">
        <v>0.34408668539999998</v>
      </c>
      <c r="KY8">
        <v>0.42115479309999998</v>
      </c>
      <c r="KZ8">
        <v>-0.6417522967</v>
      </c>
      <c r="LA8">
        <v>1.8037081829999999</v>
      </c>
      <c r="LB8">
        <v>2.2976674450000001</v>
      </c>
      <c r="LC8">
        <v>0.63326350689999999</v>
      </c>
      <c r="LD8">
        <v>1.404972423</v>
      </c>
      <c r="LE8">
        <v>5.5817953019999997</v>
      </c>
      <c r="LF8">
        <v>2.5050809730000001</v>
      </c>
      <c r="LG8">
        <v>0.94859765519999995</v>
      </c>
      <c r="LH8">
        <v>0.48851999829999998</v>
      </c>
      <c r="LI8">
        <v>5.1625799819999996</v>
      </c>
      <c r="LJ8">
        <v>7.8349006129999996E-2</v>
      </c>
      <c r="LK8">
        <v>1.3599997189999999E-2</v>
      </c>
      <c r="LL8">
        <v>4.5011608840000002E-2</v>
      </c>
      <c r="LM8">
        <v>0.1149015204</v>
      </c>
      <c r="LN8">
        <v>49.787868660000001</v>
      </c>
      <c r="LO8">
        <v>17.000925930000001</v>
      </c>
      <c r="LP8">
        <v>13.135780629999999</v>
      </c>
      <c r="LQ8">
        <v>100</v>
      </c>
      <c r="LR8">
        <v>0.90330351230000006</v>
      </c>
      <c r="LS8">
        <v>0.23633858690000001</v>
      </c>
      <c r="LT8">
        <v>0.4007852032</v>
      </c>
      <c r="LU8">
        <v>1.539352413</v>
      </c>
      <c r="LV8">
        <v>21.79157043</v>
      </c>
      <c r="LW8">
        <v>5.1305511380000004</v>
      </c>
      <c r="LX8">
        <v>10.50420168</v>
      </c>
      <c r="LY8">
        <v>38.014153030000003</v>
      </c>
      <c r="LZ8">
        <v>4.7366769360000003</v>
      </c>
      <c r="MA8">
        <v>2.449161937</v>
      </c>
      <c r="MB8">
        <v>1.9370159950000001</v>
      </c>
      <c r="MC8">
        <v>20.469991060000002</v>
      </c>
      <c r="MD8">
        <v>0.9549181216</v>
      </c>
      <c r="ME8">
        <v>0.19387950919999999</v>
      </c>
      <c r="MF8">
        <v>0.56254834119999997</v>
      </c>
      <c r="MG8">
        <v>1.5320058240000001</v>
      </c>
      <c r="MH8">
        <v>0.74924959940000002</v>
      </c>
      <c r="MI8">
        <v>0.18767234669999999</v>
      </c>
      <c r="MJ8">
        <v>0.36852690469999999</v>
      </c>
      <c r="MK8">
        <v>1.2453536810000001</v>
      </c>
      <c r="ML8">
        <v>1.7041677209999999</v>
      </c>
      <c r="MM8">
        <v>0.30484955479999998</v>
      </c>
      <c r="MN8">
        <v>0.96168100000000001</v>
      </c>
      <c r="MO8">
        <v>2.6178970000000001</v>
      </c>
      <c r="MP8">
        <v>1.323948042</v>
      </c>
      <c r="MQ8">
        <v>0.37823323330000003</v>
      </c>
      <c r="MR8">
        <v>0.67428633329999998</v>
      </c>
      <c r="MS8">
        <v>2.3284220000000002</v>
      </c>
      <c r="MT8">
        <v>1.7041677209999999</v>
      </c>
      <c r="MU8">
        <v>0.30484955479999998</v>
      </c>
      <c r="MV8">
        <v>0.96168100000000001</v>
      </c>
      <c r="MW8">
        <v>2.6178970000000001</v>
      </c>
      <c r="MX8">
        <v>0.39570908789999998</v>
      </c>
      <c r="MY8">
        <v>8.6807133920000001E-2</v>
      </c>
      <c r="MZ8">
        <v>0.2009496197</v>
      </c>
      <c r="NA8">
        <v>0.6540915558</v>
      </c>
      <c r="NB8">
        <v>0.46885926430000002</v>
      </c>
      <c r="NC8">
        <v>9.4027057799999994E-2</v>
      </c>
      <c r="ND8">
        <v>0.25552578819999999</v>
      </c>
      <c r="NE8">
        <v>0.76394171649999998</v>
      </c>
      <c r="NF8">
        <v>0.35150119369999999</v>
      </c>
      <c r="NG8">
        <v>0.41995246609999998</v>
      </c>
      <c r="NH8">
        <v>-0.64815763459999998</v>
      </c>
      <c r="NI8">
        <v>1.7923592660000001</v>
      </c>
      <c r="NJ8">
        <v>2.275322568</v>
      </c>
      <c r="NK8">
        <v>0.62970171360000005</v>
      </c>
      <c r="NL8">
        <v>1.408184535</v>
      </c>
      <c r="NM8">
        <v>5.5277273899999999</v>
      </c>
      <c r="NN8">
        <v>2.548730967</v>
      </c>
      <c r="NO8">
        <v>0.93599299400000002</v>
      </c>
      <c r="NP8">
        <v>0.48851999829999998</v>
      </c>
      <c r="NQ8">
        <v>5.1639599819999997</v>
      </c>
      <c r="NR8">
        <v>7.7225296789999995E-2</v>
      </c>
      <c r="NS8">
        <v>1.275601558E-2</v>
      </c>
      <c r="NT8">
        <v>4.5011608840000002E-2</v>
      </c>
      <c r="NU8">
        <v>0.1083763876</v>
      </c>
      <c r="NV8">
        <v>50.71391852</v>
      </c>
      <c r="NW8">
        <v>16.462126359999999</v>
      </c>
      <c r="NX8">
        <v>13.268465279999999</v>
      </c>
      <c r="NY8">
        <v>100</v>
      </c>
      <c r="NZ8">
        <v>0.89631467610000004</v>
      </c>
      <c r="OA8">
        <v>0.23314797139999999</v>
      </c>
      <c r="OB8">
        <v>0.39710367540000002</v>
      </c>
      <c r="OC8">
        <v>1.5289354550000001</v>
      </c>
      <c r="OD8">
        <v>22.116079209999999</v>
      </c>
      <c r="OE8">
        <v>5.1978283830000001</v>
      </c>
      <c r="OF8">
        <v>10.5484299</v>
      </c>
      <c r="OG8">
        <v>37.704555509999999</v>
      </c>
      <c r="OH8">
        <v>4.5659353459999998</v>
      </c>
      <c r="OI8">
        <v>2.1587375999999998</v>
      </c>
      <c r="OJ8">
        <v>1.936498353</v>
      </c>
      <c r="OK8">
        <v>20.469991060000002</v>
      </c>
      <c r="OL8">
        <v>0.63388020160000003</v>
      </c>
      <c r="OM8">
        <v>0.41177133980000002</v>
      </c>
      <c r="ON8">
        <v>3.1753527529999999</v>
      </c>
      <c r="OO8">
        <v>3.2907459999999999</v>
      </c>
      <c r="OP8">
        <v>2.7343890000000002</v>
      </c>
      <c r="OQ8">
        <v>6.0251349999999997</v>
      </c>
      <c r="OR8">
        <v>0.51009534320000005</v>
      </c>
      <c r="OS8" s="2">
        <v>3.3938335720000003E-5</v>
      </c>
      <c r="OT8">
        <v>8.943406848E-4</v>
      </c>
      <c r="OU8" s="2">
        <v>3.3938335720000003E-5</v>
      </c>
      <c r="OV8">
        <v>5.5929651079999999E-4</v>
      </c>
      <c r="OW8">
        <v>8.405794892E-4</v>
      </c>
      <c r="OX8" s="2">
        <v>5.3761195619999998E-5</v>
      </c>
      <c r="OY8">
        <v>1.5568520050000001</v>
      </c>
      <c r="OZ8">
        <v>0.7287579542</v>
      </c>
      <c r="PA8">
        <v>0.46615392360000002</v>
      </c>
      <c r="PB8">
        <v>14.426978310000001</v>
      </c>
      <c r="PC8">
        <v>93.508358509999994</v>
      </c>
      <c r="PD8">
        <v>0.6194695214</v>
      </c>
      <c r="PE8">
        <v>0.387863923</v>
      </c>
      <c r="PF8">
        <v>2.7533822090000002</v>
      </c>
      <c r="PG8">
        <v>2.5076670000000001</v>
      </c>
      <c r="PH8">
        <v>2.01078</v>
      </c>
      <c r="PI8">
        <v>4.5184470000000001</v>
      </c>
      <c r="PJ8">
        <v>0.504355369</v>
      </c>
      <c r="PK8" s="2">
        <v>3.1148672450000001E-5</v>
      </c>
      <c r="PL8">
        <v>8.9094232500000004E-4</v>
      </c>
      <c r="PM8" s="2">
        <v>3.1148672450000001E-5</v>
      </c>
      <c r="PN8">
        <v>5.5919675359999998E-4</v>
      </c>
      <c r="PO8">
        <v>8.4003124639999999E-4</v>
      </c>
      <c r="PP8" s="2">
        <v>5.0911078559999998E-5</v>
      </c>
      <c r="PQ8">
        <v>1.557487713</v>
      </c>
      <c r="PR8">
        <v>0.68940601020000003</v>
      </c>
      <c r="PS8">
        <v>0.38855096700000002</v>
      </c>
      <c r="PT8">
        <v>14.39444348</v>
      </c>
      <c r="PU8">
        <v>93.626056270000007</v>
      </c>
      <c r="PV8">
        <v>1.7543517769999999</v>
      </c>
      <c r="PW8">
        <v>0.75381864539999999</v>
      </c>
      <c r="PX8">
        <v>0.56975986450000005</v>
      </c>
      <c r="PY8">
        <v>12.21726001</v>
      </c>
      <c r="PZ8">
        <v>91.573587750000002</v>
      </c>
      <c r="QA8">
        <v>1.7540224790000001</v>
      </c>
      <c r="QB8">
        <v>0.70635411889999999</v>
      </c>
      <c r="QC8">
        <v>0.50185549860000001</v>
      </c>
      <c r="QD8">
        <v>12.21577168</v>
      </c>
      <c r="QE8">
        <v>91.611339889999996</v>
      </c>
      <c r="QF8" s="2">
        <v>3.6202914650000002E-5</v>
      </c>
      <c r="QG8">
        <v>6.196955124E-4</v>
      </c>
      <c r="QH8">
        <v>8.9306948760000001E-4</v>
      </c>
      <c r="QI8" s="2">
        <v>6.9105681390000003E-5</v>
      </c>
      <c r="QJ8" s="2">
        <v>3.3340494749999998E-5</v>
      </c>
      <c r="QK8">
        <v>6.1940368849999999E-4</v>
      </c>
      <c r="QL8">
        <v>8.9258731149999997E-4</v>
      </c>
      <c r="QM8" s="2">
        <v>6.6105600979999996E-5</v>
      </c>
      <c r="QN8">
        <v>9.0403119309999997</v>
      </c>
      <c r="QO8">
        <v>179.99448219999999</v>
      </c>
      <c r="QP8">
        <v>6.7281583219999996</v>
      </c>
      <c r="QQ8">
        <v>174.27874209999999</v>
      </c>
      <c r="QR8">
        <v>9.0225005629999995</v>
      </c>
      <c r="QS8">
        <v>179.99568679999999</v>
      </c>
      <c r="QT8">
        <v>6.7265460140000002</v>
      </c>
      <c r="QU8">
        <v>174.28248439999999</v>
      </c>
    </row>
    <row r="9" spans="1:463" x14ac:dyDescent="0.2">
      <c r="A9" t="s">
        <v>279</v>
      </c>
      <c r="B9" s="2">
        <v>7.7100513110000002E-12</v>
      </c>
      <c r="C9" s="2">
        <v>1.3682859039999999E-11</v>
      </c>
      <c r="D9">
        <v>1.2435731909999999E-2</v>
      </c>
      <c r="E9">
        <v>6.2788067569999995E-2</v>
      </c>
      <c r="F9">
        <v>0.49208553020000001</v>
      </c>
      <c r="G9">
        <v>3.8200759440000003E-2</v>
      </c>
      <c r="H9">
        <v>0.1928758099</v>
      </c>
      <c r="I9">
        <v>1.5116151659999999</v>
      </c>
      <c r="J9">
        <v>32.541189109999998</v>
      </c>
      <c r="K9">
        <v>32.553624839999998</v>
      </c>
      <c r="L9">
        <v>32.553624839999998</v>
      </c>
      <c r="M9">
        <v>32.553624839999998</v>
      </c>
      <c r="N9">
        <v>32.490836770000001</v>
      </c>
      <c r="O9">
        <v>32.553624839999998</v>
      </c>
      <c r="P9">
        <v>32.061539310000001</v>
      </c>
      <c r="Q9">
        <v>32.553624839999998</v>
      </c>
      <c r="R9">
        <v>2.2687467529999998</v>
      </c>
      <c r="S9">
        <v>0.47036563250000002</v>
      </c>
      <c r="T9">
        <v>1.157800784</v>
      </c>
      <c r="U9">
        <v>3.2998079009999999</v>
      </c>
      <c r="V9">
        <v>2.1552012519999999</v>
      </c>
      <c r="W9">
        <v>0.46583593610000001</v>
      </c>
      <c r="X9">
        <v>1.2628134790000001</v>
      </c>
      <c r="Y9">
        <v>3.1890754889999999</v>
      </c>
      <c r="Z9">
        <v>4.4239480049999997</v>
      </c>
      <c r="AA9">
        <v>0.78058708909999996</v>
      </c>
      <c r="AB9">
        <v>2.6515580000000001</v>
      </c>
      <c r="AC9">
        <v>5.9628740000000002</v>
      </c>
      <c r="AD9">
        <v>1.391071661</v>
      </c>
      <c r="AE9">
        <v>0.27900089979999998</v>
      </c>
      <c r="AF9">
        <v>0.87455091429999998</v>
      </c>
      <c r="AG9">
        <v>2.1212359329999999</v>
      </c>
      <c r="AH9">
        <v>4.4239480049999997</v>
      </c>
      <c r="AI9">
        <v>0.78058708909999996</v>
      </c>
      <c r="AJ9">
        <v>2.6515580000000001</v>
      </c>
      <c r="AK9">
        <v>5.9628740000000002</v>
      </c>
      <c r="AL9">
        <v>0.55347313099999995</v>
      </c>
      <c r="AM9">
        <v>0.10495352149999999</v>
      </c>
      <c r="AN9">
        <v>0.36808841339999998</v>
      </c>
      <c r="AO9">
        <v>0.93455199109999998</v>
      </c>
      <c r="AP9">
        <v>0.68941627380000003</v>
      </c>
      <c r="AQ9">
        <v>0.12568872019999999</v>
      </c>
      <c r="AR9">
        <v>0.45844330750000001</v>
      </c>
      <c r="AS9">
        <v>1.1803249259999999</v>
      </c>
      <c r="AT9">
        <v>0.31107088820000001</v>
      </c>
      <c r="AU9">
        <v>0.27991665469999999</v>
      </c>
      <c r="AV9">
        <v>-0.26715133600000002</v>
      </c>
      <c r="AW9">
        <v>1.022620466</v>
      </c>
      <c r="AX9">
        <v>3.1429272469999998</v>
      </c>
      <c r="AY9">
        <v>0.65144588690000005</v>
      </c>
      <c r="AZ9">
        <v>2.1205911140000002</v>
      </c>
      <c r="BA9">
        <v>6.0775324460000002</v>
      </c>
      <c r="BB9">
        <v>0.2687107252</v>
      </c>
      <c r="BC9">
        <v>6.8200502979999994E-2</v>
      </c>
      <c r="BD9">
        <v>0.15593999950000001</v>
      </c>
      <c r="BE9">
        <v>0.45869076759999999</v>
      </c>
      <c r="BF9">
        <v>2.5174954949999999</v>
      </c>
      <c r="BG9">
        <v>0.68654126559999995</v>
      </c>
      <c r="BH9">
        <v>1.3799909990000001</v>
      </c>
      <c r="BI9">
        <v>4.6874134789999999</v>
      </c>
      <c r="BJ9">
        <v>7.1624379029999998</v>
      </c>
      <c r="BK9">
        <v>7.1337933119999999</v>
      </c>
      <c r="BL9">
        <v>6.6342326399999998E-2</v>
      </c>
      <c r="BM9">
        <v>42.459088899999998</v>
      </c>
      <c r="BN9">
        <v>1.1652756179999999</v>
      </c>
      <c r="BO9">
        <v>0.23787926870000001</v>
      </c>
      <c r="BP9">
        <v>0.68815091500000003</v>
      </c>
      <c r="BQ9">
        <v>1.9053806419999999</v>
      </c>
      <c r="BR9">
        <v>39.431104990000001</v>
      </c>
      <c r="BS9">
        <v>9.0787435439999999</v>
      </c>
      <c r="BT9">
        <v>21.80118002</v>
      </c>
      <c r="BU9">
        <v>64.127228639999998</v>
      </c>
      <c r="BV9">
        <v>1.965626112</v>
      </c>
      <c r="BW9">
        <v>0.29661892299999998</v>
      </c>
      <c r="BX9">
        <v>1.157800784</v>
      </c>
      <c r="BY9">
        <v>2.8991132089999998</v>
      </c>
      <c r="BZ9">
        <v>1.7269638570000001</v>
      </c>
      <c r="CA9">
        <v>0.24714531470000001</v>
      </c>
      <c r="CB9">
        <v>1.0827585500000001</v>
      </c>
      <c r="CC9">
        <v>2.267541107</v>
      </c>
      <c r="CD9">
        <v>3.6925899680000001</v>
      </c>
      <c r="CE9">
        <v>0.31039446640000001</v>
      </c>
      <c r="CF9">
        <v>2.6515580000000001</v>
      </c>
      <c r="CG9">
        <v>4.0632219999999997</v>
      </c>
      <c r="CH9">
        <v>1.2716695950000001</v>
      </c>
      <c r="CI9">
        <v>0.2094173449</v>
      </c>
      <c r="CJ9">
        <v>0.845470587</v>
      </c>
      <c r="CK9">
        <v>1.8614728819999999</v>
      </c>
      <c r="CL9">
        <v>3.6925899680000001</v>
      </c>
      <c r="CM9">
        <v>0.31039446640000001</v>
      </c>
      <c r="CN9">
        <v>2.6515580000000001</v>
      </c>
      <c r="CO9">
        <v>4.0632219999999997</v>
      </c>
      <c r="CP9">
        <v>0.54660792039999995</v>
      </c>
      <c r="CQ9">
        <v>9.8494963559999996E-2</v>
      </c>
      <c r="CR9">
        <v>0.36478717719999998</v>
      </c>
      <c r="CS9">
        <v>0.84232858389999998</v>
      </c>
      <c r="CT9">
        <v>0.67396767199999996</v>
      </c>
      <c r="CU9">
        <v>0.111897118</v>
      </c>
      <c r="CV9">
        <v>0.45844330750000001</v>
      </c>
      <c r="CW9">
        <v>1.0083637759999999</v>
      </c>
      <c r="CX9">
        <v>0.3303857369</v>
      </c>
      <c r="CY9">
        <v>0.28108597959999998</v>
      </c>
      <c r="CZ9">
        <v>-0.30534654100000003</v>
      </c>
      <c r="DA9">
        <v>0.98133819749999995</v>
      </c>
      <c r="DB9">
        <v>2.8637342280000002</v>
      </c>
      <c r="DC9">
        <v>0.5018070214</v>
      </c>
      <c r="DD9">
        <v>1.9095916180000001</v>
      </c>
      <c r="DE9">
        <v>4.5699814119999997</v>
      </c>
      <c r="DF9">
        <v>0.25143531219999998</v>
      </c>
      <c r="DG9">
        <v>6.4397955529999995E-2</v>
      </c>
      <c r="DH9">
        <v>0.1273586662</v>
      </c>
      <c r="DI9">
        <v>0.45762922919999999</v>
      </c>
      <c r="DJ9">
        <v>2.4173528389999999</v>
      </c>
      <c r="DK9">
        <v>0.55547364420000001</v>
      </c>
      <c r="DL9">
        <v>1.3799909990000001</v>
      </c>
      <c r="DM9">
        <v>4.1377348129999998</v>
      </c>
      <c r="DN9">
        <v>10.787452500000001</v>
      </c>
      <c r="DO9">
        <v>7.0584705190000001</v>
      </c>
      <c r="DP9">
        <v>0.57496682880000005</v>
      </c>
      <c r="DQ9">
        <v>42.459088899999998</v>
      </c>
      <c r="DR9">
        <v>1.164300903</v>
      </c>
      <c r="DS9">
        <v>0.23721076329999999</v>
      </c>
      <c r="DT9">
        <v>0.68786106250000001</v>
      </c>
      <c r="DU9">
        <v>1.9036339019999999</v>
      </c>
      <c r="DV9">
        <v>42.255247480000001</v>
      </c>
      <c r="DW9">
        <v>10.19078777</v>
      </c>
      <c r="DX9">
        <v>21.851751069999999</v>
      </c>
      <c r="DY9">
        <v>78.518410220000007</v>
      </c>
      <c r="DZ9">
        <v>0.97130235200000004</v>
      </c>
      <c r="EA9">
        <v>0.22557530989999999</v>
      </c>
      <c r="EB9">
        <v>0.52633046530000005</v>
      </c>
      <c r="EC9">
        <v>1.7237724569999999</v>
      </c>
      <c r="ED9">
        <v>0.99235169840000004</v>
      </c>
      <c r="EE9">
        <v>0.22225690579999999</v>
      </c>
      <c r="EF9">
        <v>0.63602046140000001</v>
      </c>
      <c r="EG9">
        <v>1.742601914</v>
      </c>
      <c r="EH9">
        <v>1.9636540499999999</v>
      </c>
      <c r="EI9">
        <v>0.41726599749999999</v>
      </c>
      <c r="EJ9">
        <v>1.1908467140000001</v>
      </c>
      <c r="EK9">
        <v>3.4652229999999999</v>
      </c>
      <c r="EL9">
        <v>0.8969991651</v>
      </c>
      <c r="EM9">
        <v>0.22790453399999999</v>
      </c>
      <c r="EN9">
        <v>0.52353447689999999</v>
      </c>
      <c r="EO9">
        <v>1.717386031</v>
      </c>
      <c r="EP9">
        <v>3.4738165529999998</v>
      </c>
      <c r="EQ9">
        <v>1.00180834</v>
      </c>
      <c r="ER9">
        <v>1.740615</v>
      </c>
      <c r="ES9">
        <v>6.9354550000000001</v>
      </c>
      <c r="ET9">
        <v>0.27420005809999998</v>
      </c>
      <c r="EU9">
        <v>5.5164245350000002E-2</v>
      </c>
      <c r="EV9">
        <v>0.18361522199999999</v>
      </c>
      <c r="EW9">
        <v>0.51747612009999999</v>
      </c>
      <c r="EX9">
        <v>0.35571400920000001</v>
      </c>
      <c r="EY9">
        <v>7.090949681E-2</v>
      </c>
      <c r="EZ9">
        <v>0.2314827777</v>
      </c>
      <c r="FA9">
        <v>0.69452262600000003</v>
      </c>
      <c r="FB9">
        <v>3.7556985309999999E-2</v>
      </c>
      <c r="FC9">
        <v>0.26277933479999999</v>
      </c>
      <c r="FD9">
        <v>-0.8758066685</v>
      </c>
      <c r="FE9">
        <v>0.88425501900000003</v>
      </c>
      <c r="FF9">
        <v>3.8469544199999999</v>
      </c>
      <c r="FG9">
        <v>1.053159271</v>
      </c>
      <c r="FH9">
        <v>2.655824408</v>
      </c>
      <c r="FI9">
        <v>10.70901113</v>
      </c>
      <c r="FJ9">
        <v>1.7343511599999999</v>
      </c>
      <c r="FK9">
        <v>0.63469186119999998</v>
      </c>
      <c r="FL9">
        <v>0.69498903670000001</v>
      </c>
      <c r="FM9">
        <v>4.0266987539999999</v>
      </c>
      <c r="FN9">
        <v>1.7386988029999999</v>
      </c>
      <c r="FO9">
        <v>0.57243038850000005</v>
      </c>
      <c r="FP9">
        <v>0.86966716150000001</v>
      </c>
      <c r="FQ9">
        <v>3.5934369140000002</v>
      </c>
      <c r="FR9">
        <v>3.2852603579999999</v>
      </c>
      <c r="FS9">
        <v>0.97530993509999997</v>
      </c>
      <c r="FT9">
        <v>1.7046239999999999</v>
      </c>
      <c r="FU9">
        <v>5.6523399999999997</v>
      </c>
      <c r="FV9">
        <v>2.259978684</v>
      </c>
      <c r="FW9">
        <v>0.6311799333</v>
      </c>
      <c r="FX9">
        <v>1.1177330000000001</v>
      </c>
      <c r="FY9">
        <v>5.2460820000000004</v>
      </c>
      <c r="FZ9">
        <v>0.11611222440000001</v>
      </c>
      <c r="GA9">
        <v>2.1663698129999999E-2</v>
      </c>
      <c r="GB9">
        <v>7.2369350400000004E-2</v>
      </c>
      <c r="GC9">
        <v>0.20464888819999999</v>
      </c>
      <c r="GD9">
        <v>2.2799003240000002</v>
      </c>
      <c r="GE9">
        <v>0.56833671200000002</v>
      </c>
      <c r="GF9">
        <v>1.272100148</v>
      </c>
      <c r="GG9">
        <v>4.2326558270000003</v>
      </c>
      <c r="GH9">
        <v>13.74582792</v>
      </c>
      <c r="GI9">
        <v>17.541844260000001</v>
      </c>
      <c r="GJ9">
        <v>2.4624476730000001E-2</v>
      </c>
      <c r="GK9">
        <v>89.436099479999996</v>
      </c>
      <c r="GL9">
        <v>0.52259754680000003</v>
      </c>
      <c r="GM9">
        <v>0.11067385</v>
      </c>
      <c r="GN9">
        <v>0.33045317149999998</v>
      </c>
      <c r="GO9">
        <v>0.8867271364</v>
      </c>
      <c r="GP9">
        <v>8.3089935300000004</v>
      </c>
      <c r="GQ9">
        <v>2.0135078690000001</v>
      </c>
      <c r="GR9">
        <v>2.2900763359999998</v>
      </c>
      <c r="GS9">
        <v>12.82935238</v>
      </c>
      <c r="GT9">
        <v>89.045795889999994</v>
      </c>
      <c r="GU9">
        <v>16.279799700000002</v>
      </c>
      <c r="GV9">
        <v>48.864179470000003</v>
      </c>
      <c r="GW9">
        <v>138.1800437</v>
      </c>
      <c r="GX9">
        <v>0.91367301840000004</v>
      </c>
      <c r="GY9">
        <v>0.1733045184</v>
      </c>
      <c r="GZ9">
        <v>0.52451016480000001</v>
      </c>
      <c r="HA9">
        <v>1.3241793879999999</v>
      </c>
      <c r="HB9">
        <v>0.90665702969999995</v>
      </c>
      <c r="HC9">
        <v>0.15531614599999999</v>
      </c>
      <c r="HD9">
        <v>0.59100580359999999</v>
      </c>
      <c r="HE9">
        <v>1.452087033</v>
      </c>
      <c r="HF9">
        <v>1.820330048</v>
      </c>
      <c r="HG9">
        <v>0.30309107190000001</v>
      </c>
      <c r="HH9">
        <v>1.1908467140000001</v>
      </c>
      <c r="HI9">
        <v>2.7377727140000001</v>
      </c>
      <c r="HJ9">
        <v>0.82297863699999996</v>
      </c>
      <c r="HK9">
        <v>0.1716762154</v>
      </c>
      <c r="HL9">
        <v>0.52306866149999998</v>
      </c>
      <c r="HM9">
        <v>1.3878828439999999</v>
      </c>
      <c r="HN9">
        <v>2.9526313530000001</v>
      </c>
      <c r="HO9">
        <v>0.6144348543</v>
      </c>
      <c r="HP9">
        <v>1.740615</v>
      </c>
      <c r="HQ9">
        <v>4.6659470000000001</v>
      </c>
      <c r="HR9">
        <v>0.26812303129999998</v>
      </c>
      <c r="HS9">
        <v>4.9325991780000002E-2</v>
      </c>
      <c r="HT9">
        <v>0.18361522199999999</v>
      </c>
      <c r="HU9">
        <v>0.43689536200000001</v>
      </c>
      <c r="HV9">
        <v>0.3431085948</v>
      </c>
      <c r="HW9">
        <v>6.064984348E-2</v>
      </c>
      <c r="HX9">
        <v>0.2314827777</v>
      </c>
      <c r="HY9">
        <v>0.55846133600000003</v>
      </c>
      <c r="HZ9">
        <v>6.3682186089999995E-2</v>
      </c>
      <c r="IA9">
        <v>0.22832721810000001</v>
      </c>
      <c r="IB9">
        <v>-0.64850235820000002</v>
      </c>
      <c r="IC9">
        <v>0.7580647063</v>
      </c>
      <c r="ID9">
        <v>3.4584282059999998</v>
      </c>
      <c r="IE9">
        <v>0.71043347059999995</v>
      </c>
      <c r="IF9">
        <v>2.578664823</v>
      </c>
      <c r="IG9">
        <v>8.5977477600000007</v>
      </c>
      <c r="IH9">
        <v>1.484461295</v>
      </c>
      <c r="II9">
        <v>0.41216053320000001</v>
      </c>
      <c r="IJ9">
        <v>0.6949890219</v>
      </c>
      <c r="IK9">
        <v>3.1069939070000001</v>
      </c>
      <c r="IL9">
        <v>1.4673950680000001</v>
      </c>
      <c r="IM9">
        <v>0.37068477059999999</v>
      </c>
      <c r="IN9">
        <v>0.75863323220000001</v>
      </c>
      <c r="IO9">
        <v>2.612399463</v>
      </c>
      <c r="IP9">
        <v>2.8017718739999999</v>
      </c>
      <c r="IQ9">
        <v>0.58744322500000001</v>
      </c>
      <c r="IR9">
        <v>1.7046239999999999</v>
      </c>
      <c r="IS9">
        <v>4.2225089999999996</v>
      </c>
      <c r="IT9">
        <v>2.1232143159999999</v>
      </c>
      <c r="IU9">
        <v>0.48735943790000003</v>
      </c>
      <c r="IV9">
        <v>1.1177330000000001</v>
      </c>
      <c r="IW9">
        <v>3.9979849999999999</v>
      </c>
      <c r="IX9">
        <v>0.10813334149999999</v>
      </c>
      <c r="IY9">
        <v>1.8187819050000002E-2</v>
      </c>
      <c r="IZ9">
        <v>6.7956585129999997E-2</v>
      </c>
      <c r="JA9">
        <v>0.16463818120000001</v>
      </c>
      <c r="JB9">
        <v>2.2238328279999999</v>
      </c>
      <c r="JC9">
        <v>0.48920600460000002</v>
      </c>
      <c r="JD9">
        <v>1.272100148</v>
      </c>
      <c r="JE9">
        <v>3.7577836279999999</v>
      </c>
      <c r="JF9">
        <v>17.19849799</v>
      </c>
      <c r="JG9">
        <v>17.621229320000001</v>
      </c>
      <c r="JH9">
        <v>4.9248953460000001E-2</v>
      </c>
      <c r="JI9">
        <v>89.386850530000004</v>
      </c>
      <c r="JJ9">
        <v>0.51889084860000001</v>
      </c>
      <c r="JK9">
        <v>0.10573244</v>
      </c>
      <c r="JL9">
        <v>0.33042967639999998</v>
      </c>
      <c r="JM9">
        <v>0.83722659310000003</v>
      </c>
      <c r="JN9">
        <v>9.1471760250000003</v>
      </c>
      <c r="JO9">
        <v>1.819707856</v>
      </c>
      <c r="JP9">
        <v>3.570549126</v>
      </c>
      <c r="JQ9">
        <v>13.22208651</v>
      </c>
      <c r="JR9">
        <v>95.066939779999998</v>
      </c>
      <c r="JS9">
        <v>15.781927700000001</v>
      </c>
      <c r="JT9">
        <v>60.739252120000003</v>
      </c>
      <c r="JU9">
        <v>147.15277380000001</v>
      </c>
      <c r="JV9">
        <v>1.0525042870000001</v>
      </c>
      <c r="JW9">
        <v>0.26251464099999999</v>
      </c>
      <c r="JX9">
        <v>0.52573784430000003</v>
      </c>
      <c r="JY9">
        <v>1.980123944</v>
      </c>
      <c r="JZ9">
        <v>0.83304890269999998</v>
      </c>
      <c r="KA9">
        <v>0.21849063160000001</v>
      </c>
      <c r="KB9">
        <v>0.40807471740000001</v>
      </c>
      <c r="KC9">
        <v>1.784622274</v>
      </c>
      <c r="KD9">
        <v>1.8855531889999999</v>
      </c>
      <c r="KE9">
        <v>0.41010917340000003</v>
      </c>
      <c r="KF9">
        <v>0.943438</v>
      </c>
      <c r="KG9">
        <v>3.1652110000000002</v>
      </c>
      <c r="KH9">
        <v>1.3752694599999999</v>
      </c>
      <c r="KI9">
        <v>0.41958547950000002</v>
      </c>
      <c r="KJ9">
        <v>0.485954</v>
      </c>
      <c r="KK9">
        <v>2.8544839999999998</v>
      </c>
      <c r="KL9">
        <v>1.8855531889999999</v>
      </c>
      <c r="KM9">
        <v>0.41010917340000003</v>
      </c>
      <c r="KN9">
        <v>0.943438</v>
      </c>
      <c r="KO9">
        <v>3.1652110000000002</v>
      </c>
      <c r="KP9">
        <v>0.42990464639999998</v>
      </c>
      <c r="KQ9">
        <v>0.1010929815</v>
      </c>
      <c r="KR9">
        <v>0.19651948890000001</v>
      </c>
      <c r="KS9">
        <v>0.71189177049999997</v>
      </c>
      <c r="KT9">
        <v>0.51013180000000002</v>
      </c>
      <c r="KU9">
        <v>0.11474440969999999</v>
      </c>
      <c r="KV9">
        <v>0.2593992879</v>
      </c>
      <c r="KW9">
        <v>0.84832543400000004</v>
      </c>
      <c r="KX9">
        <v>0.33483179470000002</v>
      </c>
      <c r="KY9">
        <v>0.39257181289999998</v>
      </c>
      <c r="KZ9">
        <v>-0.61952265090000003</v>
      </c>
      <c r="LA9">
        <v>1.6774910679999999</v>
      </c>
      <c r="LB9">
        <v>2.277587875</v>
      </c>
      <c r="LC9">
        <v>0.56274968030000005</v>
      </c>
      <c r="LD9">
        <v>1.433774645</v>
      </c>
      <c r="LE9">
        <v>5.2280213370000004</v>
      </c>
      <c r="LF9">
        <v>2.3426037929999999</v>
      </c>
      <c r="LG9">
        <v>0.87439544719999995</v>
      </c>
      <c r="LH9">
        <v>0.46781999839999999</v>
      </c>
      <c r="LI9">
        <v>4.7885999830000001</v>
      </c>
      <c r="LJ9">
        <v>8.6778235430000003E-2</v>
      </c>
      <c r="LK9">
        <v>1.7585038059999999E-2</v>
      </c>
      <c r="LL9">
        <v>4.852244076E-2</v>
      </c>
      <c r="LM9">
        <v>0.13426051350000001</v>
      </c>
      <c r="LN9">
        <v>45.673917430000003</v>
      </c>
      <c r="LO9">
        <v>17.102546310000001</v>
      </c>
      <c r="LP9">
        <v>12.5608138</v>
      </c>
      <c r="LQ9">
        <v>100</v>
      </c>
      <c r="LR9">
        <v>0.96866581939999996</v>
      </c>
      <c r="LS9">
        <v>0.25685106759999998</v>
      </c>
      <c r="LT9">
        <v>0.3975909138</v>
      </c>
      <c r="LU9">
        <v>1.619078005</v>
      </c>
      <c r="LV9">
        <v>21.535920010000002</v>
      </c>
      <c r="LW9">
        <v>5.2426792689999999</v>
      </c>
      <c r="LX9">
        <v>9.5373001790000007</v>
      </c>
      <c r="LY9">
        <v>37.704555509999999</v>
      </c>
      <c r="LZ9">
        <v>4.9627584300000001</v>
      </c>
      <c r="MA9">
        <v>2.29534679</v>
      </c>
      <c r="MB9">
        <v>2.088293036</v>
      </c>
      <c r="MC9">
        <v>21.375742880000001</v>
      </c>
      <c r="MD9">
        <v>1.0296359719999999</v>
      </c>
      <c r="ME9">
        <v>0.2314367101</v>
      </c>
      <c r="MF9">
        <v>0.53444453380000001</v>
      </c>
      <c r="MG9">
        <v>1.8876604480000001</v>
      </c>
      <c r="MH9">
        <v>0.80930514409999998</v>
      </c>
      <c r="MI9">
        <v>0.19521693109999999</v>
      </c>
      <c r="MJ9">
        <v>0.40807471740000001</v>
      </c>
      <c r="MK9">
        <v>1.297620327</v>
      </c>
      <c r="ML9">
        <v>1.838941116</v>
      </c>
      <c r="MM9">
        <v>0.3554321668</v>
      </c>
      <c r="MN9">
        <v>0.943438</v>
      </c>
      <c r="MO9">
        <v>3.0076550000000002</v>
      </c>
      <c r="MP9">
        <v>1.3585007019999999</v>
      </c>
      <c r="MQ9">
        <v>0.40096951040000001</v>
      </c>
      <c r="MR9">
        <v>0.485954</v>
      </c>
      <c r="MS9">
        <v>2.6106199999999999</v>
      </c>
      <c r="MT9">
        <v>1.838941116</v>
      </c>
      <c r="MU9">
        <v>0.3554321668</v>
      </c>
      <c r="MV9">
        <v>0.943438</v>
      </c>
      <c r="MW9">
        <v>3.0076550000000002</v>
      </c>
      <c r="MX9">
        <v>0.42467523099999999</v>
      </c>
      <c r="MY9">
        <v>9.6711851249999994E-2</v>
      </c>
      <c r="MZ9">
        <v>0.19755951090000001</v>
      </c>
      <c r="NA9">
        <v>0.70118005729999999</v>
      </c>
      <c r="NB9">
        <v>0.50255024199999998</v>
      </c>
      <c r="NC9">
        <v>0.1072643028</v>
      </c>
      <c r="ND9">
        <v>0.2600389582</v>
      </c>
      <c r="NE9">
        <v>0.83538420319999995</v>
      </c>
      <c r="NF9">
        <v>0.34161815899999998</v>
      </c>
      <c r="NG9">
        <v>0.38762455480000002</v>
      </c>
      <c r="NH9">
        <v>-0.64222160979999998</v>
      </c>
      <c r="NI9">
        <v>1.6760636339999999</v>
      </c>
      <c r="NJ9">
        <v>2.2527389850000001</v>
      </c>
      <c r="NK9">
        <v>0.55204311139999995</v>
      </c>
      <c r="NL9">
        <v>1.433774645</v>
      </c>
      <c r="NM9">
        <v>5.2222550170000002</v>
      </c>
      <c r="NN9">
        <v>2.3341906350000001</v>
      </c>
      <c r="NO9">
        <v>0.8836945772</v>
      </c>
      <c r="NP9">
        <v>0.46505999840000001</v>
      </c>
      <c r="NQ9">
        <v>4.7885999830000001</v>
      </c>
      <c r="NR9">
        <v>8.5481448060000007E-2</v>
      </c>
      <c r="NS9">
        <v>1.630935754E-2</v>
      </c>
      <c r="NT9">
        <v>4.7886863080000001E-2</v>
      </c>
      <c r="NU9">
        <v>0.12902708169999999</v>
      </c>
      <c r="NV9">
        <v>46.490523940000003</v>
      </c>
      <c r="NW9">
        <v>16.51711104</v>
      </c>
      <c r="NX9">
        <v>14.86068111</v>
      </c>
      <c r="NY9">
        <v>100</v>
      </c>
      <c r="NZ9">
        <v>0.96142868159999995</v>
      </c>
      <c r="OA9">
        <v>0.25229832330000002</v>
      </c>
      <c r="OB9">
        <v>0.40110006240000001</v>
      </c>
      <c r="OC9">
        <v>1.6034725409999999</v>
      </c>
      <c r="OD9">
        <v>21.82783749</v>
      </c>
      <c r="OE9">
        <v>5.1725944359999998</v>
      </c>
      <c r="OF9">
        <v>10.01769129</v>
      </c>
      <c r="OG9">
        <v>37.173816899999998</v>
      </c>
      <c r="OH9">
        <v>5.041783165</v>
      </c>
      <c r="OI9">
        <v>2.533492335</v>
      </c>
      <c r="OJ9">
        <v>2.088293036</v>
      </c>
      <c r="OK9">
        <v>21.502601890000001</v>
      </c>
      <c r="OL9">
        <v>0.68990058659999998</v>
      </c>
      <c r="OM9">
        <v>0.39217912500000002</v>
      </c>
      <c r="ON9">
        <v>3.3898360200000002</v>
      </c>
      <c r="OO9">
        <v>3.432429</v>
      </c>
      <c r="OP9">
        <v>3.255566</v>
      </c>
      <c r="OQ9">
        <v>6.6879949999999999</v>
      </c>
      <c r="OR9">
        <v>0.55040561769999996</v>
      </c>
      <c r="OS9" s="2">
        <v>3.9408485039999999E-5</v>
      </c>
      <c r="OT9">
        <v>9.5398419760000001E-4</v>
      </c>
      <c r="OU9" s="2">
        <v>3.9408485039999999E-5</v>
      </c>
      <c r="OV9">
        <v>5.9887536510000005E-4</v>
      </c>
      <c r="OW9">
        <v>8.9339763489999996E-4</v>
      </c>
      <c r="OX9" s="2">
        <v>6.0586562710000001E-5</v>
      </c>
      <c r="OY9">
        <v>1.692340111</v>
      </c>
      <c r="OZ9">
        <v>0.81940081890000005</v>
      </c>
      <c r="PA9">
        <v>0.56778786179999996</v>
      </c>
      <c r="PB9">
        <v>13.59493968</v>
      </c>
      <c r="PC9">
        <v>93.461100439999996</v>
      </c>
      <c r="PD9">
        <v>0.67289086060000003</v>
      </c>
      <c r="PE9">
        <v>0.39825705290000002</v>
      </c>
      <c r="PF9">
        <v>2.9154182770000001</v>
      </c>
      <c r="PG9">
        <v>2.7339859999999998</v>
      </c>
      <c r="PH9">
        <v>2.2828819999999999</v>
      </c>
      <c r="PI9">
        <v>5.0168679999999997</v>
      </c>
      <c r="PJ9">
        <v>0.54394150019999998</v>
      </c>
      <c r="PK9" s="2">
        <v>3.6555734260000002E-5</v>
      </c>
      <c r="PL9">
        <v>9.500666071E-4</v>
      </c>
      <c r="PM9" s="2">
        <v>3.6555734260000002E-5</v>
      </c>
      <c r="PN9">
        <v>5.9899497939999995E-4</v>
      </c>
      <c r="PO9">
        <v>8.9314902059999999E-4</v>
      </c>
      <c r="PP9" s="2">
        <v>5.6917586439999999E-5</v>
      </c>
      <c r="PQ9">
        <v>1.6914729900000001</v>
      </c>
      <c r="PR9">
        <v>0.77704623640000003</v>
      </c>
      <c r="PS9">
        <v>0.46384604289999998</v>
      </c>
      <c r="PT9">
        <v>13.612876079999999</v>
      </c>
      <c r="PU9">
        <v>93.530600770000007</v>
      </c>
      <c r="PV9">
        <v>1.9112363429999999</v>
      </c>
      <c r="PW9">
        <v>0.84927773500000003</v>
      </c>
      <c r="PX9">
        <v>0.63978982470000001</v>
      </c>
      <c r="PY9">
        <v>11.62893702</v>
      </c>
      <c r="PZ9">
        <v>91.520553960000001</v>
      </c>
      <c r="QA9">
        <v>1.909364359</v>
      </c>
      <c r="QB9">
        <v>0.80008982129999995</v>
      </c>
      <c r="QC9">
        <v>0.55453782510000005</v>
      </c>
      <c r="QD9">
        <v>11.650840130000001</v>
      </c>
      <c r="QE9">
        <v>91.546394050000004</v>
      </c>
      <c r="QF9" s="2">
        <v>4.1565285589999999E-5</v>
      </c>
      <c r="QG9">
        <v>6.6951948139999998E-4</v>
      </c>
      <c r="QH9">
        <v>9.5555451860000003E-4</v>
      </c>
      <c r="QI9" s="2">
        <v>7.6222399769999998E-5</v>
      </c>
      <c r="QJ9" s="2">
        <v>3.8681543990000003E-5</v>
      </c>
      <c r="QK9">
        <v>6.6920877729999999E-4</v>
      </c>
      <c r="QL9">
        <v>9.5519122270000003E-4</v>
      </c>
      <c r="QM9" s="2">
        <v>7.2458190670000001E-5</v>
      </c>
      <c r="QN9">
        <v>9.3228889749999997</v>
      </c>
      <c r="QO9">
        <v>179.9879095</v>
      </c>
      <c r="QP9">
        <v>6.7165218700000002</v>
      </c>
      <c r="QQ9">
        <v>174.27264349999999</v>
      </c>
      <c r="QR9">
        <v>9.2928719960000006</v>
      </c>
      <c r="QS9">
        <v>179.9913397</v>
      </c>
      <c r="QT9">
        <v>6.7148133879999996</v>
      </c>
      <c r="QU9">
        <v>174.27873880000001</v>
      </c>
    </row>
    <row r="10" spans="1:463" x14ac:dyDescent="0.2">
      <c r="A10" t="s">
        <v>280</v>
      </c>
      <c r="B10" s="2">
        <v>1.080304758E-11</v>
      </c>
      <c r="C10" s="2">
        <v>1.3038150870000001E-11</v>
      </c>
      <c r="D10">
        <v>1.2104366320000001E-2</v>
      </c>
      <c r="E10">
        <v>5.3161325629999999E-2</v>
      </c>
      <c r="F10">
        <v>0.42123804190000003</v>
      </c>
      <c r="G10">
        <v>3.7110723489999997E-2</v>
      </c>
      <c r="H10">
        <v>0.1629870746</v>
      </c>
      <c r="I10">
        <v>1.291471861</v>
      </c>
      <c r="J10">
        <v>32.604792260000004</v>
      </c>
      <c r="K10">
        <v>32.616896619999999</v>
      </c>
      <c r="L10">
        <v>32.616896619999999</v>
      </c>
      <c r="M10">
        <v>32.616896619999999</v>
      </c>
      <c r="N10">
        <v>32.563735299999998</v>
      </c>
      <c r="O10">
        <v>32.616896619999999</v>
      </c>
      <c r="P10">
        <v>32.19565858</v>
      </c>
      <c r="Q10">
        <v>32.616896619999999</v>
      </c>
      <c r="R10">
        <v>1.973314622</v>
      </c>
      <c r="S10">
        <v>0.32155423239999997</v>
      </c>
      <c r="T10">
        <v>1.3586604799999999</v>
      </c>
      <c r="U10">
        <v>3.2339448970000002</v>
      </c>
      <c r="V10">
        <v>2.2867811260000002</v>
      </c>
      <c r="W10">
        <v>0.4359639052</v>
      </c>
      <c r="X10">
        <v>1.3604737760000001</v>
      </c>
      <c r="Y10">
        <v>3.3874391359999998</v>
      </c>
      <c r="Z10">
        <v>4.2600957470000003</v>
      </c>
      <c r="AA10">
        <v>0.57287631279999995</v>
      </c>
      <c r="AB10">
        <v>2.900881</v>
      </c>
      <c r="AC10">
        <v>5.6646850000000004</v>
      </c>
      <c r="AD10">
        <v>1.1235425139999999</v>
      </c>
      <c r="AE10">
        <v>0.20786323740000001</v>
      </c>
      <c r="AF10">
        <v>0.75224834210000002</v>
      </c>
      <c r="AG10">
        <v>2.3472</v>
      </c>
      <c r="AH10">
        <v>4.2600957470000003</v>
      </c>
      <c r="AI10">
        <v>0.57287631279999995</v>
      </c>
      <c r="AJ10">
        <v>2.900881</v>
      </c>
      <c r="AK10">
        <v>5.6646850000000004</v>
      </c>
      <c r="AL10">
        <v>0.59150075710000005</v>
      </c>
      <c r="AM10">
        <v>8.3292453830000002E-2</v>
      </c>
      <c r="AN10">
        <v>0.4046144961</v>
      </c>
      <c r="AO10">
        <v>0.86601712139999998</v>
      </c>
      <c r="AP10">
        <v>0.73771695370000001</v>
      </c>
      <c r="AQ10">
        <v>9.8589550420000005E-2</v>
      </c>
      <c r="AR10">
        <v>0.52395070939999999</v>
      </c>
      <c r="AS10">
        <v>1.024539058</v>
      </c>
      <c r="AT10">
        <v>-0.15295396210000001</v>
      </c>
      <c r="AU10">
        <v>0.34694145180000002</v>
      </c>
      <c r="AV10">
        <v>-1.079288845</v>
      </c>
      <c r="AW10">
        <v>0.60104493520000002</v>
      </c>
      <c r="AX10">
        <v>2.9846584950000001</v>
      </c>
      <c r="AY10">
        <v>0.51032711630000005</v>
      </c>
      <c r="AZ10">
        <v>2.0308860910000002</v>
      </c>
      <c r="BA10">
        <v>4.8638431879999997</v>
      </c>
      <c r="BB10">
        <v>0.20668181660000001</v>
      </c>
      <c r="BC10">
        <v>7.8502946650000002E-2</v>
      </c>
      <c r="BD10">
        <v>9.4463225479999996E-2</v>
      </c>
      <c r="BE10">
        <v>0.71720571180000003</v>
      </c>
      <c r="BF10">
        <v>2.2282865780000001</v>
      </c>
      <c r="BG10">
        <v>0.21651039189999999</v>
      </c>
      <c r="BH10">
        <v>1.6952569319999999</v>
      </c>
      <c r="BI10">
        <v>2.8054661649999999</v>
      </c>
      <c r="BJ10">
        <v>11.53828991</v>
      </c>
      <c r="BK10">
        <v>7.1233235700000002</v>
      </c>
      <c r="BL10">
        <v>0.53026955369999995</v>
      </c>
      <c r="BM10">
        <v>36.478990189999998</v>
      </c>
      <c r="BN10">
        <v>1.2595193979999999</v>
      </c>
      <c r="BO10">
        <v>0.19935497590000001</v>
      </c>
      <c r="BP10">
        <v>0.8250518496</v>
      </c>
      <c r="BQ10">
        <v>1.9665438900000001</v>
      </c>
      <c r="BR10">
        <v>53.98360237</v>
      </c>
      <c r="BS10">
        <v>16.835644259999999</v>
      </c>
      <c r="BT10">
        <v>13.94300106</v>
      </c>
      <c r="BU10">
        <v>105.8613016</v>
      </c>
      <c r="BV10">
        <v>1.7502723099999999</v>
      </c>
      <c r="BW10">
        <v>0.2178469733</v>
      </c>
      <c r="BX10">
        <v>1.329362108</v>
      </c>
      <c r="BY10">
        <v>2.4900867739999999</v>
      </c>
      <c r="BZ10">
        <v>2.0488388579999999</v>
      </c>
      <c r="CA10">
        <v>0.26132484700000003</v>
      </c>
      <c r="CB10">
        <v>1.3604737760000001</v>
      </c>
      <c r="CC10">
        <v>2.6105204259999999</v>
      </c>
      <c r="CD10">
        <v>3.799111168</v>
      </c>
      <c r="CE10">
        <v>0.30313816570000002</v>
      </c>
      <c r="CF10">
        <v>2.900881</v>
      </c>
      <c r="CG10">
        <v>4.1566020000000004</v>
      </c>
      <c r="CH10">
        <v>1.0712479130000001</v>
      </c>
      <c r="CI10">
        <v>0.16836767010000001</v>
      </c>
      <c r="CJ10">
        <v>0.75224834210000002</v>
      </c>
      <c r="CK10">
        <v>1.765524214</v>
      </c>
      <c r="CL10">
        <v>3.799111168</v>
      </c>
      <c r="CM10">
        <v>0.30313816570000002</v>
      </c>
      <c r="CN10">
        <v>2.900881</v>
      </c>
      <c r="CO10">
        <v>4.1566020000000004</v>
      </c>
      <c r="CP10">
        <v>0.5874133788</v>
      </c>
      <c r="CQ10">
        <v>8.0361117029999998E-2</v>
      </c>
      <c r="CR10">
        <v>0.40033114380000001</v>
      </c>
      <c r="CS10">
        <v>0.85323202570000001</v>
      </c>
      <c r="CT10">
        <v>0.72793650860000003</v>
      </c>
      <c r="CU10">
        <v>9.1466676459999993E-2</v>
      </c>
      <c r="CV10">
        <v>0.50706917500000004</v>
      </c>
      <c r="CW10">
        <v>0.99938066140000004</v>
      </c>
      <c r="CX10">
        <v>-0.13782389079999999</v>
      </c>
      <c r="CY10">
        <v>0.30286364700000001</v>
      </c>
      <c r="CZ10">
        <v>-0.97089036809999996</v>
      </c>
      <c r="DA10">
        <v>0.55153349490000003</v>
      </c>
      <c r="DB10">
        <v>2.7895270499999998</v>
      </c>
      <c r="DC10">
        <v>0.40094323809999999</v>
      </c>
      <c r="DD10">
        <v>1.976709906</v>
      </c>
      <c r="DE10">
        <v>4.0067554650000003</v>
      </c>
      <c r="DF10">
        <v>0.19798517860000001</v>
      </c>
      <c r="DG10">
        <v>7.2425748809999996E-2</v>
      </c>
      <c r="DH10">
        <v>8.873818151E-2</v>
      </c>
      <c r="DI10">
        <v>0.55782666469999997</v>
      </c>
      <c r="DJ10">
        <v>2.2040989880000001</v>
      </c>
      <c r="DK10">
        <v>0.20417753220000001</v>
      </c>
      <c r="DL10">
        <v>1.6916757309999999</v>
      </c>
      <c r="DM10">
        <v>2.7567194740000001</v>
      </c>
      <c r="DN10">
        <v>17.119118459999999</v>
      </c>
      <c r="DO10">
        <v>6.8974612989999997</v>
      </c>
      <c r="DP10">
        <v>2.1873619089999998</v>
      </c>
      <c r="DQ10">
        <v>36.478664739999999</v>
      </c>
      <c r="DR10">
        <v>1.259485687</v>
      </c>
      <c r="DS10">
        <v>0.1993409958</v>
      </c>
      <c r="DT10">
        <v>0.82498910540000003</v>
      </c>
      <c r="DU10">
        <v>1.9666386600000001</v>
      </c>
      <c r="DV10">
        <v>56.135770809999997</v>
      </c>
      <c r="DW10">
        <v>17.167485209999999</v>
      </c>
      <c r="DX10">
        <v>17.926715649999998</v>
      </c>
      <c r="DY10">
        <v>112.691063</v>
      </c>
      <c r="DZ10">
        <v>0.85697686360000003</v>
      </c>
      <c r="EA10">
        <v>0.12938327799999999</v>
      </c>
      <c r="EB10">
        <v>0.60149331510000004</v>
      </c>
      <c r="EC10">
        <v>1.25340787</v>
      </c>
      <c r="ED10">
        <v>0.94981180180000002</v>
      </c>
      <c r="EE10">
        <v>0.16558480710000001</v>
      </c>
      <c r="EF10">
        <v>0.6554473006</v>
      </c>
      <c r="EG10">
        <v>1.5819705449999999</v>
      </c>
      <c r="EH10">
        <v>1.806788665</v>
      </c>
      <c r="EI10">
        <v>0.26253076349999999</v>
      </c>
      <c r="EJ10">
        <v>1.2741260000000001</v>
      </c>
      <c r="EK10">
        <v>2.6890021430000002</v>
      </c>
      <c r="EL10">
        <v>0.75110112709999999</v>
      </c>
      <c r="EM10">
        <v>0.10119234990000001</v>
      </c>
      <c r="EN10">
        <v>0.56033458439999995</v>
      </c>
      <c r="EO10">
        <v>1.1192980180000001</v>
      </c>
      <c r="EP10">
        <v>2.8347463049999999</v>
      </c>
      <c r="EQ10">
        <v>0.71004031020000002</v>
      </c>
      <c r="ER10">
        <v>1.712561</v>
      </c>
      <c r="ES10">
        <v>5.5785429999999998</v>
      </c>
      <c r="ET10">
        <v>0.27644533510000002</v>
      </c>
      <c r="EU10">
        <v>3.1311875849999997E-2</v>
      </c>
      <c r="EV10">
        <v>0.20122414150000001</v>
      </c>
      <c r="EW10">
        <v>0.37535901269999999</v>
      </c>
      <c r="EX10">
        <v>0.35283358079999999</v>
      </c>
      <c r="EY10">
        <v>4.2924821260000003E-2</v>
      </c>
      <c r="EZ10">
        <v>0.25283663579999999</v>
      </c>
      <c r="FA10">
        <v>0.49171329829999999</v>
      </c>
      <c r="FB10">
        <v>-0.12881546299999999</v>
      </c>
      <c r="FC10">
        <v>0.2162876326</v>
      </c>
      <c r="FD10">
        <v>-0.65776332979999996</v>
      </c>
      <c r="FE10">
        <v>0.43940577510000001</v>
      </c>
      <c r="FF10">
        <v>3.3341758650000002</v>
      </c>
      <c r="FG10">
        <v>0.5652115982</v>
      </c>
      <c r="FH10">
        <v>2.3882155319999998</v>
      </c>
      <c r="FI10">
        <v>6.4357131970000001</v>
      </c>
      <c r="FJ10">
        <v>1.361369767</v>
      </c>
      <c r="FK10">
        <v>0.42281293590000002</v>
      </c>
      <c r="FL10">
        <v>0.79325674369999999</v>
      </c>
      <c r="FM10">
        <v>2.8255311559999998</v>
      </c>
      <c r="FN10">
        <v>1.4733765379999999</v>
      </c>
      <c r="FO10">
        <v>0.39347860410000002</v>
      </c>
      <c r="FP10">
        <v>0.80550178029999997</v>
      </c>
      <c r="FQ10">
        <v>3.0637556269999999</v>
      </c>
      <c r="FR10">
        <v>2.654835684</v>
      </c>
      <c r="FS10">
        <v>0.67200214430000005</v>
      </c>
      <c r="FT10">
        <v>1.5638529999999999</v>
      </c>
      <c r="FU10">
        <v>5.5785429999999998</v>
      </c>
      <c r="FV10">
        <v>2.0980194320000001</v>
      </c>
      <c r="FW10">
        <v>0.65101617730000005</v>
      </c>
      <c r="FX10">
        <v>1.0078549999999999</v>
      </c>
      <c r="FY10">
        <v>5.5785429999999998</v>
      </c>
      <c r="FZ10">
        <v>7.0976488259999998E-2</v>
      </c>
      <c r="GA10">
        <v>1.0660652830000001E-2</v>
      </c>
      <c r="GB10">
        <v>5.0153142679999999E-2</v>
      </c>
      <c r="GC10">
        <v>0.1075836731</v>
      </c>
      <c r="GD10">
        <v>2.1651172339999998</v>
      </c>
      <c r="GE10">
        <v>0.2245169018</v>
      </c>
      <c r="GF10">
        <v>1.6559590500000001</v>
      </c>
      <c r="GG10">
        <v>2.7297007299999998</v>
      </c>
      <c r="GH10">
        <v>27.158437110000001</v>
      </c>
      <c r="GI10">
        <v>21.998553860000001</v>
      </c>
      <c r="GJ10">
        <v>0.1231223836</v>
      </c>
      <c r="GK10">
        <v>79.847593079999996</v>
      </c>
      <c r="GL10">
        <v>0.55077505550000005</v>
      </c>
      <c r="GM10">
        <v>5.962496422E-2</v>
      </c>
      <c r="GN10">
        <v>0.40476175440000001</v>
      </c>
      <c r="GO10">
        <v>0.71509586579999995</v>
      </c>
      <c r="GP10">
        <v>9.1805544549999993</v>
      </c>
      <c r="GQ10">
        <v>2.1048533570000001</v>
      </c>
      <c r="GR10">
        <v>3.299679882</v>
      </c>
      <c r="GS10">
        <v>15.07875071</v>
      </c>
      <c r="GT10">
        <v>143.96026979999999</v>
      </c>
      <c r="GU10">
        <v>20.813063920000001</v>
      </c>
      <c r="GV10">
        <v>92.95090707</v>
      </c>
      <c r="GW10">
        <v>199.3892998</v>
      </c>
      <c r="GX10">
        <v>0.82660509189999998</v>
      </c>
      <c r="GY10">
        <v>0.1151617633</v>
      </c>
      <c r="GZ10">
        <v>0.60149331510000004</v>
      </c>
      <c r="HA10">
        <v>1.225207962</v>
      </c>
      <c r="HB10">
        <v>0.9158375299</v>
      </c>
      <c r="HC10">
        <v>0.14533160580000001</v>
      </c>
      <c r="HD10">
        <v>0.6554473006</v>
      </c>
      <c r="HE10">
        <v>1.4630648939999999</v>
      </c>
      <c r="HF10">
        <v>1.742442622</v>
      </c>
      <c r="HG10">
        <v>0.22543262380000001</v>
      </c>
      <c r="HH10">
        <v>1.2741260000000001</v>
      </c>
      <c r="HI10">
        <v>2.5215645709999999</v>
      </c>
      <c r="HJ10">
        <v>0.73413034560000001</v>
      </c>
      <c r="HK10">
        <v>9.255942834E-2</v>
      </c>
      <c r="HL10">
        <v>0.54420077170000003</v>
      </c>
      <c r="HM10">
        <v>1.0672977800000001</v>
      </c>
      <c r="HN10">
        <v>2.6413510260000002</v>
      </c>
      <c r="HO10">
        <v>0.56343173270000002</v>
      </c>
      <c r="HP10">
        <v>1.7125600000000001</v>
      </c>
      <c r="HQ10">
        <v>4.3669969999999996</v>
      </c>
      <c r="HR10">
        <v>0.273540699</v>
      </c>
      <c r="HS10">
        <v>2.985278349E-2</v>
      </c>
      <c r="HT10">
        <v>0.20122414150000001</v>
      </c>
      <c r="HU10">
        <v>0.366908071</v>
      </c>
      <c r="HV10">
        <v>0.34672801419999999</v>
      </c>
      <c r="HW10">
        <v>3.966322932E-2</v>
      </c>
      <c r="HX10">
        <v>0.25283663579999999</v>
      </c>
      <c r="HY10">
        <v>0.48875074210000002</v>
      </c>
      <c r="HZ10">
        <v>-0.1317276228</v>
      </c>
      <c r="IA10">
        <v>0.20957139650000001</v>
      </c>
      <c r="IB10">
        <v>-0.63749136569999998</v>
      </c>
      <c r="IC10">
        <v>0.42052478989999997</v>
      </c>
      <c r="ID10">
        <v>3.2042885239999999</v>
      </c>
      <c r="IE10">
        <v>0.47329555270000001</v>
      </c>
      <c r="IF10">
        <v>2.3882170509999998</v>
      </c>
      <c r="IG10">
        <v>5.5421856820000004</v>
      </c>
      <c r="IH10">
        <v>1.2696504959999999</v>
      </c>
      <c r="II10">
        <v>0.36074070800000002</v>
      </c>
      <c r="IJ10">
        <v>0.75768337969999999</v>
      </c>
      <c r="IK10">
        <v>2.667648104</v>
      </c>
      <c r="IL10">
        <v>1.37170053</v>
      </c>
      <c r="IM10">
        <v>0.32925524940000001</v>
      </c>
      <c r="IN10">
        <v>0.80550177639999998</v>
      </c>
      <c r="IO10">
        <v>2.4577898939999998</v>
      </c>
      <c r="IP10">
        <v>2.4885912000000001</v>
      </c>
      <c r="IQ10">
        <v>0.52917878389999995</v>
      </c>
      <c r="IR10">
        <v>1.5638529999999999</v>
      </c>
      <c r="IS10">
        <v>4.2599729999999996</v>
      </c>
      <c r="IT10">
        <v>1.9981710109999999</v>
      </c>
      <c r="IU10">
        <v>0.53698917059999995</v>
      </c>
      <c r="IV10">
        <v>1.0078549999999999</v>
      </c>
      <c r="IW10">
        <v>4.0264449999999998</v>
      </c>
      <c r="IX10">
        <v>6.9716750999999993E-2</v>
      </c>
      <c r="IY10">
        <v>9.9542613409999998E-3</v>
      </c>
      <c r="IZ10">
        <v>5.0153142679999999E-2</v>
      </c>
      <c r="JA10">
        <v>0.1043279996</v>
      </c>
      <c r="JB10">
        <v>2.1450590209999998</v>
      </c>
      <c r="JC10">
        <v>0.216778743</v>
      </c>
      <c r="JD10">
        <v>1.6532486159999999</v>
      </c>
      <c r="JE10">
        <v>2.690075598</v>
      </c>
      <c r="JF10">
        <v>31.650462770000001</v>
      </c>
      <c r="JG10">
        <v>22.589737509999999</v>
      </c>
      <c r="JH10">
        <v>0.1969958138</v>
      </c>
      <c r="JI10">
        <v>79.847593079999996</v>
      </c>
      <c r="JJ10">
        <v>0.55048020149999999</v>
      </c>
      <c r="JK10">
        <v>5.9511963100000002E-2</v>
      </c>
      <c r="JL10">
        <v>0.40499566129999998</v>
      </c>
      <c r="JM10">
        <v>0.71448085579999998</v>
      </c>
      <c r="JN10">
        <v>9.7252469549999994</v>
      </c>
      <c r="JO10">
        <v>2.0465510240000002</v>
      </c>
      <c r="JP10">
        <v>3.7429204629999999</v>
      </c>
      <c r="JQ10">
        <v>15.17958634</v>
      </c>
      <c r="JR10">
        <v>146.24931219999999</v>
      </c>
      <c r="JS10">
        <v>20.045214959999999</v>
      </c>
      <c r="JT10">
        <v>95.851545459999997</v>
      </c>
      <c r="JU10">
        <v>199.3892998</v>
      </c>
      <c r="JV10">
        <v>1.0753705520000001</v>
      </c>
      <c r="JW10">
        <v>0.21383010590000001</v>
      </c>
      <c r="JX10">
        <v>0.62639613260000004</v>
      </c>
      <c r="JY10">
        <v>1.560280495</v>
      </c>
      <c r="JZ10">
        <v>1.141908964</v>
      </c>
      <c r="KA10">
        <v>0.3212600471</v>
      </c>
      <c r="KB10">
        <v>0.54623883409999996</v>
      </c>
      <c r="KC10">
        <v>2.3331778820000002</v>
      </c>
      <c r="KD10">
        <v>2.2172795160000001</v>
      </c>
      <c r="KE10">
        <v>0.41655286270000003</v>
      </c>
      <c r="KF10">
        <v>1.4302680000000001</v>
      </c>
      <c r="KG10">
        <v>3.4552580000000002</v>
      </c>
      <c r="KH10">
        <v>1.557802396</v>
      </c>
      <c r="KI10">
        <v>0.36062668209999998</v>
      </c>
      <c r="KJ10">
        <v>0.70291499999999996</v>
      </c>
      <c r="KK10">
        <v>2.815302</v>
      </c>
      <c r="KL10">
        <v>2.2172795160000001</v>
      </c>
      <c r="KM10">
        <v>0.41655286270000003</v>
      </c>
      <c r="KN10">
        <v>1.4302680000000001</v>
      </c>
      <c r="KO10">
        <v>3.4552580000000002</v>
      </c>
      <c r="KP10">
        <v>0.46637970080000002</v>
      </c>
      <c r="KQ10">
        <v>7.7642284650000004E-2</v>
      </c>
      <c r="KR10">
        <v>0.28044329039999999</v>
      </c>
      <c r="KS10">
        <v>0.73005689029999998</v>
      </c>
      <c r="KT10">
        <v>0.5643781779</v>
      </c>
      <c r="KU10">
        <v>9.220001354E-2</v>
      </c>
      <c r="KV10">
        <v>0.35783143989999999</v>
      </c>
      <c r="KW10">
        <v>0.86928963179999996</v>
      </c>
      <c r="KX10">
        <v>3.184443076E-3</v>
      </c>
      <c r="KY10">
        <v>0.4225831249</v>
      </c>
      <c r="KZ10">
        <v>-1.13140336</v>
      </c>
      <c r="LA10">
        <v>0.98805745010000001</v>
      </c>
      <c r="LB10">
        <v>2.3898048049999998</v>
      </c>
      <c r="LC10">
        <v>0.43984687519999999</v>
      </c>
      <c r="LD10">
        <v>1.693136752</v>
      </c>
      <c r="LE10">
        <v>4.6898726010000003</v>
      </c>
      <c r="LF10">
        <v>2.0345420949999999</v>
      </c>
      <c r="LG10">
        <v>0.76213567459999998</v>
      </c>
      <c r="LH10">
        <v>0.88181999700000002</v>
      </c>
      <c r="LI10">
        <v>4.7885999830000001</v>
      </c>
      <c r="LJ10">
        <v>0.1036501735</v>
      </c>
      <c r="LK10">
        <v>2.1642773109999999E-2</v>
      </c>
      <c r="LL10">
        <v>5.9039332210000003E-2</v>
      </c>
      <c r="LM10">
        <v>0.17090855360000001</v>
      </c>
      <c r="LN10">
        <v>45.986660780000001</v>
      </c>
      <c r="LO10">
        <v>15.28417147</v>
      </c>
      <c r="LP10">
        <v>18.294299599999999</v>
      </c>
      <c r="LQ10">
        <v>79.871851520000007</v>
      </c>
      <c r="LR10">
        <v>1.041363829</v>
      </c>
      <c r="LS10">
        <v>0.20327564980000001</v>
      </c>
      <c r="LT10">
        <v>0.55035451300000005</v>
      </c>
      <c r="LU10">
        <v>1.8262946099999999</v>
      </c>
      <c r="LV10">
        <v>18.986630359999999</v>
      </c>
      <c r="LW10">
        <v>4.5314319989999996</v>
      </c>
      <c r="LX10">
        <v>4.1316836060000002</v>
      </c>
      <c r="LY10">
        <v>32.479010160000001</v>
      </c>
      <c r="LZ10">
        <v>5.4281015449999996</v>
      </c>
      <c r="MA10">
        <v>1.4732125540000001</v>
      </c>
      <c r="MB10">
        <v>2.088293036</v>
      </c>
      <c r="MC10">
        <v>11.340182840000001</v>
      </c>
      <c r="MD10">
        <v>1.061754997</v>
      </c>
      <c r="ME10">
        <v>0.2074125778</v>
      </c>
      <c r="MF10">
        <v>0.61815607669999995</v>
      </c>
      <c r="MG10">
        <v>1.515229591</v>
      </c>
      <c r="MH10">
        <v>1.1081918820000001</v>
      </c>
      <c r="MI10">
        <v>0.26906781950000003</v>
      </c>
      <c r="MJ10">
        <v>0.54507516369999998</v>
      </c>
      <c r="MK10">
        <v>1.900339373</v>
      </c>
      <c r="ML10">
        <v>2.1699468789999998</v>
      </c>
      <c r="MM10">
        <v>0.36217805850000001</v>
      </c>
      <c r="MN10">
        <v>1.4302680000000001</v>
      </c>
      <c r="MO10">
        <v>3.2366380000000001</v>
      </c>
      <c r="MP10">
        <v>1.5324968160000001</v>
      </c>
      <c r="MQ10">
        <v>0.3324960421</v>
      </c>
      <c r="MR10">
        <v>0.70291499999999996</v>
      </c>
      <c r="MS10">
        <v>2.6812260000000001</v>
      </c>
      <c r="MT10">
        <v>2.1699468789999998</v>
      </c>
      <c r="MU10">
        <v>0.36217805850000001</v>
      </c>
      <c r="MV10">
        <v>1.4302680000000001</v>
      </c>
      <c r="MW10">
        <v>3.2366380000000001</v>
      </c>
      <c r="MX10">
        <v>0.46266022109999999</v>
      </c>
      <c r="MY10">
        <v>7.5373313210000001E-2</v>
      </c>
      <c r="MZ10">
        <v>0.27627433779999999</v>
      </c>
      <c r="NA10">
        <v>0.71663930819999999</v>
      </c>
      <c r="NB10">
        <v>0.55839738319999999</v>
      </c>
      <c r="NC10">
        <v>8.7690969199999996E-2</v>
      </c>
      <c r="ND10">
        <v>0.34883872420000001</v>
      </c>
      <c r="NE10">
        <v>0.85148319309999998</v>
      </c>
      <c r="NF10">
        <v>1.6354271560000001E-2</v>
      </c>
      <c r="NG10">
        <v>0.4051058843</v>
      </c>
      <c r="NH10">
        <v>-0.92314621600000002</v>
      </c>
      <c r="NI10">
        <v>0.98736968089999999</v>
      </c>
      <c r="NJ10">
        <v>2.3432680559999999</v>
      </c>
      <c r="NK10">
        <v>0.37683530949999999</v>
      </c>
      <c r="NL10">
        <v>1.633578671</v>
      </c>
      <c r="NM10">
        <v>3.8325883749999998</v>
      </c>
      <c r="NN10">
        <v>2.0210805610000002</v>
      </c>
      <c r="NO10">
        <v>0.73665181420000003</v>
      </c>
      <c r="NP10">
        <v>0.88181999700000002</v>
      </c>
      <c r="NQ10">
        <v>4.7858399829999998</v>
      </c>
      <c r="NR10">
        <v>0.1023968769</v>
      </c>
      <c r="NS10">
        <v>2.0651994069999999E-2</v>
      </c>
      <c r="NT10">
        <v>5.8424994979999999E-2</v>
      </c>
      <c r="NU10">
        <v>0.16306804180000001</v>
      </c>
      <c r="NV10">
        <v>46.641320090000001</v>
      </c>
      <c r="NW10">
        <v>15.114080250000001</v>
      </c>
      <c r="NX10">
        <v>19.089703929999999</v>
      </c>
      <c r="NY10">
        <v>80.136986300000004</v>
      </c>
      <c r="NZ10">
        <v>1.037330986</v>
      </c>
      <c r="OA10">
        <v>0.20169677499999999</v>
      </c>
      <c r="OB10">
        <v>0.55037383989999999</v>
      </c>
      <c r="OC10">
        <v>1.8001896900000001</v>
      </c>
      <c r="OD10">
        <v>19.349632769999999</v>
      </c>
      <c r="OE10">
        <v>4.278772225</v>
      </c>
      <c r="OF10">
        <v>9.0587715420000006</v>
      </c>
      <c r="OG10">
        <v>32.456915600000002</v>
      </c>
      <c r="OH10">
        <v>5.4419016149999999</v>
      </c>
      <c r="OI10">
        <v>1.4574143879999999</v>
      </c>
      <c r="OJ10">
        <v>2.089497358</v>
      </c>
      <c r="OK10">
        <v>11.340182840000001</v>
      </c>
      <c r="OL10">
        <v>0.65550609049999997</v>
      </c>
      <c r="OM10">
        <v>-2.8960371240000001E-2</v>
      </c>
      <c r="ON10">
        <v>3.160607905</v>
      </c>
      <c r="OO10">
        <v>3.3693749999999998</v>
      </c>
      <c r="OP10">
        <v>3.1064539999999998</v>
      </c>
      <c r="OQ10">
        <v>6.4758290000000001</v>
      </c>
      <c r="OR10">
        <v>0.52440870260000005</v>
      </c>
      <c r="OS10" s="2">
        <v>2.9778741620000001E-5</v>
      </c>
      <c r="OT10">
        <v>8.7575504050000003E-4</v>
      </c>
      <c r="OU10" s="2">
        <v>2.9778741620000001E-5</v>
      </c>
      <c r="OV10">
        <v>5.7808454280000002E-4</v>
      </c>
      <c r="OW10">
        <v>8.035734572E-4</v>
      </c>
      <c r="OX10" s="2">
        <v>7.2181583299999995E-5</v>
      </c>
      <c r="OY10">
        <v>1.71361177</v>
      </c>
      <c r="OZ10">
        <v>0.59827268950000001</v>
      </c>
      <c r="PA10">
        <v>0.73254119969999998</v>
      </c>
      <c r="PB10">
        <v>10.20013638</v>
      </c>
      <c r="PC10">
        <v>92.303584770000001</v>
      </c>
      <c r="PD10">
        <v>0.64669178000000005</v>
      </c>
      <c r="PE10">
        <v>-1.516755786E-2</v>
      </c>
      <c r="PF10">
        <v>2.9092495189999998</v>
      </c>
      <c r="PG10">
        <v>2.8404690000000001</v>
      </c>
      <c r="PH10">
        <v>2.6194069999999998</v>
      </c>
      <c r="PI10">
        <v>5.4598760000000004</v>
      </c>
      <c r="PJ10">
        <v>0.52110471039999995</v>
      </c>
      <c r="PK10" s="2">
        <v>2.825328893E-5</v>
      </c>
      <c r="PL10">
        <v>8.7405997739999997E-4</v>
      </c>
      <c r="PM10" s="2">
        <v>2.825328893E-5</v>
      </c>
      <c r="PN10">
        <v>5.7836447159999999E-4</v>
      </c>
      <c r="PO10">
        <v>8.0373352840000002E-4</v>
      </c>
      <c r="PP10" s="2">
        <v>7.0326448989999996E-5</v>
      </c>
      <c r="PQ10">
        <v>1.7135383449999999</v>
      </c>
      <c r="PR10">
        <v>0.56862547969999999</v>
      </c>
      <c r="PS10">
        <v>0.68240752189999998</v>
      </c>
      <c r="PT10">
        <v>10.199816220000001</v>
      </c>
      <c r="PU10">
        <v>92.285806550000004</v>
      </c>
      <c r="PV10">
        <v>2.0434533319999999</v>
      </c>
      <c r="PW10">
        <v>0.64582144689999998</v>
      </c>
      <c r="PX10">
        <v>0.85365272709999995</v>
      </c>
      <c r="PY10">
        <v>9.2316690769999994</v>
      </c>
      <c r="PZ10">
        <v>89.812903660000003</v>
      </c>
      <c r="QA10">
        <v>2.0429605739999999</v>
      </c>
      <c r="QB10">
        <v>0.61336024779999998</v>
      </c>
      <c r="QC10">
        <v>0.81033627340000003</v>
      </c>
      <c r="QD10">
        <v>9.2386643320000008</v>
      </c>
      <c r="QE10">
        <v>89.808006950000006</v>
      </c>
      <c r="QF10" s="2">
        <v>3.2930755379999997E-5</v>
      </c>
      <c r="QG10">
        <v>7.1780174249999997E-4</v>
      </c>
      <c r="QH10">
        <v>9.4510025749999999E-4</v>
      </c>
      <c r="QI10" s="2">
        <v>9.4709559179999997E-5</v>
      </c>
      <c r="QJ10" s="2">
        <v>3.1422566680000002E-5</v>
      </c>
      <c r="QK10">
        <v>7.1778687080000002E-4</v>
      </c>
      <c r="QL10">
        <v>9.4507212920000002E-4</v>
      </c>
      <c r="QM10" s="2">
        <v>9.2512736239999994E-5</v>
      </c>
      <c r="QN10">
        <v>15.977665</v>
      </c>
      <c r="QO10">
        <v>2.2517257910000001</v>
      </c>
      <c r="QP10">
        <v>175.56898380000001</v>
      </c>
      <c r="QQ10">
        <v>7.1489014519999996</v>
      </c>
      <c r="QR10">
        <v>15.956205389999999</v>
      </c>
      <c r="QS10">
        <v>2.2541940139999999</v>
      </c>
      <c r="QT10">
        <v>175.5703709</v>
      </c>
      <c r="QU10">
        <v>11.729607189999999</v>
      </c>
    </row>
    <row r="11" spans="1:463" x14ac:dyDescent="0.2">
      <c r="A11" t="s">
        <v>281</v>
      </c>
      <c r="B11" s="2">
        <v>4.9526825330000001E-11</v>
      </c>
      <c r="C11" s="2">
        <v>4.0125827929999999E-11</v>
      </c>
      <c r="D11">
        <v>1.142639992E-2</v>
      </c>
      <c r="E11">
        <v>5.3081340829999997E-2</v>
      </c>
      <c r="F11">
        <v>0.41123803759999999</v>
      </c>
      <c r="G11">
        <v>3.5032149300000003E-2</v>
      </c>
      <c r="H11">
        <v>0.16274184959999999</v>
      </c>
      <c r="I11">
        <v>1.2608128919999999</v>
      </c>
      <c r="J11">
        <v>32.605470220000001</v>
      </c>
      <c r="K11">
        <v>32.616896619999999</v>
      </c>
      <c r="L11">
        <v>32.616896619999999</v>
      </c>
      <c r="M11">
        <v>32.616896619999999</v>
      </c>
      <c r="N11">
        <v>32.56381528</v>
      </c>
      <c r="O11">
        <v>32.616896619999999</v>
      </c>
      <c r="P11">
        <v>32.205658589999999</v>
      </c>
      <c r="Q11">
        <v>32.616896619999999</v>
      </c>
      <c r="R11">
        <v>1.7941909579999999</v>
      </c>
      <c r="S11">
        <v>0.41762595619999998</v>
      </c>
      <c r="T11">
        <v>1.0287688930000001</v>
      </c>
      <c r="U11">
        <v>2.7923770220000002</v>
      </c>
      <c r="V11">
        <v>1.308498095</v>
      </c>
      <c r="W11">
        <v>0.20365062749999999</v>
      </c>
      <c r="X11">
        <v>0.84307836940000003</v>
      </c>
      <c r="Y11">
        <v>1.888123327</v>
      </c>
      <c r="Z11">
        <v>3.1026890530000002</v>
      </c>
      <c r="AA11">
        <v>0.50709684919999998</v>
      </c>
      <c r="AB11">
        <v>1.9586300000000001</v>
      </c>
      <c r="AC11">
        <v>4.2737699999999998</v>
      </c>
      <c r="AD11">
        <v>0.91851043710000002</v>
      </c>
      <c r="AE11">
        <v>0.2852595289</v>
      </c>
      <c r="AF11">
        <v>0.4822216667</v>
      </c>
      <c r="AG11">
        <v>1.8969175</v>
      </c>
      <c r="AH11">
        <v>3.1026890530000002</v>
      </c>
      <c r="AI11">
        <v>0.50709684919999998</v>
      </c>
      <c r="AJ11">
        <v>1.9586300000000001</v>
      </c>
      <c r="AK11">
        <v>4.2737699999999998</v>
      </c>
      <c r="AL11">
        <v>0.4678802863</v>
      </c>
      <c r="AM11">
        <v>8.4914553670000004E-2</v>
      </c>
      <c r="AN11">
        <v>0.31793816819999998</v>
      </c>
      <c r="AO11">
        <v>0.71536304679999996</v>
      </c>
      <c r="AP11">
        <v>0.57389485259999995</v>
      </c>
      <c r="AQ11">
        <v>9.2630382639999995E-2</v>
      </c>
      <c r="AR11">
        <v>0.3929122256</v>
      </c>
      <c r="AS11">
        <v>0.86751719159999996</v>
      </c>
      <c r="AT11">
        <v>0.37264450999999998</v>
      </c>
      <c r="AU11">
        <v>0.32063495219999999</v>
      </c>
      <c r="AV11">
        <v>-0.39031298609999998</v>
      </c>
      <c r="AW11">
        <v>1.2679010049999999</v>
      </c>
      <c r="AX11">
        <v>2.8627833620000001</v>
      </c>
      <c r="AY11">
        <v>0.6414552241</v>
      </c>
      <c r="AZ11">
        <v>1.815753892</v>
      </c>
      <c r="BA11">
        <v>5.2786873129999998</v>
      </c>
      <c r="BB11">
        <v>0.35909534469999999</v>
      </c>
      <c r="BC11">
        <v>0.15939800670000001</v>
      </c>
      <c r="BD11">
        <v>0.14363189139999999</v>
      </c>
      <c r="BE11">
        <v>1.0853699960000001</v>
      </c>
      <c r="BF11">
        <v>1.260569585</v>
      </c>
      <c r="BG11">
        <v>0.15110066720000001</v>
      </c>
      <c r="BH11">
        <v>0.84653696040000004</v>
      </c>
      <c r="BI11">
        <v>1.775054385</v>
      </c>
      <c r="BJ11">
        <v>14.40577921</v>
      </c>
      <c r="BK11">
        <v>11.685016770000001</v>
      </c>
      <c r="BL11">
        <v>0.28722934160000002</v>
      </c>
      <c r="BM11">
        <v>50.402422369999996</v>
      </c>
      <c r="BN11">
        <v>1.0081151500000001</v>
      </c>
      <c r="BO11">
        <v>0.21262477530000001</v>
      </c>
      <c r="BP11">
        <v>0.6213082808</v>
      </c>
      <c r="BQ11">
        <v>1.5747537709999999</v>
      </c>
      <c r="BR11">
        <v>32.403162389999999</v>
      </c>
      <c r="BS11">
        <v>11.76348263</v>
      </c>
      <c r="BT11">
        <v>9.2134479799999998</v>
      </c>
      <c r="BU11">
        <v>69.622420919999996</v>
      </c>
      <c r="BV11">
        <v>1.559006618</v>
      </c>
      <c r="BW11">
        <v>0.22811883629999999</v>
      </c>
      <c r="BX11">
        <v>1.0287688930000001</v>
      </c>
      <c r="BY11">
        <v>2.2745662809999998</v>
      </c>
      <c r="BZ11">
        <v>1.2276652240000001</v>
      </c>
      <c r="CA11">
        <v>0.190780968</v>
      </c>
      <c r="CB11">
        <v>0.81303837599999995</v>
      </c>
      <c r="CC11">
        <v>1.704911372</v>
      </c>
      <c r="CD11">
        <v>2.7866718420000001</v>
      </c>
      <c r="CE11">
        <v>0.26738050419999998</v>
      </c>
      <c r="CF11">
        <v>1.9586300000000001</v>
      </c>
      <c r="CG11">
        <v>3.12683</v>
      </c>
      <c r="CH11">
        <v>0.85645622320000003</v>
      </c>
      <c r="CI11">
        <v>0.22709185409999999</v>
      </c>
      <c r="CJ11">
        <v>0.52296161289999998</v>
      </c>
      <c r="CK11">
        <v>1.7202275</v>
      </c>
      <c r="CL11">
        <v>2.7866718420000001</v>
      </c>
      <c r="CM11">
        <v>0.26738050419999998</v>
      </c>
      <c r="CN11">
        <v>1.9586300000000001</v>
      </c>
      <c r="CO11">
        <v>3.12683</v>
      </c>
      <c r="CP11">
        <v>0.46493697880000001</v>
      </c>
      <c r="CQ11">
        <v>8.2253126819999994E-2</v>
      </c>
      <c r="CR11">
        <v>0.31710921730000002</v>
      </c>
      <c r="CS11">
        <v>0.68426474069999998</v>
      </c>
      <c r="CT11">
        <v>0.56719474550000004</v>
      </c>
      <c r="CU11">
        <v>8.694935728E-2</v>
      </c>
      <c r="CV11">
        <v>0.3929122256</v>
      </c>
      <c r="CW11">
        <v>0.81170446129999996</v>
      </c>
      <c r="CX11">
        <v>0.33780618299999998</v>
      </c>
      <c r="CY11">
        <v>0.31291235579999999</v>
      </c>
      <c r="CZ11">
        <v>-0.39031298609999998</v>
      </c>
      <c r="DA11">
        <v>1.125408293</v>
      </c>
      <c r="DB11">
        <v>2.679327062</v>
      </c>
      <c r="DC11">
        <v>0.54767071359999997</v>
      </c>
      <c r="DD11">
        <v>1.78669023</v>
      </c>
      <c r="DE11">
        <v>4.2859355170000004</v>
      </c>
      <c r="DF11">
        <v>0.3380035354</v>
      </c>
      <c r="DG11">
        <v>0.14308647360000001</v>
      </c>
      <c r="DH11">
        <v>0.13985210479999999</v>
      </c>
      <c r="DI11">
        <v>1.0853699960000001</v>
      </c>
      <c r="DJ11">
        <v>1.241117469</v>
      </c>
      <c r="DK11">
        <v>0.13705679749999999</v>
      </c>
      <c r="DL11">
        <v>0.8090202688</v>
      </c>
      <c r="DM11">
        <v>1.675523943</v>
      </c>
      <c r="DN11">
        <v>19.74020295</v>
      </c>
      <c r="DO11">
        <v>10.14761633</v>
      </c>
      <c r="DP11">
        <v>1.988510826</v>
      </c>
      <c r="DQ11">
        <v>50.409103559999998</v>
      </c>
      <c r="DR11">
        <v>1.0080605389999999</v>
      </c>
      <c r="DS11">
        <v>0.21255665069999999</v>
      </c>
      <c r="DT11">
        <v>0.6213082808</v>
      </c>
      <c r="DU11">
        <v>1.574886002</v>
      </c>
      <c r="DV11">
        <v>33.853238380000001</v>
      </c>
      <c r="DW11">
        <v>11.50936544</v>
      </c>
      <c r="DX11">
        <v>9.2134479799999998</v>
      </c>
      <c r="DY11">
        <v>71.504107970000007</v>
      </c>
      <c r="DZ11">
        <v>0.62236799369999996</v>
      </c>
      <c r="EA11">
        <v>0.13772851859999999</v>
      </c>
      <c r="EB11">
        <v>0.40224558939999999</v>
      </c>
      <c r="EC11">
        <v>1.2099669159999999</v>
      </c>
      <c r="ED11">
        <v>0.53062529199999997</v>
      </c>
      <c r="EE11">
        <v>9.263861827E-2</v>
      </c>
      <c r="EF11">
        <v>0.36886247160000002</v>
      </c>
      <c r="EG11">
        <v>0.99917960459999999</v>
      </c>
      <c r="EH11">
        <v>1.1529932860000001</v>
      </c>
      <c r="EI11">
        <v>0.20764074190000001</v>
      </c>
      <c r="EJ11">
        <v>0.82678857139999995</v>
      </c>
      <c r="EK11">
        <v>2.060958571</v>
      </c>
      <c r="EL11">
        <v>0.50799501560000004</v>
      </c>
      <c r="EM11">
        <v>0.10178332449999999</v>
      </c>
      <c r="EN11">
        <v>0.37385292310000001</v>
      </c>
      <c r="EO11">
        <v>1.03675129</v>
      </c>
      <c r="EP11">
        <v>1.9620795790000001</v>
      </c>
      <c r="EQ11">
        <v>0.69330365989999998</v>
      </c>
      <c r="ER11">
        <v>1.1080700000000001</v>
      </c>
      <c r="ES11">
        <v>4.40184</v>
      </c>
      <c r="ET11">
        <v>0.185401435</v>
      </c>
      <c r="EU11">
        <v>2.561862396E-2</v>
      </c>
      <c r="EV11">
        <v>0.13703805599999999</v>
      </c>
      <c r="EW11">
        <v>0.31808835670000002</v>
      </c>
      <c r="EX11">
        <v>0.23476636419999999</v>
      </c>
      <c r="EY11">
        <v>3.5995883610000001E-2</v>
      </c>
      <c r="EZ11">
        <v>0.17129633429999999</v>
      </c>
      <c r="FA11">
        <v>0.42523211830000002</v>
      </c>
      <c r="FB11">
        <v>0.15697705519999999</v>
      </c>
      <c r="FC11">
        <v>0.23110364219999999</v>
      </c>
      <c r="FD11">
        <v>-0.40313213930000003</v>
      </c>
      <c r="FE11">
        <v>0.83838084950000002</v>
      </c>
      <c r="FF11">
        <v>3.2066133969999999</v>
      </c>
      <c r="FG11">
        <v>0.65575165879999997</v>
      </c>
      <c r="FH11">
        <v>2.3650460350000002</v>
      </c>
      <c r="FI11">
        <v>6.2455932560000003</v>
      </c>
      <c r="FJ11">
        <v>1.1350677010000001</v>
      </c>
      <c r="FK11">
        <v>0.49930953569999997</v>
      </c>
      <c r="FL11">
        <v>0.54543013299999998</v>
      </c>
      <c r="FM11">
        <v>3.0824749859999998</v>
      </c>
      <c r="FN11">
        <v>0.82700366790000002</v>
      </c>
      <c r="FO11">
        <v>0.2995237751</v>
      </c>
      <c r="FP11">
        <v>0.49408910859999999</v>
      </c>
      <c r="FQ11">
        <v>2.1749853190000001</v>
      </c>
      <c r="FR11">
        <v>1.8465194739999999</v>
      </c>
      <c r="FS11">
        <v>0.66978668640000005</v>
      </c>
      <c r="FT11">
        <v>1.1038300000000001</v>
      </c>
      <c r="FU11">
        <v>3.9461200000000001</v>
      </c>
      <c r="FV11">
        <v>1.4339228420000001</v>
      </c>
      <c r="FW11">
        <v>0.37123175670000003</v>
      </c>
      <c r="FX11">
        <v>0.87043999999999999</v>
      </c>
      <c r="FY11">
        <v>3.8601000000000001</v>
      </c>
      <c r="FZ11">
        <v>9.8063283759999995E-2</v>
      </c>
      <c r="GA11">
        <v>2.6756805710000001E-2</v>
      </c>
      <c r="GB11">
        <v>6.0407856930000003E-2</v>
      </c>
      <c r="GC11">
        <v>0.25159909000000003</v>
      </c>
      <c r="GD11">
        <v>1.198565643</v>
      </c>
      <c r="GE11">
        <v>0.14122565440000001</v>
      </c>
      <c r="GF11">
        <v>0.78447096490000001</v>
      </c>
      <c r="GG11">
        <v>1.6725985320000001</v>
      </c>
      <c r="GH11">
        <v>48.765176650000001</v>
      </c>
      <c r="GI11">
        <v>36.836152990000002</v>
      </c>
      <c r="GJ11">
        <v>0.14774686040000001</v>
      </c>
      <c r="GK11">
        <v>99.138143310000004</v>
      </c>
      <c r="GL11">
        <v>0.37150381560000001</v>
      </c>
      <c r="GM11">
        <v>4.6055855809999997E-2</v>
      </c>
      <c r="GN11">
        <v>0.2642656176</v>
      </c>
      <c r="GO11">
        <v>0.54856963049999996</v>
      </c>
      <c r="GP11">
        <v>10.662386400000001</v>
      </c>
      <c r="GQ11">
        <v>2.2570913689999998</v>
      </c>
      <c r="GR11">
        <v>4.3990626910000001</v>
      </c>
      <c r="GS11">
        <v>17.255114290000002</v>
      </c>
      <c r="GT11">
        <v>107.9452671</v>
      </c>
      <c r="GU11">
        <v>23.19563054</v>
      </c>
      <c r="GV11">
        <v>39.745771730000001</v>
      </c>
      <c r="GW11">
        <v>165.54138</v>
      </c>
      <c r="GX11">
        <v>0.58659366560000004</v>
      </c>
      <c r="GY11">
        <v>0.10047314459999999</v>
      </c>
      <c r="GZ11">
        <v>0.39561696629999998</v>
      </c>
      <c r="HA11">
        <v>0.96838149220000003</v>
      </c>
      <c r="HB11">
        <v>0.51895077050000005</v>
      </c>
      <c r="HC11">
        <v>8.4085769190000006E-2</v>
      </c>
      <c r="HD11">
        <v>0.36886245680000002</v>
      </c>
      <c r="HE11">
        <v>0.87995286309999998</v>
      </c>
      <c r="HF11">
        <v>1.105544436</v>
      </c>
      <c r="HG11">
        <v>0.16019473479999999</v>
      </c>
      <c r="HH11">
        <v>0.78105571429999998</v>
      </c>
      <c r="HI11">
        <v>1.7765628570000001</v>
      </c>
      <c r="HJ11">
        <v>0.48855291220000002</v>
      </c>
      <c r="HK11">
        <v>7.7362105390000005E-2</v>
      </c>
      <c r="HL11">
        <v>0.36898797300000002</v>
      </c>
      <c r="HM11">
        <v>0.87346416670000004</v>
      </c>
      <c r="HN11">
        <v>1.769033053</v>
      </c>
      <c r="HO11">
        <v>0.46963395060000002</v>
      </c>
      <c r="HP11">
        <v>1.1080700000000001</v>
      </c>
      <c r="HQ11">
        <v>3.4000499999999998</v>
      </c>
      <c r="HR11">
        <v>0.1830405671</v>
      </c>
      <c r="HS11">
        <v>2.3000997830000001E-2</v>
      </c>
      <c r="HT11">
        <v>0.13385764059999999</v>
      </c>
      <c r="HU11">
        <v>0.28915588819999999</v>
      </c>
      <c r="HV11">
        <v>0.2295824843</v>
      </c>
      <c r="HW11">
        <v>2.994632601E-2</v>
      </c>
      <c r="HX11">
        <v>0.16517142879999999</v>
      </c>
      <c r="HY11">
        <v>0.36629857129999999</v>
      </c>
      <c r="HZ11">
        <v>0.12800785749999999</v>
      </c>
      <c r="IA11">
        <v>0.2146698111</v>
      </c>
      <c r="IB11">
        <v>-0.57610133819999998</v>
      </c>
      <c r="IC11">
        <v>0.82259590469999999</v>
      </c>
      <c r="ID11">
        <v>3.0483969740000001</v>
      </c>
      <c r="IE11">
        <v>0.52114687999999998</v>
      </c>
      <c r="IF11">
        <v>2.3650531290000001</v>
      </c>
      <c r="IG11">
        <v>6.1012537660000001</v>
      </c>
      <c r="IH11">
        <v>0.97531580839999998</v>
      </c>
      <c r="II11">
        <v>0.31813110300000003</v>
      </c>
      <c r="IJ11">
        <v>0.54543010589999996</v>
      </c>
      <c r="IK11">
        <v>2.3277279829999999</v>
      </c>
      <c r="IL11">
        <v>0.7937172442</v>
      </c>
      <c r="IM11">
        <v>0.2624402985</v>
      </c>
      <c r="IN11">
        <v>0.4740590643</v>
      </c>
      <c r="IO11">
        <v>1.8956744080000001</v>
      </c>
      <c r="IP11">
        <v>1.669775684</v>
      </c>
      <c r="IQ11">
        <v>0.44566756730000001</v>
      </c>
      <c r="IR11">
        <v>1.1038300000000001</v>
      </c>
      <c r="IS11">
        <v>3.1096400000000002</v>
      </c>
      <c r="IT11">
        <v>1.3955926839999999</v>
      </c>
      <c r="IU11">
        <v>0.29150355579999998</v>
      </c>
      <c r="IV11">
        <v>0.87043999999999999</v>
      </c>
      <c r="IW11">
        <v>2.7970000000000002</v>
      </c>
      <c r="IX11">
        <v>9.4735819230000004E-2</v>
      </c>
      <c r="IY11">
        <v>2.2743674839999999E-2</v>
      </c>
      <c r="IZ11">
        <v>6.0407856930000003E-2</v>
      </c>
      <c r="JA11">
        <v>0.2406599992</v>
      </c>
      <c r="JB11">
        <v>1.184171187</v>
      </c>
      <c r="JC11">
        <v>0.131506595</v>
      </c>
      <c r="JD11">
        <v>0.76426788150000002</v>
      </c>
      <c r="JE11">
        <v>1.5814377230000001</v>
      </c>
      <c r="JF11">
        <v>58.191393310000002</v>
      </c>
      <c r="JG11">
        <v>32.719567619999999</v>
      </c>
      <c r="JH11">
        <v>0.27086924400000001</v>
      </c>
      <c r="JI11">
        <v>99.138143310000004</v>
      </c>
      <c r="JJ11">
        <v>0.3707555535</v>
      </c>
      <c r="JK11">
        <v>4.5809144830000002E-2</v>
      </c>
      <c r="JL11">
        <v>0.26427100139999998</v>
      </c>
      <c r="JM11">
        <v>0.53128199399999998</v>
      </c>
      <c r="JN11">
        <v>11.29211381</v>
      </c>
      <c r="JO11">
        <v>2.0056608439999999</v>
      </c>
      <c r="JP11">
        <v>5.2942624970000001</v>
      </c>
      <c r="JQ11">
        <v>17.212509229999998</v>
      </c>
      <c r="JR11">
        <v>110.3254185</v>
      </c>
      <c r="JS11">
        <v>21.154391029999999</v>
      </c>
      <c r="JT11">
        <v>41.552397720000002</v>
      </c>
      <c r="JU11">
        <v>165.54138</v>
      </c>
      <c r="JV11">
        <v>0.9344306255</v>
      </c>
      <c r="JW11">
        <v>0.19630113660000001</v>
      </c>
      <c r="JX11">
        <v>0.47160743919999998</v>
      </c>
      <c r="JY11">
        <v>1.450793502</v>
      </c>
      <c r="JZ11">
        <v>0.77297284820000001</v>
      </c>
      <c r="KA11">
        <v>0.1862173593</v>
      </c>
      <c r="KB11">
        <v>0.38299107599999999</v>
      </c>
      <c r="KC11">
        <v>1.2631517409999999</v>
      </c>
      <c r="KD11">
        <v>1.7074034739999999</v>
      </c>
      <c r="KE11">
        <v>0.30790952310000003</v>
      </c>
      <c r="KF11">
        <v>0.91735</v>
      </c>
      <c r="KG11">
        <v>2.53607</v>
      </c>
      <c r="KH11">
        <v>1.253111291</v>
      </c>
      <c r="KI11">
        <v>0.30122172860000002</v>
      </c>
      <c r="KJ11">
        <v>0.65073000000000003</v>
      </c>
      <c r="KK11">
        <v>2.1443300000000001</v>
      </c>
      <c r="KL11">
        <v>1.7074034739999999</v>
      </c>
      <c r="KM11">
        <v>0.30790952310000003</v>
      </c>
      <c r="KN11">
        <v>0.91735</v>
      </c>
      <c r="KO11">
        <v>2.53607</v>
      </c>
      <c r="KP11">
        <v>0.3869941495</v>
      </c>
      <c r="KQ11">
        <v>8.6912288500000004E-2</v>
      </c>
      <c r="KR11">
        <v>0.2273802503</v>
      </c>
      <c r="KS11">
        <v>0.62146807390000003</v>
      </c>
      <c r="KT11">
        <v>0.46112645190000001</v>
      </c>
      <c r="KU11">
        <v>9.3654829960000005E-2</v>
      </c>
      <c r="KV11">
        <v>0.26527391769999997</v>
      </c>
      <c r="KW11">
        <v>0.69088080539999996</v>
      </c>
      <c r="KX11">
        <v>0.31746759479999997</v>
      </c>
      <c r="KY11">
        <v>0.38605812340000001</v>
      </c>
      <c r="KZ11">
        <v>-0.45384572290000003</v>
      </c>
      <c r="LA11">
        <v>1.2081172090000001</v>
      </c>
      <c r="LB11">
        <v>2.2786067409999999</v>
      </c>
      <c r="LC11">
        <v>0.48834463039999998</v>
      </c>
      <c r="LD11">
        <v>1.5162629160000001</v>
      </c>
      <c r="LE11">
        <v>3.9408398089999999</v>
      </c>
      <c r="LF11">
        <v>2.4063836329999999</v>
      </c>
      <c r="LG11">
        <v>0.86200152480000003</v>
      </c>
      <c r="LH11">
        <v>0.56993999799999995</v>
      </c>
      <c r="LI11">
        <v>4.849319983</v>
      </c>
      <c r="LJ11">
        <v>7.9262966160000004E-2</v>
      </c>
      <c r="LK11">
        <v>1.359360551E-2</v>
      </c>
      <c r="LL11">
        <v>4.778876327E-2</v>
      </c>
      <c r="LM11">
        <v>0.1103802887</v>
      </c>
      <c r="LN11">
        <v>52.876888170000001</v>
      </c>
      <c r="LO11">
        <v>17.930135270000001</v>
      </c>
      <c r="LP11">
        <v>19.664162619999999</v>
      </c>
      <c r="LQ11">
        <v>100</v>
      </c>
      <c r="LR11">
        <v>0.87151070330000002</v>
      </c>
      <c r="LS11">
        <v>0.23083837679999999</v>
      </c>
      <c r="LT11">
        <v>0.41974750700000002</v>
      </c>
      <c r="LU11">
        <v>1.588109574</v>
      </c>
      <c r="LV11">
        <v>21.543177159999999</v>
      </c>
      <c r="LW11">
        <v>5.0664238299999997</v>
      </c>
      <c r="LX11">
        <v>6.8272205039999996</v>
      </c>
      <c r="LY11">
        <v>32.878277179999998</v>
      </c>
      <c r="LZ11">
        <v>4.711020531</v>
      </c>
      <c r="MA11">
        <v>1.816655814</v>
      </c>
      <c r="MB11">
        <v>2.0621448029999998</v>
      </c>
      <c r="MC11">
        <v>17.545706630000002</v>
      </c>
      <c r="MD11">
        <v>0.92149512320000004</v>
      </c>
      <c r="ME11">
        <v>0.1836809086</v>
      </c>
      <c r="MF11">
        <v>0.47160743919999998</v>
      </c>
      <c r="MG11">
        <v>1.3995369310000001</v>
      </c>
      <c r="MH11">
        <v>0.76374219259999998</v>
      </c>
      <c r="MI11">
        <v>0.1831150222</v>
      </c>
      <c r="MJ11">
        <v>0.3810422691</v>
      </c>
      <c r="MK11">
        <v>1.2549672270000001</v>
      </c>
      <c r="ML11">
        <v>1.685237316</v>
      </c>
      <c r="MM11">
        <v>0.29244290620000002</v>
      </c>
      <c r="MN11">
        <v>0.91735</v>
      </c>
      <c r="MO11">
        <v>2.39669</v>
      </c>
      <c r="MP11">
        <v>1.2441904800000001</v>
      </c>
      <c r="MQ11">
        <v>0.29522216769999998</v>
      </c>
      <c r="MR11">
        <v>0.65073000000000003</v>
      </c>
      <c r="MS11">
        <v>2.1362199999999998</v>
      </c>
      <c r="MT11">
        <v>1.685237316</v>
      </c>
      <c r="MU11">
        <v>0.29244290620000002</v>
      </c>
      <c r="MV11">
        <v>0.91735</v>
      </c>
      <c r="MW11">
        <v>2.39669</v>
      </c>
      <c r="MX11">
        <v>0.384578688</v>
      </c>
      <c r="MY11">
        <v>8.5126845120000003E-2</v>
      </c>
      <c r="MZ11">
        <v>0.2273802503</v>
      </c>
      <c r="NA11">
        <v>0.61070369960000004</v>
      </c>
      <c r="NB11">
        <v>0.45775458019999998</v>
      </c>
      <c r="NC11">
        <v>9.1100860300000003E-2</v>
      </c>
      <c r="ND11">
        <v>0.26527391769999997</v>
      </c>
      <c r="NE11">
        <v>0.67967881770000005</v>
      </c>
      <c r="NF11">
        <v>0.31562210629999998</v>
      </c>
      <c r="NG11">
        <v>0.38519809700000002</v>
      </c>
      <c r="NH11">
        <v>-0.45154258689999999</v>
      </c>
      <c r="NI11">
        <v>1.244466775</v>
      </c>
      <c r="NJ11">
        <v>2.2642106690000001</v>
      </c>
      <c r="NK11">
        <v>0.48694858070000002</v>
      </c>
      <c r="NL11">
        <v>1.5162629160000001</v>
      </c>
      <c r="NM11">
        <v>3.909528645</v>
      </c>
      <c r="NN11">
        <v>2.4077202240000002</v>
      </c>
      <c r="NO11">
        <v>0.85546196779999994</v>
      </c>
      <c r="NP11">
        <v>0.56993999799999995</v>
      </c>
      <c r="NQ11">
        <v>4.849319983</v>
      </c>
      <c r="NR11">
        <v>7.8580090640000003E-2</v>
      </c>
      <c r="NS11">
        <v>1.317841281E-2</v>
      </c>
      <c r="NT11">
        <v>4.7723151239999997E-2</v>
      </c>
      <c r="NU11">
        <v>0.1097288309</v>
      </c>
      <c r="NV11">
        <v>53.556563840000003</v>
      </c>
      <c r="NW11">
        <v>17.569457759999999</v>
      </c>
      <c r="NX11">
        <v>19.664162619999999</v>
      </c>
      <c r="NY11">
        <v>100</v>
      </c>
      <c r="NZ11">
        <v>0.86827349919999997</v>
      </c>
      <c r="OA11">
        <v>0.22769347640000001</v>
      </c>
      <c r="OB11">
        <v>0.41974750700000002</v>
      </c>
      <c r="OC11">
        <v>1.574908059</v>
      </c>
      <c r="OD11">
        <v>21.714980099999998</v>
      </c>
      <c r="OE11">
        <v>5.0307372770000001</v>
      </c>
      <c r="OF11">
        <v>6.8714096329999999</v>
      </c>
      <c r="OG11">
        <v>33.075563410000001</v>
      </c>
      <c r="OH11">
        <v>4.691342906</v>
      </c>
      <c r="OI11">
        <v>1.77886141</v>
      </c>
      <c r="OJ11">
        <v>2.0621448029999998</v>
      </c>
      <c r="OK11">
        <v>17.545706630000002</v>
      </c>
      <c r="OL11">
        <v>0.55606382249999997</v>
      </c>
      <c r="OM11">
        <v>0.57491878289999998</v>
      </c>
      <c r="ON11">
        <v>3.08398146</v>
      </c>
      <c r="OO11">
        <v>2.9706000000000001</v>
      </c>
      <c r="OP11">
        <v>1.92526</v>
      </c>
      <c r="OQ11">
        <v>4.8958599999999999</v>
      </c>
      <c r="OR11">
        <v>0.451178937</v>
      </c>
      <c r="OS11" s="2">
        <v>2.915563529E-5</v>
      </c>
      <c r="OT11">
        <v>8.1887087199999996E-4</v>
      </c>
      <c r="OU11" s="2">
        <v>2.915563529E-5</v>
      </c>
      <c r="OV11">
        <v>4.9294835980000001E-4</v>
      </c>
      <c r="OW11">
        <v>7.7796164019999997E-4</v>
      </c>
      <c r="OX11" s="2">
        <v>4.0909231789999999E-5</v>
      </c>
      <c r="OY11">
        <v>1.314100249</v>
      </c>
      <c r="OZ11">
        <v>0.69336119490000003</v>
      </c>
      <c r="PA11">
        <v>0.29146705080000002</v>
      </c>
      <c r="PB11">
        <v>16.860762359999999</v>
      </c>
      <c r="PC11">
        <v>93.994099399999996</v>
      </c>
      <c r="PD11">
        <v>0.54837320759999997</v>
      </c>
      <c r="PE11">
        <v>0.50566996900000005</v>
      </c>
      <c r="PF11">
        <v>2.7196465939999999</v>
      </c>
      <c r="PG11">
        <v>2.2351399999999999</v>
      </c>
      <c r="PH11">
        <v>1.6286400000000001</v>
      </c>
      <c r="PI11">
        <v>3.8637800000000002</v>
      </c>
      <c r="PJ11">
        <v>0.4482861132</v>
      </c>
      <c r="PK11" s="2">
        <v>2.7100174160000001E-5</v>
      </c>
      <c r="PL11">
        <v>8.1825162059999997E-4</v>
      </c>
      <c r="PM11" s="2">
        <v>2.7100174160000001E-5</v>
      </c>
      <c r="PN11">
        <v>4.9316872360000001E-4</v>
      </c>
      <c r="PO11">
        <v>7.7813127640000005E-4</v>
      </c>
      <c r="PP11" s="2">
        <v>4.0120344149999997E-5</v>
      </c>
      <c r="PQ11">
        <v>1.3157831879999999</v>
      </c>
      <c r="PR11">
        <v>0.66865648950000001</v>
      </c>
      <c r="PS11">
        <v>0.27331199020000002</v>
      </c>
      <c r="PT11">
        <v>16.817576290000002</v>
      </c>
      <c r="PU11">
        <v>94.134143480000006</v>
      </c>
      <c r="PV11">
        <v>1.607919181</v>
      </c>
      <c r="PW11">
        <v>0.70380871950000001</v>
      </c>
      <c r="PX11">
        <v>0.42651044420000001</v>
      </c>
      <c r="PY11">
        <v>12.51414918</v>
      </c>
      <c r="PZ11">
        <v>92.368018669999998</v>
      </c>
      <c r="QA11">
        <v>1.6070448589999999</v>
      </c>
      <c r="QB11">
        <v>0.67096626619999999</v>
      </c>
      <c r="QC11">
        <v>0.40550127209999998</v>
      </c>
      <c r="QD11">
        <v>12.52610118</v>
      </c>
      <c r="QE11">
        <v>92.367166940000004</v>
      </c>
      <c r="QF11" s="2">
        <v>3.3263919310000002E-5</v>
      </c>
      <c r="QG11">
        <v>5.6754303970000001E-4</v>
      </c>
      <c r="QH11">
        <v>8.3024696029999998E-4</v>
      </c>
      <c r="QI11" s="2">
        <v>5.6729889180000001E-5</v>
      </c>
      <c r="QJ11" s="2">
        <v>3.1164365510000001E-5</v>
      </c>
      <c r="QK11">
        <v>5.6754687500000002E-4</v>
      </c>
      <c r="QL11">
        <v>8.3024312499999997E-4</v>
      </c>
      <c r="QM11" s="2">
        <v>5.5913149589999999E-5</v>
      </c>
      <c r="QN11">
        <v>10.51872483</v>
      </c>
      <c r="QO11">
        <v>2.2544295110000001</v>
      </c>
      <c r="QP11">
        <v>175.5941431</v>
      </c>
      <c r="QQ11">
        <v>7.145919535</v>
      </c>
      <c r="QR11">
        <v>10.521864000000001</v>
      </c>
      <c r="QS11">
        <v>2.256910446</v>
      </c>
      <c r="QT11">
        <v>175.5950775</v>
      </c>
      <c r="QU11">
        <v>7.1421882390000002</v>
      </c>
    </row>
    <row r="12" spans="1:463" x14ac:dyDescent="0.2">
      <c r="A12" t="s">
        <v>282</v>
      </c>
      <c r="B12" s="2">
        <v>6.8284216110000003E-12</v>
      </c>
      <c r="C12" s="2">
        <v>1.4454472429999999E-12</v>
      </c>
      <c r="D12">
        <v>1.1534950719999999E-2</v>
      </c>
      <c r="E12">
        <v>5.192917884E-2</v>
      </c>
      <c r="F12">
        <v>0.39674555369999998</v>
      </c>
      <c r="G12">
        <v>3.536495471E-2</v>
      </c>
      <c r="H12">
        <v>0.1592094412</v>
      </c>
      <c r="I12">
        <v>1.2163804490000001</v>
      </c>
      <c r="J12">
        <v>32.605361670000001</v>
      </c>
      <c r="K12">
        <v>32.616896619999999</v>
      </c>
      <c r="L12">
        <v>32.616896619999999</v>
      </c>
      <c r="M12">
        <v>32.616896619999999</v>
      </c>
      <c r="N12">
        <v>32.564967449999997</v>
      </c>
      <c r="O12">
        <v>32.616896619999999</v>
      </c>
      <c r="P12">
        <v>32.22015107</v>
      </c>
      <c r="Q12">
        <v>32.616896619999999</v>
      </c>
      <c r="R12">
        <v>1.933744007</v>
      </c>
      <c r="S12">
        <v>0.51261776940000003</v>
      </c>
      <c r="T12">
        <v>0.98588871759999996</v>
      </c>
      <c r="U12">
        <v>3.2355154270000002</v>
      </c>
      <c r="V12">
        <v>1.326851762</v>
      </c>
      <c r="W12">
        <v>0.24206685359999999</v>
      </c>
      <c r="X12">
        <v>0.7906374156</v>
      </c>
      <c r="Y12">
        <v>2.0879056629999999</v>
      </c>
      <c r="Z12">
        <v>3.2605957679999999</v>
      </c>
      <c r="AA12">
        <v>0.62169111720000003</v>
      </c>
      <c r="AB12">
        <v>1.998597</v>
      </c>
      <c r="AC12">
        <v>4.6238939999999999</v>
      </c>
      <c r="AD12">
        <v>1.1434224559999999</v>
      </c>
      <c r="AE12">
        <v>0.36794998649999999</v>
      </c>
      <c r="AF12">
        <v>0.51924146149999995</v>
      </c>
      <c r="AG12">
        <v>2.3595111430000002</v>
      </c>
      <c r="AH12">
        <v>3.2605957679999999</v>
      </c>
      <c r="AI12">
        <v>0.62169111720000003</v>
      </c>
      <c r="AJ12">
        <v>1.998597</v>
      </c>
      <c r="AK12">
        <v>4.6238939999999999</v>
      </c>
      <c r="AL12">
        <v>0.49596271959999999</v>
      </c>
      <c r="AM12">
        <v>9.426897091E-2</v>
      </c>
      <c r="AN12">
        <v>0.31746875359999999</v>
      </c>
      <c r="AO12">
        <v>0.77040278760000003</v>
      </c>
      <c r="AP12">
        <v>0.60958079990000003</v>
      </c>
      <c r="AQ12">
        <v>0.1085852658</v>
      </c>
      <c r="AR12">
        <v>0.3970724685</v>
      </c>
      <c r="AS12">
        <v>0.95802483709999997</v>
      </c>
      <c r="AT12">
        <v>0.41249027370000002</v>
      </c>
      <c r="AU12">
        <v>0.34768766369999998</v>
      </c>
      <c r="AV12">
        <v>-0.43850493099999999</v>
      </c>
      <c r="AW12">
        <v>1.3602711569999999</v>
      </c>
      <c r="AX12">
        <v>2.9269019420000002</v>
      </c>
      <c r="AY12">
        <v>0.75309107180000001</v>
      </c>
      <c r="AZ12">
        <v>1.859884044</v>
      </c>
      <c r="BA12">
        <v>5.695516853</v>
      </c>
      <c r="BB12">
        <v>0.51917754930000004</v>
      </c>
      <c r="BC12">
        <v>0.2275185163</v>
      </c>
      <c r="BD12">
        <v>0.2025415378</v>
      </c>
      <c r="BE12">
        <v>1.7880199939999999</v>
      </c>
      <c r="BF12">
        <v>1.0469384960000001</v>
      </c>
      <c r="BG12">
        <v>0.20268283109999999</v>
      </c>
      <c r="BH12">
        <v>0.68228193960000005</v>
      </c>
      <c r="BI12">
        <v>1.8924871830000001</v>
      </c>
      <c r="BJ12">
        <v>13.350535259999999</v>
      </c>
      <c r="BK12">
        <v>12.22186106</v>
      </c>
      <c r="BL12">
        <v>0.15466195320000001</v>
      </c>
      <c r="BM12">
        <v>53.954927089999998</v>
      </c>
      <c r="BN12">
        <v>1.073187753</v>
      </c>
      <c r="BO12">
        <v>0.2306585179</v>
      </c>
      <c r="BP12">
        <v>0.63269209179999997</v>
      </c>
      <c r="BQ12">
        <v>1.6627995950000001</v>
      </c>
      <c r="BR12">
        <v>22.328615660000001</v>
      </c>
      <c r="BS12">
        <v>8.2890534389999999</v>
      </c>
      <c r="BT12">
        <v>5.5927786240000001</v>
      </c>
      <c r="BU12">
        <v>49.37258851</v>
      </c>
      <c r="BV12">
        <v>1.6806510189999999</v>
      </c>
      <c r="BW12">
        <v>0.28691096620000001</v>
      </c>
      <c r="BX12">
        <v>0.98588871759999996</v>
      </c>
      <c r="BY12">
        <v>2.2876346710000002</v>
      </c>
      <c r="BZ12">
        <v>1.258008934</v>
      </c>
      <c r="CA12">
        <v>0.22015471410000001</v>
      </c>
      <c r="CB12">
        <v>0.75004121899999998</v>
      </c>
      <c r="CC12">
        <v>1.8665937640000001</v>
      </c>
      <c r="CD12">
        <v>2.9386599530000002</v>
      </c>
      <c r="CE12">
        <v>0.35906303480000001</v>
      </c>
      <c r="CF12">
        <v>1.915683</v>
      </c>
      <c r="CG12">
        <v>3.4273389999999999</v>
      </c>
      <c r="CH12">
        <v>1.074468362</v>
      </c>
      <c r="CI12">
        <v>0.31711523559999999</v>
      </c>
      <c r="CJ12">
        <v>0.51924146149999995</v>
      </c>
      <c r="CK12">
        <v>2.2421306670000001</v>
      </c>
      <c r="CL12">
        <v>2.9386599530000002</v>
      </c>
      <c r="CM12">
        <v>0.35906303480000001</v>
      </c>
      <c r="CN12">
        <v>1.915683</v>
      </c>
      <c r="CO12">
        <v>3.4273389999999999</v>
      </c>
      <c r="CP12">
        <v>0.49268211629999997</v>
      </c>
      <c r="CQ12">
        <v>9.0944090429999999E-2</v>
      </c>
      <c r="CR12">
        <v>0.31715744810000002</v>
      </c>
      <c r="CS12">
        <v>0.74136000830000004</v>
      </c>
      <c r="CT12">
        <v>0.60200117949999998</v>
      </c>
      <c r="CU12">
        <v>0.1017028831</v>
      </c>
      <c r="CV12">
        <v>0.3970724685</v>
      </c>
      <c r="CW12">
        <v>0.90541253499999996</v>
      </c>
      <c r="CX12">
        <v>0.3682093259</v>
      </c>
      <c r="CY12">
        <v>0.32256833489999998</v>
      </c>
      <c r="CZ12">
        <v>-0.43850493099999999</v>
      </c>
      <c r="DA12">
        <v>1.188170409</v>
      </c>
      <c r="DB12">
        <v>2.700356706</v>
      </c>
      <c r="DC12">
        <v>0.54829296130000005</v>
      </c>
      <c r="DD12">
        <v>1.7401159660000001</v>
      </c>
      <c r="DE12">
        <v>5.2404256120000001</v>
      </c>
      <c r="DF12">
        <v>0.50119868599999995</v>
      </c>
      <c r="DG12">
        <v>0.224758502</v>
      </c>
      <c r="DH12">
        <v>0.2025415378</v>
      </c>
      <c r="DI12">
        <v>1.787559994</v>
      </c>
      <c r="DJ12">
        <v>1.020150957</v>
      </c>
      <c r="DK12">
        <v>0.1693446321</v>
      </c>
      <c r="DL12">
        <v>0.67720859470000005</v>
      </c>
      <c r="DM12">
        <v>1.736482944</v>
      </c>
      <c r="DN12">
        <v>17.310858400000001</v>
      </c>
      <c r="DO12">
        <v>10.708452060000001</v>
      </c>
      <c r="DP12">
        <v>1.4582412730000001</v>
      </c>
      <c r="DQ12">
        <v>53.954927089999998</v>
      </c>
      <c r="DR12">
        <v>1.073169045</v>
      </c>
      <c r="DS12">
        <v>0.23061943770000001</v>
      </c>
      <c r="DT12">
        <v>0.63288396349999998</v>
      </c>
      <c r="DU12">
        <v>1.662685915</v>
      </c>
      <c r="DV12">
        <v>23.169300069999998</v>
      </c>
      <c r="DW12">
        <v>8.5420551529999997</v>
      </c>
      <c r="DX12">
        <v>5.5942178360000003</v>
      </c>
      <c r="DY12">
        <v>49.37258851</v>
      </c>
      <c r="DZ12">
        <v>0.657663683</v>
      </c>
      <c r="EA12">
        <v>0.17751456090000001</v>
      </c>
      <c r="EB12">
        <v>0.40325594190000003</v>
      </c>
      <c r="EC12">
        <v>1.3737510669999999</v>
      </c>
      <c r="ED12">
        <v>0.49436302380000002</v>
      </c>
      <c r="EE12">
        <v>9.4974293579999994E-2</v>
      </c>
      <c r="EF12">
        <v>0.33106217020000001</v>
      </c>
      <c r="EG12">
        <v>1.008025639</v>
      </c>
      <c r="EH12">
        <v>1.1520267070000001</v>
      </c>
      <c r="EI12">
        <v>0.25007003929999999</v>
      </c>
      <c r="EJ12">
        <v>0.74468114289999998</v>
      </c>
      <c r="EK12">
        <v>2.2386785709999999</v>
      </c>
      <c r="EL12">
        <v>0.52649804990000004</v>
      </c>
      <c r="EM12">
        <v>0.15230250670000001</v>
      </c>
      <c r="EN12">
        <v>0.3275471579</v>
      </c>
      <c r="EO12">
        <v>1.1921870000000001</v>
      </c>
      <c r="EP12">
        <v>2.0799506999999999</v>
      </c>
      <c r="EQ12">
        <v>0.78132077190000004</v>
      </c>
      <c r="ER12">
        <v>1.0996539999999999</v>
      </c>
      <c r="ES12">
        <v>4.5114179999999999</v>
      </c>
      <c r="ET12">
        <v>0.18660080109999999</v>
      </c>
      <c r="EU12">
        <v>3.1573574510000001E-2</v>
      </c>
      <c r="EV12">
        <v>0.13148247800000001</v>
      </c>
      <c r="EW12">
        <v>0.34103163409999998</v>
      </c>
      <c r="EX12">
        <v>0.2380824298</v>
      </c>
      <c r="EY12">
        <v>4.3997425489999999E-2</v>
      </c>
      <c r="EZ12">
        <v>0.16326650509999999</v>
      </c>
      <c r="FA12">
        <v>0.46197142810000003</v>
      </c>
      <c r="FB12">
        <v>0.28325349589999999</v>
      </c>
      <c r="FC12">
        <v>0.26914172959999999</v>
      </c>
      <c r="FD12">
        <v>-0.36154802349999998</v>
      </c>
      <c r="FE12">
        <v>1.3244346490000001</v>
      </c>
      <c r="FF12">
        <v>3.3775013610000002</v>
      </c>
      <c r="FG12">
        <v>0.96989798549999995</v>
      </c>
      <c r="FH12">
        <v>2.3457478310000002</v>
      </c>
      <c r="FI12">
        <v>8.4151998429999999</v>
      </c>
      <c r="FJ12">
        <v>1.2864480359999999</v>
      </c>
      <c r="FK12">
        <v>0.57552322300000003</v>
      </c>
      <c r="FL12">
        <v>0.57013479909999998</v>
      </c>
      <c r="FM12">
        <v>3.3020589610000002</v>
      </c>
      <c r="FN12">
        <v>0.7935026637</v>
      </c>
      <c r="FO12">
        <v>0.31306118570000002</v>
      </c>
      <c r="FP12">
        <v>0.46114037330000002</v>
      </c>
      <c r="FQ12">
        <v>2.4584694589999998</v>
      </c>
      <c r="FR12">
        <v>1.965333389</v>
      </c>
      <c r="FS12">
        <v>0.74599875630000001</v>
      </c>
      <c r="FT12">
        <v>1.0782430000000001</v>
      </c>
      <c r="FU12">
        <v>4.5114179999999999</v>
      </c>
      <c r="FV12">
        <v>1.4922039629999999</v>
      </c>
      <c r="FW12">
        <v>0.4200647106</v>
      </c>
      <c r="FX12">
        <v>0.69788700000000004</v>
      </c>
      <c r="FY12">
        <v>3.766197</v>
      </c>
      <c r="FZ12">
        <v>0.13898798139999999</v>
      </c>
      <c r="GA12">
        <v>3.9682615720000002E-2</v>
      </c>
      <c r="GB12">
        <v>8.9224917720000005E-2</v>
      </c>
      <c r="GC12">
        <v>0.3513085702</v>
      </c>
      <c r="GD12">
        <v>0.96833020059999997</v>
      </c>
      <c r="GE12">
        <v>0.16346822359999999</v>
      </c>
      <c r="GF12">
        <v>0.66121187569999995</v>
      </c>
      <c r="GG12">
        <v>1.663824185</v>
      </c>
      <c r="GH12">
        <v>39.840623299999997</v>
      </c>
      <c r="GI12">
        <v>35.60343014</v>
      </c>
      <c r="GJ12">
        <v>0.17237133709999999</v>
      </c>
      <c r="GK12">
        <v>99.162767790000004</v>
      </c>
      <c r="GL12">
        <v>0.36347260850000002</v>
      </c>
      <c r="GM12">
        <v>5.7355051660000003E-2</v>
      </c>
      <c r="GN12">
        <v>0.24133809489999999</v>
      </c>
      <c r="GO12">
        <v>0.55047217449999997</v>
      </c>
      <c r="GP12">
        <v>10.797900800000001</v>
      </c>
      <c r="GQ12">
        <v>2.3642418599999999</v>
      </c>
      <c r="GR12">
        <v>4.0630386600000001</v>
      </c>
      <c r="GS12">
        <v>16.621521789999999</v>
      </c>
      <c r="GT12">
        <v>76.602940329999996</v>
      </c>
      <c r="GU12">
        <v>17.50495403</v>
      </c>
      <c r="GV12">
        <v>28.465004409999999</v>
      </c>
      <c r="GW12">
        <v>112.0763152</v>
      </c>
      <c r="GX12">
        <v>0.61889354370000005</v>
      </c>
      <c r="GY12">
        <v>0.13781565609999999</v>
      </c>
      <c r="GZ12">
        <v>0.40325594190000003</v>
      </c>
      <c r="HA12">
        <v>1.1051613570000001</v>
      </c>
      <c r="HB12">
        <v>0.48612959459999999</v>
      </c>
      <c r="HC12">
        <v>8.7203502079999995E-2</v>
      </c>
      <c r="HD12">
        <v>0.33106217020000001</v>
      </c>
      <c r="HE12">
        <v>0.89570543199999997</v>
      </c>
      <c r="HF12">
        <v>1.105023138</v>
      </c>
      <c r="HG12">
        <v>0.2010510261</v>
      </c>
      <c r="HH12">
        <v>0.74468114289999998</v>
      </c>
      <c r="HI12">
        <v>1.8521208570000001</v>
      </c>
      <c r="HJ12">
        <v>0.50051455079999996</v>
      </c>
      <c r="HK12">
        <v>0.12219266719999999</v>
      </c>
      <c r="HL12">
        <v>0.3275471579</v>
      </c>
      <c r="HM12">
        <v>0.99700093940000001</v>
      </c>
      <c r="HN12">
        <v>1.8760317369999999</v>
      </c>
      <c r="HO12">
        <v>0.54471159359999999</v>
      </c>
      <c r="HP12">
        <v>1.0996539999999999</v>
      </c>
      <c r="HQ12">
        <v>3.6283880000000002</v>
      </c>
      <c r="HR12">
        <v>0.18428864079999999</v>
      </c>
      <c r="HS12">
        <v>2.8808728280000001E-2</v>
      </c>
      <c r="HT12">
        <v>0.13148247800000001</v>
      </c>
      <c r="HU12">
        <v>0.30907054080000002</v>
      </c>
      <c r="HV12">
        <v>0.2328882344</v>
      </c>
      <c r="HW12">
        <v>3.7969731370000002E-2</v>
      </c>
      <c r="HX12">
        <v>0.16326650509999999</v>
      </c>
      <c r="HY12">
        <v>0.4010032482</v>
      </c>
      <c r="HZ12">
        <v>0.25098841669999999</v>
      </c>
      <c r="IA12">
        <v>0.24693329789999999</v>
      </c>
      <c r="IB12">
        <v>-0.3309135835</v>
      </c>
      <c r="IC12">
        <v>1.294349668</v>
      </c>
      <c r="ID12">
        <v>3.2021403350000002</v>
      </c>
      <c r="IE12">
        <v>0.80268024090000001</v>
      </c>
      <c r="IF12">
        <v>2.3457478310000002</v>
      </c>
      <c r="IG12">
        <v>6.9111983889999999</v>
      </c>
      <c r="IH12">
        <v>1.107941654</v>
      </c>
      <c r="II12">
        <v>0.38195747400000002</v>
      </c>
      <c r="IJ12">
        <v>0.57013479909999998</v>
      </c>
      <c r="IK12">
        <v>2.6420671260000002</v>
      </c>
      <c r="IL12">
        <v>0.7680900826</v>
      </c>
      <c r="IM12">
        <v>0.2737553761</v>
      </c>
      <c r="IN12">
        <v>0.46114037330000002</v>
      </c>
      <c r="IO12">
        <v>1.954104445</v>
      </c>
      <c r="IP12">
        <v>1.773412532</v>
      </c>
      <c r="IQ12">
        <v>0.49603763960000002</v>
      </c>
      <c r="IR12">
        <v>1.0782430000000001</v>
      </c>
      <c r="IS12">
        <v>3.2827250000000001</v>
      </c>
      <c r="IT12">
        <v>1.457929805</v>
      </c>
      <c r="IU12">
        <v>0.34335640179999999</v>
      </c>
      <c r="IV12">
        <v>0.69788700000000004</v>
      </c>
      <c r="IW12">
        <v>3.0805410000000002</v>
      </c>
      <c r="IX12">
        <v>0.13353577599999999</v>
      </c>
      <c r="IY12">
        <v>3.4080082640000002E-2</v>
      </c>
      <c r="IZ12">
        <v>8.9224917720000005E-2</v>
      </c>
      <c r="JA12">
        <v>0.32788799889999998</v>
      </c>
      <c r="JB12">
        <v>0.95032378490000002</v>
      </c>
      <c r="JC12">
        <v>0.14222170200000001</v>
      </c>
      <c r="JD12">
        <v>0.66121253629999999</v>
      </c>
      <c r="JE12">
        <v>1.540615174</v>
      </c>
      <c r="JF12">
        <v>46.676635900000001</v>
      </c>
      <c r="JG12">
        <v>33.357106829999999</v>
      </c>
      <c r="JH12">
        <v>0.22162029059999999</v>
      </c>
      <c r="JI12">
        <v>99.162767790000004</v>
      </c>
      <c r="JJ12">
        <v>0.362975518</v>
      </c>
      <c r="JK12">
        <v>5.7139748109999999E-2</v>
      </c>
      <c r="JL12">
        <v>0.24133809489999999</v>
      </c>
      <c r="JM12">
        <v>0.55382324230000002</v>
      </c>
      <c r="JN12">
        <v>11.399760540000001</v>
      </c>
      <c r="JO12">
        <v>2.069200897</v>
      </c>
      <c r="JP12">
        <v>4.173499198</v>
      </c>
      <c r="JQ12">
        <v>16.594994969999998</v>
      </c>
      <c r="JR12">
        <v>78.768439029999996</v>
      </c>
      <c r="JS12">
        <v>16.297655559999999</v>
      </c>
      <c r="JT12">
        <v>30.49821901</v>
      </c>
      <c r="JU12">
        <v>112.0763152</v>
      </c>
      <c r="JV12">
        <v>1.0025085069999999</v>
      </c>
      <c r="JW12">
        <v>0.23763092320000001</v>
      </c>
      <c r="JX12">
        <v>0.4227468345</v>
      </c>
      <c r="JY12">
        <v>1.748793574</v>
      </c>
      <c r="JZ12">
        <v>0.83847378790000004</v>
      </c>
      <c r="KA12">
        <v>0.21160536399999999</v>
      </c>
      <c r="KB12">
        <v>0.37558016280000001</v>
      </c>
      <c r="KC12">
        <v>1.5370893640000001</v>
      </c>
      <c r="KD12">
        <v>1.8409822950000001</v>
      </c>
      <c r="KE12">
        <v>0.36880976920000003</v>
      </c>
      <c r="KF12">
        <v>0.95862000000000003</v>
      </c>
      <c r="KG12">
        <v>2.9522189999999999</v>
      </c>
      <c r="KH12">
        <v>1.300405295</v>
      </c>
      <c r="KI12">
        <v>0.34434030570000002</v>
      </c>
      <c r="KJ12">
        <v>0.64567300000000005</v>
      </c>
      <c r="KK12">
        <v>2.473678</v>
      </c>
      <c r="KL12">
        <v>1.8409822950000001</v>
      </c>
      <c r="KM12">
        <v>0.36880976920000003</v>
      </c>
      <c r="KN12">
        <v>0.95862000000000003</v>
      </c>
      <c r="KO12">
        <v>2.9522189999999999</v>
      </c>
      <c r="KP12">
        <v>0.40583051910000001</v>
      </c>
      <c r="KQ12">
        <v>9.3324841650000004E-2</v>
      </c>
      <c r="KR12">
        <v>0.22469136679999999</v>
      </c>
      <c r="KS12">
        <v>0.67203670630000001</v>
      </c>
      <c r="KT12">
        <v>0.4858416498</v>
      </c>
      <c r="KU12">
        <v>0.1043102053</v>
      </c>
      <c r="KV12">
        <v>0.26777712100000001</v>
      </c>
      <c r="KW12">
        <v>0.76908676679999999</v>
      </c>
      <c r="KX12">
        <v>0.31231868540000002</v>
      </c>
      <c r="KY12">
        <v>0.38250751770000002</v>
      </c>
      <c r="KZ12">
        <v>-0.61020370400000001</v>
      </c>
      <c r="LA12">
        <v>1.2454912499999999</v>
      </c>
      <c r="LB12">
        <v>2.3208551879999999</v>
      </c>
      <c r="LC12">
        <v>0.44591198100000001</v>
      </c>
      <c r="LD12">
        <v>1.487197299</v>
      </c>
      <c r="LE12">
        <v>4.0840820799999999</v>
      </c>
      <c r="LF12">
        <v>2.2453100199999998</v>
      </c>
      <c r="LG12">
        <v>0.85790330010000004</v>
      </c>
      <c r="LH12">
        <v>0.91769999680000003</v>
      </c>
      <c r="LI12">
        <v>5.2081199820000004</v>
      </c>
      <c r="LJ12">
        <v>8.8351126059999993E-2</v>
      </c>
      <c r="LK12">
        <v>1.7443875510000002E-2</v>
      </c>
      <c r="LL12">
        <v>4.8020845120000002E-2</v>
      </c>
      <c r="LM12">
        <v>0.1353590425</v>
      </c>
      <c r="LN12">
        <v>48.527910310000003</v>
      </c>
      <c r="LO12">
        <v>18.535039269999999</v>
      </c>
      <c r="LP12">
        <v>16.81396376</v>
      </c>
      <c r="LQ12">
        <v>100</v>
      </c>
      <c r="LR12">
        <v>0.91221006920000003</v>
      </c>
      <c r="LS12">
        <v>0.24047094990000001</v>
      </c>
      <c r="LT12">
        <v>0.41516209640000001</v>
      </c>
      <c r="LU12">
        <v>1.6772132559999999</v>
      </c>
      <c r="LV12">
        <v>20.75998264</v>
      </c>
      <c r="LW12">
        <v>4.607871608</v>
      </c>
      <c r="LX12">
        <v>7.5595749139999997</v>
      </c>
      <c r="LY12">
        <v>34.290764469999999</v>
      </c>
      <c r="LZ12">
        <v>5.0100806660000003</v>
      </c>
      <c r="MA12">
        <v>1.5742008789999999</v>
      </c>
      <c r="MB12">
        <v>1.920078653</v>
      </c>
      <c r="MC12">
        <v>10.89680727</v>
      </c>
      <c r="MD12">
        <v>0.9869884337</v>
      </c>
      <c r="ME12">
        <v>0.22106207250000001</v>
      </c>
      <c r="MF12">
        <v>0.4227468345</v>
      </c>
      <c r="MG12">
        <v>1.547118743</v>
      </c>
      <c r="MH12">
        <v>0.8275843611</v>
      </c>
      <c r="MI12">
        <v>0.201045521</v>
      </c>
      <c r="MJ12">
        <v>0.37221725010000001</v>
      </c>
      <c r="MK12">
        <v>1.372034698</v>
      </c>
      <c r="ML12">
        <v>1.8145727949999999</v>
      </c>
      <c r="MM12">
        <v>0.34520820130000002</v>
      </c>
      <c r="MN12">
        <v>0.95862000000000003</v>
      </c>
      <c r="MO12">
        <v>2.7008529999999999</v>
      </c>
      <c r="MP12">
        <v>1.286263733</v>
      </c>
      <c r="MQ12">
        <v>0.3356837902</v>
      </c>
      <c r="MR12">
        <v>0.63724000000000003</v>
      </c>
      <c r="MS12">
        <v>2.4462069999999998</v>
      </c>
      <c r="MT12">
        <v>1.8145727949999999</v>
      </c>
      <c r="MU12">
        <v>0.34520820130000002</v>
      </c>
      <c r="MV12">
        <v>0.95862000000000003</v>
      </c>
      <c r="MW12">
        <v>2.7008529999999999</v>
      </c>
      <c r="MX12">
        <v>0.40297292330000001</v>
      </c>
      <c r="MY12">
        <v>9.0672748509999998E-2</v>
      </c>
      <c r="MZ12">
        <v>0.22469136679999999</v>
      </c>
      <c r="NA12">
        <v>0.66057935270000001</v>
      </c>
      <c r="NB12">
        <v>0.48181836630000002</v>
      </c>
      <c r="NC12">
        <v>0.1004308835</v>
      </c>
      <c r="ND12">
        <v>0.26777712100000001</v>
      </c>
      <c r="NE12">
        <v>0.74350310829999999</v>
      </c>
      <c r="NF12">
        <v>0.30869058100000002</v>
      </c>
      <c r="NG12">
        <v>0.37799249289999998</v>
      </c>
      <c r="NH12">
        <v>-0.60827871789999999</v>
      </c>
      <c r="NI12">
        <v>1.285568955</v>
      </c>
      <c r="NJ12">
        <v>2.2999749550000002</v>
      </c>
      <c r="NK12">
        <v>0.4412132346</v>
      </c>
      <c r="NL12">
        <v>1.506033999</v>
      </c>
      <c r="NM12">
        <v>4.0840820799999999</v>
      </c>
      <c r="NN12">
        <v>2.2460113690000001</v>
      </c>
      <c r="NO12">
        <v>0.85632820919999997</v>
      </c>
      <c r="NP12">
        <v>0.9135599968</v>
      </c>
      <c r="NQ12">
        <v>5.2081199820000004</v>
      </c>
      <c r="NR12">
        <v>8.7526418879999998E-2</v>
      </c>
      <c r="NS12">
        <v>1.686990373E-2</v>
      </c>
      <c r="NT12">
        <v>4.8020845120000002E-2</v>
      </c>
      <c r="NU12">
        <v>0.13426794889999999</v>
      </c>
      <c r="NV12">
        <v>49.188066409999998</v>
      </c>
      <c r="NW12">
        <v>18.234704499999999</v>
      </c>
      <c r="NX12">
        <v>19.06760937</v>
      </c>
      <c r="NY12">
        <v>100</v>
      </c>
      <c r="NZ12">
        <v>0.90824483680000001</v>
      </c>
      <c r="OA12">
        <v>0.23510159319999999</v>
      </c>
      <c r="OB12">
        <v>0.4192937209</v>
      </c>
      <c r="OC12">
        <v>1.649962599</v>
      </c>
      <c r="OD12">
        <v>20.97891839</v>
      </c>
      <c r="OE12">
        <v>4.6429941350000004</v>
      </c>
      <c r="OF12">
        <v>7.8646788189999999</v>
      </c>
      <c r="OG12">
        <v>34.290764469999999</v>
      </c>
      <c r="OH12">
        <v>5.0073573140000001</v>
      </c>
      <c r="OI12">
        <v>1.574938816</v>
      </c>
      <c r="OJ12">
        <v>1.920078653</v>
      </c>
      <c r="OK12">
        <v>10.94618857</v>
      </c>
      <c r="OL12">
        <v>0.57803700349999998</v>
      </c>
      <c r="OM12">
        <v>0.64176208310000005</v>
      </c>
      <c r="ON12">
        <v>3.2959509840000001</v>
      </c>
      <c r="OO12">
        <v>3.368611</v>
      </c>
      <c r="OP12">
        <v>2.0112420000000002</v>
      </c>
      <c r="OQ12">
        <v>5.3798529999999998</v>
      </c>
      <c r="OR12">
        <v>0.46710819440000001</v>
      </c>
      <c r="OS12" s="2">
        <v>3.2319455129999999E-5</v>
      </c>
      <c r="OT12">
        <v>8.4155359440000002E-4</v>
      </c>
      <c r="OU12" s="2">
        <v>3.2319455129999999E-5</v>
      </c>
      <c r="OV12">
        <v>5.1169883429999995E-4</v>
      </c>
      <c r="OW12">
        <v>8.0061116569999995E-4</v>
      </c>
      <c r="OX12" s="2">
        <v>4.0942428700000001E-5</v>
      </c>
      <c r="OY12">
        <v>1.382378919</v>
      </c>
      <c r="OZ12">
        <v>0.72972086300000005</v>
      </c>
      <c r="PA12">
        <v>0.27289071380000002</v>
      </c>
      <c r="PB12">
        <v>16.246705120000001</v>
      </c>
      <c r="PC12">
        <v>94.354371889999996</v>
      </c>
      <c r="PD12">
        <v>0.56962012029999998</v>
      </c>
      <c r="PE12">
        <v>0.55654341669999996</v>
      </c>
      <c r="PF12">
        <v>2.8497787699999999</v>
      </c>
      <c r="PG12">
        <v>2.519317</v>
      </c>
      <c r="PH12">
        <v>1.8050040000000001</v>
      </c>
      <c r="PI12">
        <v>4.3243210000000003</v>
      </c>
      <c r="PJ12">
        <v>0.46410612140000002</v>
      </c>
      <c r="PK12" s="2">
        <v>3.0075331790000001E-5</v>
      </c>
      <c r="PL12">
        <v>8.4110458509999999E-4</v>
      </c>
      <c r="PM12" s="2">
        <v>3.0075331790000001E-5</v>
      </c>
      <c r="PN12">
        <v>5.1196823170000002E-4</v>
      </c>
      <c r="PO12">
        <v>8.0085676829999997E-4</v>
      </c>
      <c r="PP12" s="2">
        <v>4.0247816890000003E-5</v>
      </c>
      <c r="PQ12">
        <v>1.3833006379999999</v>
      </c>
      <c r="PR12">
        <v>0.70198632689999996</v>
      </c>
      <c r="PS12">
        <v>0.25822360449999998</v>
      </c>
      <c r="PT12">
        <v>16.232993329999999</v>
      </c>
      <c r="PU12">
        <v>94.504018070000001</v>
      </c>
      <c r="PV12">
        <v>1.706254468</v>
      </c>
      <c r="PW12">
        <v>0.77993709410000001</v>
      </c>
      <c r="PX12">
        <v>0.46950710620000002</v>
      </c>
      <c r="PY12">
        <v>12.33948854</v>
      </c>
      <c r="PZ12">
        <v>92.044550619999995</v>
      </c>
      <c r="QA12">
        <v>1.7058483520000001</v>
      </c>
      <c r="QB12">
        <v>0.7427160545</v>
      </c>
      <c r="QC12">
        <v>0.45199550090000001</v>
      </c>
      <c r="QD12">
        <v>12.344862389999999</v>
      </c>
      <c r="QE12">
        <v>92.047892779999998</v>
      </c>
      <c r="QF12" s="2">
        <v>3.7168163240000002E-5</v>
      </c>
      <c r="QG12">
        <v>5.9919901470000003E-4</v>
      </c>
      <c r="QH12">
        <v>8.8009098530000005E-4</v>
      </c>
      <c r="QI12" s="2">
        <v>6.2215914899999998E-5</v>
      </c>
      <c r="QJ12" s="2">
        <v>3.4858462760000001E-5</v>
      </c>
      <c r="QK12">
        <v>5.9919262750000001E-4</v>
      </c>
      <c r="QL12">
        <v>8.8007637249999996E-4</v>
      </c>
      <c r="QM12" s="2">
        <v>6.1501614769999996E-5</v>
      </c>
      <c r="QN12">
        <v>11.96382244</v>
      </c>
      <c r="QO12">
        <v>2.2604979040000002</v>
      </c>
      <c r="QP12">
        <v>175.5854132</v>
      </c>
      <c r="QQ12">
        <v>7.1544577949999999</v>
      </c>
      <c r="QR12">
        <v>11.978279089999999</v>
      </c>
      <c r="QS12">
        <v>2.263460647</v>
      </c>
      <c r="QT12">
        <v>175.58521529999999</v>
      </c>
      <c r="QU12">
        <v>7.1498406179999998</v>
      </c>
    </row>
    <row r="13" spans="1:463" x14ac:dyDescent="0.2">
      <c r="A13" t="s">
        <v>283</v>
      </c>
      <c r="B13" s="2">
        <v>9.0994678650000005E-12</v>
      </c>
      <c r="C13" s="2">
        <v>1.2328674220000001E-11</v>
      </c>
      <c r="D13">
        <v>1.2709965510000001E-2</v>
      </c>
      <c r="E13">
        <v>5.9811490389999999E-2</v>
      </c>
      <c r="F13">
        <v>0.46476691240000001</v>
      </c>
      <c r="G13">
        <v>3.8967427399999997E-2</v>
      </c>
      <c r="H13">
        <v>0.1833757855</v>
      </c>
      <c r="I13">
        <v>1.4249268340000001</v>
      </c>
      <c r="J13">
        <v>32.604186660000003</v>
      </c>
      <c r="K13">
        <v>32.616896619999999</v>
      </c>
      <c r="L13">
        <v>32.616896619999999</v>
      </c>
      <c r="M13">
        <v>32.616896619999999</v>
      </c>
      <c r="N13">
        <v>32.557085129999997</v>
      </c>
      <c r="O13">
        <v>32.616896619999999</v>
      </c>
      <c r="P13">
        <v>32.152129709999997</v>
      </c>
      <c r="Q13">
        <v>32.616896619999999</v>
      </c>
      <c r="R13">
        <v>1.8104347649999999</v>
      </c>
      <c r="S13">
        <v>0.3948899495</v>
      </c>
      <c r="T13">
        <v>1.1020264799999999</v>
      </c>
      <c r="U13">
        <v>3.0337714880000002</v>
      </c>
      <c r="V13">
        <v>1.6559329460000001</v>
      </c>
      <c r="W13">
        <v>0.24755915570000001</v>
      </c>
      <c r="X13">
        <v>1.0021145359999999</v>
      </c>
      <c r="Y13">
        <v>2.2600574739999999</v>
      </c>
      <c r="Z13">
        <v>3.4663677110000002</v>
      </c>
      <c r="AA13">
        <v>0.48604062339999998</v>
      </c>
      <c r="AB13">
        <v>2.2994119999999998</v>
      </c>
      <c r="AC13">
        <v>4.5958610000000002</v>
      </c>
      <c r="AD13">
        <v>1.1777219830000001</v>
      </c>
      <c r="AE13">
        <v>0.2450557542</v>
      </c>
      <c r="AF13">
        <v>0.66555028569999997</v>
      </c>
      <c r="AG13">
        <v>2.077311667</v>
      </c>
      <c r="AH13">
        <v>3.4663677110000002</v>
      </c>
      <c r="AI13">
        <v>0.48604062339999998</v>
      </c>
      <c r="AJ13">
        <v>2.2994119999999998</v>
      </c>
      <c r="AK13">
        <v>4.5958610000000002</v>
      </c>
      <c r="AL13">
        <v>0.47895194940000002</v>
      </c>
      <c r="AM13">
        <v>6.0542912419999997E-2</v>
      </c>
      <c r="AN13">
        <v>0.34344231130000002</v>
      </c>
      <c r="AO13">
        <v>0.66836949550000002</v>
      </c>
      <c r="AP13">
        <v>0.58584746170000002</v>
      </c>
      <c r="AQ13">
        <v>6.8680337889999998E-2</v>
      </c>
      <c r="AR13">
        <v>0.42531211349999998</v>
      </c>
      <c r="AS13">
        <v>0.79775599559999999</v>
      </c>
      <c r="AT13">
        <v>6.8313035539999997E-2</v>
      </c>
      <c r="AU13">
        <v>0.35147805630000001</v>
      </c>
      <c r="AV13">
        <v>-0.81611490190000002</v>
      </c>
      <c r="AW13">
        <v>0.91092473220000003</v>
      </c>
      <c r="AX13">
        <v>2.7724712330000001</v>
      </c>
      <c r="AY13">
        <v>0.49048932249999999</v>
      </c>
      <c r="AZ13">
        <v>1.969731796</v>
      </c>
      <c r="BA13">
        <v>4.9561151969999999</v>
      </c>
      <c r="BB13">
        <v>0.33428712230000002</v>
      </c>
      <c r="BC13">
        <v>0.1315815964</v>
      </c>
      <c r="BD13">
        <v>0.1510472722</v>
      </c>
      <c r="BE13">
        <v>1.284319996</v>
      </c>
      <c r="BF13">
        <v>2.7690851150000002</v>
      </c>
      <c r="BG13">
        <v>0.64612361070000002</v>
      </c>
      <c r="BH13">
        <v>1.491175795</v>
      </c>
      <c r="BI13">
        <v>5.2912530520000001</v>
      </c>
      <c r="BJ13">
        <v>13.422998059999999</v>
      </c>
      <c r="BK13">
        <v>11.723977619999999</v>
      </c>
      <c r="BL13">
        <v>0.35351303579999999</v>
      </c>
      <c r="BM13">
        <v>49.39846902</v>
      </c>
      <c r="BN13">
        <v>1.0362815240000001</v>
      </c>
      <c r="BO13">
        <v>0.15782010069999999</v>
      </c>
      <c r="BP13">
        <v>0.68689940220000001</v>
      </c>
      <c r="BQ13">
        <v>1.481493621</v>
      </c>
      <c r="BR13">
        <v>33.628881249999999</v>
      </c>
      <c r="BS13">
        <v>10.90243691</v>
      </c>
      <c r="BT13">
        <v>7.7862215289999996</v>
      </c>
      <c r="BU13">
        <v>66.204439539999996</v>
      </c>
      <c r="BV13">
        <v>1.4551686420000001</v>
      </c>
      <c r="BW13">
        <v>0.19833796440000001</v>
      </c>
      <c r="BX13">
        <v>1.0408761630000001</v>
      </c>
      <c r="BY13">
        <v>2.0164320930000001</v>
      </c>
      <c r="BZ13">
        <v>1.4778431480000001</v>
      </c>
      <c r="CA13">
        <v>0.22465222109999999</v>
      </c>
      <c r="CB13">
        <v>0.83577440430000005</v>
      </c>
      <c r="CC13">
        <v>2.0621978369999998</v>
      </c>
      <c r="CD13">
        <v>2.933011789</v>
      </c>
      <c r="CE13">
        <v>0.1971059194</v>
      </c>
      <c r="CF13">
        <v>2.0830259999999998</v>
      </c>
      <c r="CG13">
        <v>3.127618</v>
      </c>
      <c r="CH13">
        <v>1.0635760830000001</v>
      </c>
      <c r="CI13">
        <v>0.18694406120000001</v>
      </c>
      <c r="CJ13">
        <v>0.66555028569999997</v>
      </c>
      <c r="CK13">
        <v>1.933148667</v>
      </c>
      <c r="CL13">
        <v>2.933011789</v>
      </c>
      <c r="CM13">
        <v>0.1971059194</v>
      </c>
      <c r="CN13">
        <v>2.0830259999999998</v>
      </c>
      <c r="CO13">
        <v>3.127618</v>
      </c>
      <c r="CP13">
        <v>0.47274356540000001</v>
      </c>
      <c r="CQ13">
        <v>5.7030065570000003E-2</v>
      </c>
      <c r="CR13">
        <v>0.34272394179999999</v>
      </c>
      <c r="CS13">
        <v>0.63666366360000004</v>
      </c>
      <c r="CT13">
        <v>0.57342992640000001</v>
      </c>
      <c r="CU13">
        <v>6.1662387139999997E-2</v>
      </c>
      <c r="CV13">
        <v>0.42330540090000002</v>
      </c>
      <c r="CW13">
        <v>0.74533696279999995</v>
      </c>
      <c r="CX13">
        <v>3.7100076629999999E-2</v>
      </c>
      <c r="CY13">
        <v>0.3417710752</v>
      </c>
      <c r="CZ13">
        <v>-0.78998426160000002</v>
      </c>
      <c r="DA13">
        <v>0.88181665610000004</v>
      </c>
      <c r="DB13">
        <v>2.5411776210000001</v>
      </c>
      <c r="DC13">
        <v>0.35310539470000002</v>
      </c>
      <c r="DD13">
        <v>1.7982032960000001</v>
      </c>
      <c r="DE13">
        <v>4.0937664109999998</v>
      </c>
      <c r="DF13">
        <v>0.30988825640000001</v>
      </c>
      <c r="DG13">
        <v>0.1223707186</v>
      </c>
      <c r="DH13">
        <v>0.1424159995</v>
      </c>
      <c r="DI13">
        <v>1.284319996</v>
      </c>
      <c r="DJ13">
        <v>2.5515435750000002</v>
      </c>
      <c r="DK13">
        <v>0.50664455559999999</v>
      </c>
      <c r="DL13">
        <v>1.496369287</v>
      </c>
      <c r="DM13">
        <v>4.5063982669999998</v>
      </c>
      <c r="DN13">
        <v>25.170981319999999</v>
      </c>
      <c r="DO13">
        <v>11.23648388</v>
      </c>
      <c r="DP13">
        <v>4.1095890410000004</v>
      </c>
      <c r="DQ13">
        <v>53.640026519999999</v>
      </c>
      <c r="DR13">
        <v>1.032577018</v>
      </c>
      <c r="DS13">
        <v>0.1553159133</v>
      </c>
      <c r="DT13">
        <v>0.68618449660000003</v>
      </c>
      <c r="DU13">
        <v>1.4582846629999999</v>
      </c>
      <c r="DV13">
        <v>36.003183730000003</v>
      </c>
      <c r="DW13">
        <v>11.18127761</v>
      </c>
      <c r="DX13">
        <v>7.7862215289999996</v>
      </c>
      <c r="DY13">
        <v>70.216829809999993</v>
      </c>
      <c r="DZ13">
        <v>0.76431868150000004</v>
      </c>
      <c r="EA13">
        <v>0.18220914999999999</v>
      </c>
      <c r="EB13">
        <v>0.45366119840000002</v>
      </c>
      <c r="EC13">
        <v>1.359409753</v>
      </c>
      <c r="ED13">
        <v>0.77078863050000002</v>
      </c>
      <c r="EE13">
        <v>0.1282104969</v>
      </c>
      <c r="EF13">
        <v>0.49869364020000001</v>
      </c>
      <c r="EG13">
        <v>1.166419278</v>
      </c>
      <c r="EH13">
        <v>1.5351073120000001</v>
      </c>
      <c r="EI13">
        <v>0.2830686731</v>
      </c>
      <c r="EJ13">
        <v>0.95488499999999998</v>
      </c>
      <c r="EK13">
        <v>2.4413047140000002</v>
      </c>
      <c r="EL13">
        <v>0.67590695030000003</v>
      </c>
      <c r="EM13">
        <v>0.14804385849999999</v>
      </c>
      <c r="EN13">
        <v>0.3807589254</v>
      </c>
      <c r="EO13">
        <v>1.191890042</v>
      </c>
      <c r="EP13">
        <v>2.6151850680000002</v>
      </c>
      <c r="EQ13">
        <v>0.63369556640000002</v>
      </c>
      <c r="ER13">
        <v>1.4670300000000001</v>
      </c>
      <c r="ES13">
        <v>4.759862</v>
      </c>
      <c r="ET13">
        <v>0.2004834274</v>
      </c>
      <c r="EU13">
        <v>2.746387979E-2</v>
      </c>
      <c r="EV13">
        <v>0.136407739</v>
      </c>
      <c r="EW13">
        <v>0.29449659099999997</v>
      </c>
      <c r="EX13">
        <v>0.2620060125</v>
      </c>
      <c r="EY13">
        <v>4.0090977329999999E-2</v>
      </c>
      <c r="EZ13">
        <v>0.1773062259</v>
      </c>
      <c r="FA13">
        <v>0.39589110799999999</v>
      </c>
      <c r="FB13">
        <v>-0.1006326334</v>
      </c>
      <c r="FC13">
        <v>0.2815245099</v>
      </c>
      <c r="FD13">
        <v>-0.72857636029999995</v>
      </c>
      <c r="FE13">
        <v>0.94684619969999995</v>
      </c>
      <c r="FF13">
        <v>4.1986848769999998</v>
      </c>
      <c r="FG13">
        <v>0.9384037261</v>
      </c>
      <c r="FH13">
        <v>2.6562187929999999</v>
      </c>
      <c r="FI13">
        <v>7.3693757419999999</v>
      </c>
      <c r="FJ13">
        <v>1.389582326</v>
      </c>
      <c r="FK13">
        <v>0.46351199809999999</v>
      </c>
      <c r="FL13">
        <v>0.60072034129999996</v>
      </c>
      <c r="FM13">
        <v>3.3952575719999998</v>
      </c>
      <c r="FN13">
        <v>1.2246408790000001</v>
      </c>
      <c r="FO13">
        <v>0.28338103879999998</v>
      </c>
      <c r="FP13">
        <v>0.82148657030000005</v>
      </c>
      <c r="FQ13">
        <v>2.4741195500000002</v>
      </c>
      <c r="FR13">
        <v>2.4538840579999999</v>
      </c>
      <c r="FS13">
        <v>0.60213726670000001</v>
      </c>
      <c r="FT13">
        <v>1.4085380000000001</v>
      </c>
      <c r="FU13">
        <v>4.5628200000000003</v>
      </c>
      <c r="FV13">
        <v>1.684890421</v>
      </c>
      <c r="FW13">
        <v>0.4540591712</v>
      </c>
      <c r="FX13">
        <v>0.83809</v>
      </c>
      <c r="FY13">
        <v>3.5059</v>
      </c>
      <c r="FZ13">
        <v>0.1081195866</v>
      </c>
      <c r="GA13">
        <v>1.6290152280000001E-2</v>
      </c>
      <c r="GB13">
        <v>7.7804788459999996E-2</v>
      </c>
      <c r="GC13">
        <v>0.178400689</v>
      </c>
      <c r="GD13">
        <v>2.5074966679999999</v>
      </c>
      <c r="GE13">
        <v>0.56542173370000004</v>
      </c>
      <c r="GF13">
        <v>1.4997245480000001</v>
      </c>
      <c r="GG13">
        <v>4.6618153180000004</v>
      </c>
      <c r="GH13">
        <v>24.448926149999998</v>
      </c>
      <c r="GI13">
        <v>29.064881310000001</v>
      </c>
      <c r="GJ13">
        <v>0.1231223836</v>
      </c>
      <c r="GK13">
        <v>97.451198890000001</v>
      </c>
      <c r="GL13">
        <v>0.38344465960000002</v>
      </c>
      <c r="GM13">
        <v>4.6856796450000002E-2</v>
      </c>
      <c r="GN13">
        <v>0.27451990199999998</v>
      </c>
      <c r="GO13">
        <v>0.55464010159999999</v>
      </c>
      <c r="GP13">
        <v>6.1599390590000001</v>
      </c>
      <c r="GQ13">
        <v>1.820100759</v>
      </c>
      <c r="GR13">
        <v>2.5609455799999998</v>
      </c>
      <c r="GS13">
        <v>12.11524255</v>
      </c>
      <c r="GT13">
        <v>94.458300140000006</v>
      </c>
      <c r="GU13">
        <v>13.37005798</v>
      </c>
      <c r="GV13">
        <v>56.05359516</v>
      </c>
      <c r="GW13">
        <v>128.52679380000001</v>
      </c>
      <c r="GX13">
        <v>0.69387858219999998</v>
      </c>
      <c r="GY13">
        <v>0.13223496679999999</v>
      </c>
      <c r="GZ13">
        <v>0.44992805019999998</v>
      </c>
      <c r="HA13">
        <v>1.3038850420000001</v>
      </c>
      <c r="HB13">
        <v>0.73307896370000003</v>
      </c>
      <c r="HC13">
        <v>0.1214793613</v>
      </c>
      <c r="HD13">
        <v>0.44623980699999999</v>
      </c>
      <c r="HE13">
        <v>1.1456296930000001</v>
      </c>
      <c r="HF13">
        <v>1.4269575459999999</v>
      </c>
      <c r="HG13">
        <v>0.219873606</v>
      </c>
      <c r="HH13">
        <v>0.89616785710000002</v>
      </c>
      <c r="HI13">
        <v>2.2153527139999998</v>
      </c>
      <c r="HJ13">
        <v>0.62647356580000002</v>
      </c>
      <c r="HK13">
        <v>0.11333606290000001</v>
      </c>
      <c r="HL13">
        <v>0.3807589254</v>
      </c>
      <c r="HM13">
        <v>0.94513232650000001</v>
      </c>
      <c r="HN13">
        <v>2.3160747050000001</v>
      </c>
      <c r="HO13">
        <v>0.44981398220000002</v>
      </c>
      <c r="HP13">
        <v>1.4235390000000001</v>
      </c>
      <c r="HQ13">
        <v>3.7509489999999999</v>
      </c>
      <c r="HR13">
        <v>0.19545763259999999</v>
      </c>
      <c r="HS13">
        <v>2.3734318010000002E-2</v>
      </c>
      <c r="HT13">
        <v>0.13627907040000001</v>
      </c>
      <c r="HU13">
        <v>0.26924492589999999</v>
      </c>
      <c r="HV13">
        <v>0.251804421</v>
      </c>
      <c r="HW13">
        <v>3.2144623949999999E-2</v>
      </c>
      <c r="HX13">
        <v>0.1767397899</v>
      </c>
      <c r="HY13">
        <v>0.33421050000000002</v>
      </c>
      <c r="HZ13">
        <v>-0.14107180220000001</v>
      </c>
      <c r="IA13">
        <v>0.26968990059999998</v>
      </c>
      <c r="IB13">
        <v>-0.78474833720000003</v>
      </c>
      <c r="IC13">
        <v>0.79634040390000005</v>
      </c>
      <c r="ID13">
        <v>3.863773718</v>
      </c>
      <c r="IE13">
        <v>0.76748561459999998</v>
      </c>
      <c r="IF13">
        <v>2.4842103240000002</v>
      </c>
      <c r="IG13">
        <v>7.1354176919999999</v>
      </c>
      <c r="IH13">
        <v>1.1882563020000001</v>
      </c>
      <c r="II13">
        <v>0.30608230870000003</v>
      </c>
      <c r="IJ13">
        <v>0.599179872</v>
      </c>
      <c r="IK13">
        <v>2.0719564909999999</v>
      </c>
      <c r="IL13">
        <v>1.1278184040000001</v>
      </c>
      <c r="IM13">
        <v>0.27760105289999998</v>
      </c>
      <c r="IN13">
        <v>0.56787987660000006</v>
      </c>
      <c r="IO13">
        <v>2.4335496239999999</v>
      </c>
      <c r="IP13">
        <v>2.1793441950000001</v>
      </c>
      <c r="IQ13">
        <v>0.41318173359999999</v>
      </c>
      <c r="IR13">
        <v>1.315088</v>
      </c>
      <c r="IS13">
        <v>3.0830790000000001</v>
      </c>
      <c r="IT13">
        <v>1.5970623370000001</v>
      </c>
      <c r="IU13">
        <v>0.38639770890000003</v>
      </c>
      <c r="IV13">
        <v>0.83809</v>
      </c>
      <c r="IW13">
        <v>2.8817529999999998</v>
      </c>
      <c r="IX13">
        <v>0.1022471211</v>
      </c>
      <c r="IY13">
        <v>1.33568196E-2</v>
      </c>
      <c r="IZ13">
        <v>7.2686052380000005E-2</v>
      </c>
      <c r="JA13">
        <v>0.14687675620000001</v>
      </c>
      <c r="JB13">
        <v>2.345498171</v>
      </c>
      <c r="JC13">
        <v>0.45040869080000001</v>
      </c>
      <c r="JD13">
        <v>1.4143101499999999</v>
      </c>
      <c r="JE13">
        <v>4.0521553900000002</v>
      </c>
      <c r="JF13">
        <v>33.72097608</v>
      </c>
      <c r="JG13">
        <v>29.721336910000002</v>
      </c>
      <c r="JH13">
        <v>0.14774686040000001</v>
      </c>
      <c r="JI13">
        <v>97.638905050000005</v>
      </c>
      <c r="JJ13">
        <v>0.38066991620000001</v>
      </c>
      <c r="JK13">
        <v>4.635433605E-2</v>
      </c>
      <c r="JL13">
        <v>0.2744853209</v>
      </c>
      <c r="JM13">
        <v>0.55426857039999999</v>
      </c>
      <c r="JN13">
        <v>7.0352665459999999</v>
      </c>
      <c r="JO13">
        <v>1.8350976029999999</v>
      </c>
      <c r="JP13">
        <v>3.0288106379999999</v>
      </c>
      <c r="JQ13">
        <v>13.247968480000001</v>
      </c>
      <c r="JR13">
        <v>99.453119009999995</v>
      </c>
      <c r="JS13">
        <v>12.818782669999999</v>
      </c>
      <c r="JT13">
        <v>68.084292270000006</v>
      </c>
      <c r="JU13">
        <v>137.57797640000001</v>
      </c>
      <c r="JV13">
        <v>0.87051904420000004</v>
      </c>
      <c r="JW13">
        <v>0.17342627150000001</v>
      </c>
      <c r="JX13">
        <v>0.51136471520000004</v>
      </c>
      <c r="JY13">
        <v>1.41556013</v>
      </c>
      <c r="JZ13">
        <v>0.78335128740000004</v>
      </c>
      <c r="KA13">
        <v>0.16971830099999999</v>
      </c>
      <c r="KB13">
        <v>0.452959905</v>
      </c>
      <c r="KC13">
        <v>1.1861344220000001</v>
      </c>
      <c r="KD13">
        <v>1.6538703320000001</v>
      </c>
      <c r="KE13">
        <v>0.24107368479999999</v>
      </c>
      <c r="KF13">
        <v>1.1188370000000001</v>
      </c>
      <c r="KG13">
        <v>2.2311899999999998</v>
      </c>
      <c r="KH13">
        <v>1.335551573</v>
      </c>
      <c r="KI13">
        <v>0.31798947239999997</v>
      </c>
      <c r="KJ13">
        <v>0.58609199999999995</v>
      </c>
      <c r="KK13">
        <v>2.0329730000000001</v>
      </c>
      <c r="KL13">
        <v>1.6538703320000001</v>
      </c>
      <c r="KM13">
        <v>0.24107368479999999</v>
      </c>
      <c r="KN13">
        <v>1.1188370000000001</v>
      </c>
      <c r="KO13">
        <v>2.2311899999999998</v>
      </c>
      <c r="KP13">
        <v>0.3986021139</v>
      </c>
      <c r="KQ13">
        <v>6.7541271819999998E-2</v>
      </c>
      <c r="KR13">
        <v>0.2353568019</v>
      </c>
      <c r="KS13">
        <v>0.59160425400000005</v>
      </c>
      <c r="KT13">
        <v>0.46668750539999998</v>
      </c>
      <c r="KU13">
        <v>7.2892985909999999E-2</v>
      </c>
      <c r="KV13">
        <v>0.30240509119999998</v>
      </c>
      <c r="KW13">
        <v>0.66163733410000003</v>
      </c>
      <c r="KX13">
        <v>0.1518365082</v>
      </c>
      <c r="KY13">
        <v>0.42744442570000002</v>
      </c>
      <c r="KZ13">
        <v>-0.64094556260000002</v>
      </c>
      <c r="LA13">
        <v>1.395121491</v>
      </c>
      <c r="LB13">
        <v>2.0872971869999999</v>
      </c>
      <c r="LC13">
        <v>0.44009479689999997</v>
      </c>
      <c r="LD13">
        <v>1.417069307</v>
      </c>
      <c r="LE13">
        <v>4.14937281</v>
      </c>
      <c r="LF13">
        <v>2.7580001850000002</v>
      </c>
      <c r="LG13">
        <v>0.95423029619999999</v>
      </c>
      <c r="LH13">
        <v>0.50231999829999996</v>
      </c>
      <c r="LI13">
        <v>5.2163999820000004</v>
      </c>
      <c r="LJ13">
        <v>7.1981083409999994E-2</v>
      </c>
      <c r="LK13">
        <v>9.7353510769999999E-3</v>
      </c>
      <c r="LL13">
        <v>4.5195493349999998E-2</v>
      </c>
      <c r="LM13">
        <v>0.1240850577</v>
      </c>
      <c r="LN13">
        <v>56.957983489999997</v>
      </c>
      <c r="LO13">
        <v>15.17954991</v>
      </c>
      <c r="LP13">
        <v>17.101193110000001</v>
      </c>
      <c r="LQ13">
        <v>89.980795209999997</v>
      </c>
      <c r="LR13">
        <v>0.91953337960000003</v>
      </c>
      <c r="LS13">
        <v>0.1821392933</v>
      </c>
      <c r="LT13">
        <v>0.41992883019999999</v>
      </c>
      <c r="LU13">
        <v>1.5414308489999999</v>
      </c>
      <c r="LV13">
        <v>23.335296499999998</v>
      </c>
      <c r="LW13">
        <v>4.9993191069999998</v>
      </c>
      <c r="LX13">
        <v>11.752576579999999</v>
      </c>
      <c r="LY13">
        <v>36.699072030000004</v>
      </c>
      <c r="LZ13">
        <v>4.157407278</v>
      </c>
      <c r="MA13">
        <v>1.922405328</v>
      </c>
      <c r="MB13">
        <v>1.9170309089999999</v>
      </c>
      <c r="MC13">
        <v>19.907628670000001</v>
      </c>
      <c r="MD13">
        <v>0.85176588980000001</v>
      </c>
      <c r="ME13">
        <v>0.16488433080000001</v>
      </c>
      <c r="MF13">
        <v>0.51136471520000004</v>
      </c>
      <c r="MG13">
        <v>1.381517232</v>
      </c>
      <c r="MH13">
        <v>0.77002634179999996</v>
      </c>
      <c r="MI13">
        <v>0.16238159490000001</v>
      </c>
      <c r="MJ13">
        <v>0.45082494560000003</v>
      </c>
      <c r="MK13">
        <v>1.1812807569999999</v>
      </c>
      <c r="ML13">
        <v>1.621792232</v>
      </c>
      <c r="MM13">
        <v>0.22594210040000001</v>
      </c>
      <c r="MN13">
        <v>1.115354</v>
      </c>
      <c r="MO13">
        <v>2.152412</v>
      </c>
      <c r="MP13">
        <v>1.3123738819999999</v>
      </c>
      <c r="MQ13">
        <v>0.30704318679999998</v>
      </c>
      <c r="MR13">
        <v>0.57879000000000003</v>
      </c>
      <c r="MS13">
        <v>2.0282909999999998</v>
      </c>
      <c r="MT13">
        <v>1.621792232</v>
      </c>
      <c r="MU13">
        <v>0.22594210040000001</v>
      </c>
      <c r="MV13">
        <v>1.115354</v>
      </c>
      <c r="MW13">
        <v>2.152412</v>
      </c>
      <c r="MX13">
        <v>0.39363554499999998</v>
      </c>
      <c r="MY13">
        <v>6.5906945960000005E-2</v>
      </c>
      <c r="MZ13">
        <v>0.23509447959999999</v>
      </c>
      <c r="NA13">
        <v>0.58749312880000004</v>
      </c>
      <c r="NB13">
        <v>0.4601796326</v>
      </c>
      <c r="NC13">
        <v>7.0638512020000002E-2</v>
      </c>
      <c r="ND13">
        <v>0.30190805910000001</v>
      </c>
      <c r="NE13">
        <v>0.65649570589999995</v>
      </c>
      <c r="NF13">
        <v>0.15021305630000001</v>
      </c>
      <c r="NG13">
        <v>0.42149681039999998</v>
      </c>
      <c r="NH13">
        <v>-0.64850407590000003</v>
      </c>
      <c r="NI13">
        <v>1.350165858</v>
      </c>
      <c r="NJ13">
        <v>2.0696506459999999</v>
      </c>
      <c r="NK13">
        <v>0.42217117749999999</v>
      </c>
      <c r="NL13">
        <v>1.409762932</v>
      </c>
      <c r="NM13">
        <v>3.9771290100000001</v>
      </c>
      <c r="NN13">
        <v>2.7662545070000002</v>
      </c>
      <c r="NO13">
        <v>0.96070154829999999</v>
      </c>
      <c r="NP13">
        <v>0.50093999830000002</v>
      </c>
      <c r="NQ13">
        <v>5.2163999820000004</v>
      </c>
      <c r="NR13">
        <v>7.102255147E-2</v>
      </c>
      <c r="NS13">
        <v>9.3671359629999996E-3</v>
      </c>
      <c r="NT13">
        <v>4.4948172199999997E-2</v>
      </c>
      <c r="NU13">
        <v>0.11843267339999999</v>
      </c>
      <c r="NV13">
        <v>58.077254889999999</v>
      </c>
      <c r="NW13">
        <v>14.95692294</v>
      </c>
      <c r="NX13">
        <v>17.764030049999999</v>
      </c>
      <c r="NY13">
        <v>92.200618649999996</v>
      </c>
      <c r="NZ13">
        <v>0.91055891730000005</v>
      </c>
      <c r="OA13">
        <v>0.1796719795</v>
      </c>
      <c r="OB13">
        <v>0.41985345200000002</v>
      </c>
      <c r="OC13">
        <v>1.430690765</v>
      </c>
      <c r="OD13">
        <v>23.52029958</v>
      </c>
      <c r="OE13">
        <v>5.0608114180000001</v>
      </c>
      <c r="OF13">
        <v>9.8762704370000005</v>
      </c>
      <c r="OG13">
        <v>36.190897040000003</v>
      </c>
      <c r="OH13">
        <v>4.1492632589999996</v>
      </c>
      <c r="OI13">
        <v>1.9207857930000001</v>
      </c>
      <c r="OJ13">
        <v>1.9170309089999999</v>
      </c>
      <c r="OK13">
        <v>19.962470620000001</v>
      </c>
      <c r="OL13">
        <v>0.58437466640000002</v>
      </c>
      <c r="OM13">
        <v>0.12690747860000001</v>
      </c>
      <c r="ON13">
        <v>2.6381494729999999</v>
      </c>
      <c r="OO13">
        <v>3.152228</v>
      </c>
      <c r="OP13">
        <v>2.255315</v>
      </c>
      <c r="OQ13">
        <v>5.4075430000000004</v>
      </c>
      <c r="OR13">
        <v>0.48599880670000001</v>
      </c>
      <c r="OS13" s="2">
        <v>2.3324946439999999E-5</v>
      </c>
      <c r="OT13">
        <v>8.0073006150000001E-4</v>
      </c>
      <c r="OU13" s="2">
        <v>2.3324946439999999E-5</v>
      </c>
      <c r="OV13">
        <v>5.5431400299999997E-4</v>
      </c>
      <c r="OW13">
        <v>7.4914099699999995E-4</v>
      </c>
      <c r="OX13" s="2">
        <v>5.1589064479999997E-5</v>
      </c>
      <c r="OY13">
        <v>1.6654396680000001</v>
      </c>
      <c r="OZ13">
        <v>0.45847023440000001</v>
      </c>
      <c r="PA13">
        <v>0.44614876850000001</v>
      </c>
      <c r="PB13">
        <v>9.2682156280000001</v>
      </c>
      <c r="PC13">
        <v>94.538143099999999</v>
      </c>
      <c r="PD13">
        <v>0.57145995309999997</v>
      </c>
      <c r="PE13">
        <v>8.2556682490000005E-2</v>
      </c>
      <c r="PF13">
        <v>2.3182669929999999</v>
      </c>
      <c r="PG13">
        <v>2.0774759999999999</v>
      </c>
      <c r="PH13">
        <v>1.8802509999999999</v>
      </c>
      <c r="PI13">
        <v>3.9577270000000002</v>
      </c>
      <c r="PJ13">
        <v>0.47978985680000003</v>
      </c>
      <c r="PK13" s="2">
        <v>2.057503407E-5</v>
      </c>
      <c r="PL13">
        <v>7.9524750299999995E-4</v>
      </c>
      <c r="PM13" s="2">
        <v>2.057503407E-5</v>
      </c>
      <c r="PN13">
        <v>5.528902111E-4</v>
      </c>
      <c r="PO13">
        <v>7.458257889E-4</v>
      </c>
      <c r="PP13" s="2">
        <v>4.9421714110000001E-5</v>
      </c>
      <c r="PQ13">
        <v>1.6510800290000001</v>
      </c>
      <c r="PR13">
        <v>0.40226626780000002</v>
      </c>
      <c r="PS13">
        <v>0.39080349260000002</v>
      </c>
      <c r="PT13">
        <v>9.4543045929999998</v>
      </c>
      <c r="PU13">
        <v>94.633672419999996</v>
      </c>
      <c r="PV13">
        <v>1.791013711</v>
      </c>
      <c r="PW13">
        <v>0.51845026360000002</v>
      </c>
      <c r="PX13">
        <v>0.50253356230000001</v>
      </c>
      <c r="PY13">
        <v>8.7731186290000007</v>
      </c>
      <c r="PZ13">
        <v>92.382670480000002</v>
      </c>
      <c r="QA13">
        <v>1.786490108</v>
      </c>
      <c r="QB13">
        <v>0.4517821729</v>
      </c>
      <c r="QC13">
        <v>0.44727365740000002</v>
      </c>
      <c r="QD13">
        <v>8.7263294499999997</v>
      </c>
      <c r="QE13">
        <v>92.471804449999993</v>
      </c>
      <c r="QF13" s="2">
        <v>2.669297377E-5</v>
      </c>
      <c r="QG13">
        <v>6.0025349959999996E-4</v>
      </c>
      <c r="QH13">
        <v>8.0344850039999998E-4</v>
      </c>
      <c r="QI13" s="2">
        <v>6.4684678549999994E-5</v>
      </c>
      <c r="QJ13" s="2">
        <v>2.376126169E-5</v>
      </c>
      <c r="QK13">
        <v>5.9840317160000001E-4</v>
      </c>
      <c r="QL13">
        <v>8.0021882839999997E-4</v>
      </c>
      <c r="QM13" s="2">
        <v>6.2171880479999997E-5</v>
      </c>
      <c r="QN13">
        <v>8.6234284419999998</v>
      </c>
      <c r="QO13">
        <v>2.2652668920000001</v>
      </c>
      <c r="QP13">
        <v>175.56971050000001</v>
      </c>
      <c r="QQ13">
        <v>7.1570004149999997</v>
      </c>
      <c r="QR13">
        <v>8.5700250859999993</v>
      </c>
      <c r="QS13">
        <v>2.2663828279999998</v>
      </c>
      <c r="QT13">
        <v>175.57531850000001</v>
      </c>
      <c r="QU13">
        <v>7.1492488639999996</v>
      </c>
    </row>
    <row r="14" spans="1:463" x14ac:dyDescent="0.2">
      <c r="A14" t="s">
        <v>284</v>
      </c>
      <c r="B14" s="2">
        <v>1.016205651E-11</v>
      </c>
      <c r="C14" s="2">
        <v>1.8422572869999999E-11</v>
      </c>
      <c r="D14">
        <v>1.143211312E-2</v>
      </c>
      <c r="E14">
        <v>4.9803868459999998E-2</v>
      </c>
      <c r="F14">
        <v>0.40161700880000001</v>
      </c>
      <c r="G14">
        <v>3.5049665369999997E-2</v>
      </c>
      <c r="H14">
        <v>0.15269346140000001</v>
      </c>
      <c r="I14">
        <v>1.231315822</v>
      </c>
      <c r="J14">
        <v>32.605464509999997</v>
      </c>
      <c r="K14">
        <v>32.616896619999999</v>
      </c>
      <c r="L14">
        <v>32.616896619999999</v>
      </c>
      <c r="M14">
        <v>32.616896619999999</v>
      </c>
      <c r="N14">
        <v>32.567092760000001</v>
      </c>
      <c r="O14">
        <v>32.616896619999999</v>
      </c>
      <c r="P14">
        <v>32.215279619999997</v>
      </c>
      <c r="Q14">
        <v>32.616896619999999</v>
      </c>
      <c r="R14">
        <v>1.6332834350000001</v>
      </c>
      <c r="S14">
        <v>0.47378128149999998</v>
      </c>
      <c r="T14">
        <v>0.74688621079999995</v>
      </c>
      <c r="U14">
        <v>2.7920494640000002</v>
      </c>
      <c r="V14">
        <v>1.180683565</v>
      </c>
      <c r="W14">
        <v>0.26068678919999999</v>
      </c>
      <c r="X14">
        <v>0.69580646489999998</v>
      </c>
      <c r="Y14">
        <v>2.093117662</v>
      </c>
      <c r="Z14">
        <v>2.8139669999999999</v>
      </c>
      <c r="AA14">
        <v>0.58231181899999995</v>
      </c>
      <c r="AB14">
        <v>1.621305</v>
      </c>
      <c r="AC14">
        <v>4.2921149999999999</v>
      </c>
      <c r="AD14">
        <v>1.5057436630000001</v>
      </c>
      <c r="AE14">
        <v>0.4620022862</v>
      </c>
      <c r="AF14">
        <v>0.71665328569999998</v>
      </c>
      <c r="AG14">
        <v>3.7227260000000002</v>
      </c>
      <c r="AH14">
        <v>2.8139669999999999</v>
      </c>
      <c r="AI14">
        <v>0.58231181899999995</v>
      </c>
      <c r="AJ14">
        <v>1.621305</v>
      </c>
      <c r="AK14">
        <v>4.2921149999999999</v>
      </c>
      <c r="AL14">
        <v>0.44355670470000003</v>
      </c>
      <c r="AM14">
        <v>7.2856285719999997E-2</v>
      </c>
      <c r="AN14">
        <v>0.27912382879999997</v>
      </c>
      <c r="AO14">
        <v>0.68821195000000002</v>
      </c>
      <c r="AP14">
        <v>0.54170017429999995</v>
      </c>
      <c r="AQ14">
        <v>7.9197873720000006E-2</v>
      </c>
      <c r="AR14">
        <v>0.36001949859999999</v>
      </c>
      <c r="AS14">
        <v>0.8210120944</v>
      </c>
      <c r="AT14">
        <v>0.3930461529</v>
      </c>
      <c r="AU14">
        <v>0.42795229280000002</v>
      </c>
      <c r="AV14">
        <v>-0.59024631999999999</v>
      </c>
      <c r="AW14">
        <v>1.49770797</v>
      </c>
      <c r="AX14">
        <v>2.8771455380000002</v>
      </c>
      <c r="AY14">
        <v>0.86274759359999997</v>
      </c>
      <c r="AZ14">
        <v>1.6483666029999999</v>
      </c>
      <c r="BA14">
        <v>7.5271301790000003</v>
      </c>
      <c r="BB14">
        <v>1.2043494429999999</v>
      </c>
      <c r="BC14">
        <v>0.50391285910000005</v>
      </c>
      <c r="BD14">
        <v>0.34815428450000002</v>
      </c>
      <c r="BE14">
        <v>4.0047599859999998</v>
      </c>
      <c r="BF14">
        <v>0.84784361590000001</v>
      </c>
      <c r="BG14">
        <v>0.62216220899999997</v>
      </c>
      <c r="BH14">
        <v>0.31509319790000001</v>
      </c>
      <c r="BI14">
        <v>3.2563520970000002</v>
      </c>
      <c r="BJ14">
        <v>19.975650810000001</v>
      </c>
      <c r="BK14">
        <v>16.017372120000001</v>
      </c>
      <c r="BL14">
        <v>0.13256738840000001</v>
      </c>
      <c r="BM14">
        <v>71.431727789999997</v>
      </c>
      <c r="BN14">
        <v>0.96337499579999997</v>
      </c>
      <c r="BO14">
        <v>0.19890911259999999</v>
      </c>
      <c r="BP14">
        <v>0.56959687260000003</v>
      </c>
      <c r="BQ14">
        <v>1.699483082</v>
      </c>
      <c r="BR14">
        <v>9.574594995</v>
      </c>
      <c r="BS14">
        <v>3.6415959770000002</v>
      </c>
      <c r="BT14">
        <v>2.497028545</v>
      </c>
      <c r="BU14">
        <v>28.72289799</v>
      </c>
      <c r="BV14">
        <v>1.3429557830000001</v>
      </c>
      <c r="BW14">
        <v>0.2095907558</v>
      </c>
      <c r="BX14">
        <v>0.74688621079999995</v>
      </c>
      <c r="BY14">
        <v>1.8403359909999999</v>
      </c>
      <c r="BZ14">
        <v>1.112717175</v>
      </c>
      <c r="CA14">
        <v>0.22102314789999999</v>
      </c>
      <c r="CB14">
        <v>0.62225814069999996</v>
      </c>
      <c r="CC14">
        <v>1.742764236</v>
      </c>
      <c r="CD14">
        <v>2.4556729580000001</v>
      </c>
      <c r="CE14">
        <v>0.2501826861</v>
      </c>
      <c r="CF14">
        <v>1.621305</v>
      </c>
      <c r="CG14">
        <v>2.8756360000000001</v>
      </c>
      <c r="CH14">
        <v>1.3664631599999999</v>
      </c>
      <c r="CI14">
        <v>0.34041136109999998</v>
      </c>
      <c r="CJ14">
        <v>0.71665328569999998</v>
      </c>
      <c r="CK14">
        <v>2.7215699999999998</v>
      </c>
      <c r="CL14">
        <v>2.4556729580000001</v>
      </c>
      <c r="CM14">
        <v>0.2501826861</v>
      </c>
      <c r="CN14">
        <v>1.621305</v>
      </c>
      <c r="CO14">
        <v>2.8756360000000001</v>
      </c>
      <c r="CP14">
        <v>0.43883323390000001</v>
      </c>
      <c r="CQ14">
        <v>6.9485200910000003E-2</v>
      </c>
      <c r="CR14">
        <v>0.27912382879999997</v>
      </c>
      <c r="CS14">
        <v>0.64671220340000002</v>
      </c>
      <c r="CT14">
        <v>0.53178703439999997</v>
      </c>
      <c r="CU14">
        <v>7.2288269540000005E-2</v>
      </c>
      <c r="CV14">
        <v>0.36001949859999999</v>
      </c>
      <c r="CW14">
        <v>0.75341572010000002</v>
      </c>
      <c r="CX14">
        <v>0.33597477469999998</v>
      </c>
      <c r="CY14">
        <v>0.4189952911</v>
      </c>
      <c r="CZ14">
        <v>-0.59024631999999999</v>
      </c>
      <c r="DA14">
        <v>1.2256059779999999</v>
      </c>
      <c r="DB14">
        <v>2.591432653</v>
      </c>
      <c r="DC14">
        <v>0.56663773449999999</v>
      </c>
      <c r="DD14">
        <v>1.6483666029999999</v>
      </c>
      <c r="DE14">
        <v>4.5925250320000002</v>
      </c>
      <c r="DF14">
        <v>1.18019601</v>
      </c>
      <c r="DG14">
        <v>0.48755228589999999</v>
      </c>
      <c r="DH14">
        <v>0.30032249900000002</v>
      </c>
      <c r="DI14">
        <v>4.0088999860000003</v>
      </c>
      <c r="DJ14">
        <v>0.62354570919999996</v>
      </c>
      <c r="DK14">
        <v>0.28182880669999999</v>
      </c>
      <c r="DL14">
        <v>0.31509319790000001</v>
      </c>
      <c r="DM14">
        <v>1.93447787</v>
      </c>
      <c r="DN14">
        <v>28.66098092</v>
      </c>
      <c r="DO14">
        <v>13.096888720000001</v>
      </c>
      <c r="DP14">
        <v>6.9597878919999996</v>
      </c>
      <c r="DQ14">
        <v>71.431727789999997</v>
      </c>
      <c r="DR14">
        <v>0.96109305950000001</v>
      </c>
      <c r="DS14">
        <v>0.19625770910000001</v>
      </c>
      <c r="DT14">
        <v>0.56959687260000003</v>
      </c>
      <c r="DU14">
        <v>1.633835092</v>
      </c>
      <c r="DV14">
        <v>9.7943361489999994</v>
      </c>
      <c r="DW14">
        <v>3.940768914</v>
      </c>
      <c r="DX14">
        <v>2.4944498579999999</v>
      </c>
      <c r="DY14">
        <v>33.297538590000002</v>
      </c>
      <c r="DZ14">
        <v>0.42571427509999998</v>
      </c>
      <c r="EA14">
        <v>0.15709578369999999</v>
      </c>
      <c r="EB14">
        <v>0.2023594648</v>
      </c>
      <c r="EC14">
        <v>1.0552212240000001</v>
      </c>
      <c r="ED14">
        <v>0.36270969330000002</v>
      </c>
      <c r="EE14">
        <v>0.1054197145</v>
      </c>
      <c r="EF14">
        <v>0.22034199569999999</v>
      </c>
      <c r="EG14">
        <v>0.83167915010000004</v>
      </c>
      <c r="EH14">
        <v>0.78842396839999995</v>
      </c>
      <c r="EI14">
        <v>0.23923200080000001</v>
      </c>
      <c r="EJ14">
        <v>0.45673571429999998</v>
      </c>
      <c r="EK14">
        <v>1.689401143</v>
      </c>
      <c r="EL14">
        <v>0.52133460620000005</v>
      </c>
      <c r="EM14">
        <v>0.1973865551</v>
      </c>
      <c r="EN14">
        <v>0.25174805259999999</v>
      </c>
      <c r="EO14">
        <v>1.377990636</v>
      </c>
      <c r="EP14">
        <v>1.675735805</v>
      </c>
      <c r="EQ14">
        <v>0.793276282</v>
      </c>
      <c r="ER14">
        <v>0.86296499999999998</v>
      </c>
      <c r="ES14">
        <v>4.5496660000000002</v>
      </c>
      <c r="ET14">
        <v>0.12597597159999999</v>
      </c>
      <c r="EU14">
        <v>2.4329303100000001E-2</v>
      </c>
      <c r="EV14">
        <v>8.6174894720000006E-2</v>
      </c>
      <c r="EW14">
        <v>0.22953008650000001</v>
      </c>
      <c r="EX14">
        <v>0.16673286749999999</v>
      </c>
      <c r="EY14">
        <v>3.7981709180000003E-2</v>
      </c>
      <c r="EZ14">
        <v>0.107175514</v>
      </c>
      <c r="FA14">
        <v>0.3274416362</v>
      </c>
      <c r="FB14">
        <v>8.1587277459999996E-2</v>
      </c>
      <c r="FC14">
        <v>0.36805995590000001</v>
      </c>
      <c r="FD14">
        <v>-0.77921567290000004</v>
      </c>
      <c r="FE14">
        <v>1.4986663419999999</v>
      </c>
      <c r="FF14">
        <v>3.941277312</v>
      </c>
      <c r="FG14">
        <v>1.8098148709999999</v>
      </c>
      <c r="FH14">
        <v>2.3532046950000001</v>
      </c>
      <c r="FI14">
        <v>13.10243925</v>
      </c>
      <c r="FJ14">
        <v>0.96301258489999997</v>
      </c>
      <c r="FK14">
        <v>0.55932706409999999</v>
      </c>
      <c r="FL14">
        <v>0.35456544470000001</v>
      </c>
      <c r="FM14">
        <v>2.8628027450000002</v>
      </c>
      <c r="FN14">
        <v>0.71272322040000002</v>
      </c>
      <c r="FO14">
        <v>0.34512836289999999</v>
      </c>
      <c r="FP14">
        <v>0.32785919530000002</v>
      </c>
      <c r="FQ14">
        <v>2.3904547759999999</v>
      </c>
      <c r="FR14">
        <v>1.5748254580000001</v>
      </c>
      <c r="FS14">
        <v>0.76175672329999999</v>
      </c>
      <c r="FT14">
        <v>0.83751299999999995</v>
      </c>
      <c r="FU14">
        <v>4.4005289999999997</v>
      </c>
      <c r="FV14">
        <v>1.1205475739999999</v>
      </c>
      <c r="FW14">
        <v>0.34205130099999997</v>
      </c>
      <c r="FX14">
        <v>0.58987299999999998</v>
      </c>
      <c r="FY14">
        <v>3.3083300000000002</v>
      </c>
      <c r="FZ14">
        <v>0.33140242040000001</v>
      </c>
      <c r="GA14">
        <v>6.0081869580000002E-2</v>
      </c>
      <c r="GB14">
        <v>0.22163999919999999</v>
      </c>
      <c r="GC14">
        <v>0.5486266648</v>
      </c>
      <c r="GD14">
        <v>0.59769000189999999</v>
      </c>
      <c r="GE14">
        <v>0.37415893449999998</v>
      </c>
      <c r="GF14">
        <v>0.2510766438</v>
      </c>
      <c r="GG14">
        <v>2.1065714089999998</v>
      </c>
      <c r="GH14">
        <v>68.672307840000002</v>
      </c>
      <c r="GI14">
        <v>40.86300988</v>
      </c>
      <c r="GJ14">
        <v>0.14774686040000001</v>
      </c>
      <c r="GK14">
        <v>100</v>
      </c>
      <c r="GL14">
        <v>0.21855972639999999</v>
      </c>
      <c r="GM14">
        <v>4.0586501429999998E-2</v>
      </c>
      <c r="GN14">
        <v>0.1516087367</v>
      </c>
      <c r="GO14">
        <v>0.42085854560000002</v>
      </c>
      <c r="GP14">
        <v>10.037106229999999</v>
      </c>
      <c r="GQ14">
        <v>2.7951783840000002</v>
      </c>
      <c r="GR14">
        <v>3.8906673230000002</v>
      </c>
      <c r="GS14">
        <v>17.606500860000001</v>
      </c>
      <c r="GT14">
        <v>31.120198760000001</v>
      </c>
      <c r="GU14">
        <v>5.3652646339999999</v>
      </c>
      <c r="GV14">
        <v>18.227331339999999</v>
      </c>
      <c r="GW14">
        <v>45.118209870000001</v>
      </c>
      <c r="GX14">
        <v>0.37188964660000001</v>
      </c>
      <c r="GY14">
        <v>8.8979770920000006E-2</v>
      </c>
      <c r="GZ14">
        <v>0.19608246169999999</v>
      </c>
      <c r="HA14">
        <v>0.71268117740000003</v>
      </c>
      <c r="HB14">
        <v>0.35029116399999999</v>
      </c>
      <c r="HC14">
        <v>9.2731611960000002E-2</v>
      </c>
      <c r="HD14">
        <v>0.2102198995</v>
      </c>
      <c r="HE14">
        <v>0.77774992919999997</v>
      </c>
      <c r="HF14">
        <v>0.72218081050000005</v>
      </c>
      <c r="HG14">
        <v>0.15723112650000001</v>
      </c>
      <c r="HH14">
        <v>0.45120057139999997</v>
      </c>
      <c r="HI14">
        <v>1.251474714</v>
      </c>
      <c r="HJ14">
        <v>0.45806809780000002</v>
      </c>
      <c r="HK14">
        <v>0.1147871944</v>
      </c>
      <c r="HL14">
        <v>0.25174805259999999</v>
      </c>
      <c r="HM14">
        <v>0.87617750000000005</v>
      </c>
      <c r="HN14">
        <v>1.388318495</v>
      </c>
      <c r="HO14">
        <v>0.43121544220000002</v>
      </c>
      <c r="HP14">
        <v>0.86296300000000004</v>
      </c>
      <c r="HQ14">
        <v>3.1951369999999999</v>
      </c>
      <c r="HR14">
        <v>0.12190222489999999</v>
      </c>
      <c r="HS14">
        <v>1.9356783969999999E-2</v>
      </c>
      <c r="HT14">
        <v>8.6174894720000006E-2</v>
      </c>
      <c r="HU14">
        <v>0.19696622999999999</v>
      </c>
      <c r="HV14">
        <v>0.15748484979999999</v>
      </c>
      <c r="HW14">
        <v>2.6963962040000001E-2</v>
      </c>
      <c r="HX14">
        <v>0.1066155365</v>
      </c>
      <c r="HY14">
        <v>0.25611650650000001</v>
      </c>
      <c r="HZ14">
        <v>-1.1357010129999999E-2</v>
      </c>
      <c r="IA14">
        <v>0.31164551889999997</v>
      </c>
      <c r="IB14">
        <v>-0.89431617770000005</v>
      </c>
      <c r="IC14">
        <v>0.90463923580000005</v>
      </c>
      <c r="ID14">
        <v>3.488054467</v>
      </c>
      <c r="IE14">
        <v>1.118452537</v>
      </c>
      <c r="IF14">
        <v>2.34597342</v>
      </c>
      <c r="IG14">
        <v>10.814876979999999</v>
      </c>
      <c r="IH14">
        <v>0.72187360519999999</v>
      </c>
      <c r="II14">
        <v>0.25368621819999998</v>
      </c>
      <c r="IJ14">
        <v>0.35456544470000001</v>
      </c>
      <c r="IK14">
        <v>1.9580680580000001</v>
      </c>
      <c r="IL14">
        <v>0.66644488950000003</v>
      </c>
      <c r="IM14">
        <v>0.28322970720000001</v>
      </c>
      <c r="IN14">
        <v>0.32785919530000002</v>
      </c>
      <c r="IO14">
        <v>1.690745457</v>
      </c>
      <c r="IP14">
        <v>1.2965944890000001</v>
      </c>
      <c r="IQ14">
        <v>0.38045330510000003</v>
      </c>
      <c r="IR14">
        <v>0.78871599999999997</v>
      </c>
      <c r="IS14">
        <v>2.714448</v>
      </c>
      <c r="IT14">
        <v>1.082776468</v>
      </c>
      <c r="IU14">
        <v>0.25539782100000002</v>
      </c>
      <c r="IV14">
        <v>0.58987100000000003</v>
      </c>
      <c r="IW14">
        <v>2.714448</v>
      </c>
      <c r="IX14">
        <v>0.31297210390000002</v>
      </c>
      <c r="IY14">
        <v>4.8779274910000003E-2</v>
      </c>
      <c r="IZ14">
        <v>0.20379839929999999</v>
      </c>
      <c r="JA14">
        <v>0.47872199830000001</v>
      </c>
      <c r="JB14">
        <v>0.48881241660000002</v>
      </c>
      <c r="JC14">
        <v>0.18365512780000001</v>
      </c>
      <c r="JD14">
        <v>0.2510766438</v>
      </c>
      <c r="JE14">
        <v>1.3942082360000001</v>
      </c>
      <c r="JF14">
        <v>86.512900389999999</v>
      </c>
      <c r="JG14">
        <v>25.05464898</v>
      </c>
      <c r="JH14">
        <v>0.62777576589999995</v>
      </c>
      <c r="JI14">
        <v>100</v>
      </c>
      <c r="JJ14">
        <v>0.21677004650000001</v>
      </c>
      <c r="JK14">
        <v>3.8715553059999998E-2</v>
      </c>
      <c r="JL14">
        <v>0.1514150323</v>
      </c>
      <c r="JM14">
        <v>0.37425393229999998</v>
      </c>
      <c r="JN14">
        <v>10.87981497</v>
      </c>
      <c r="JO14">
        <v>2.2972912399999998</v>
      </c>
      <c r="JP14">
        <v>5.2942624970000001</v>
      </c>
      <c r="JQ14">
        <v>17.606500860000001</v>
      </c>
      <c r="JR14">
        <v>32.726144069999997</v>
      </c>
      <c r="JS14">
        <v>5.0675992049999996</v>
      </c>
      <c r="JT14">
        <v>20.88895024</v>
      </c>
      <c r="JU14">
        <v>49.068098839999998</v>
      </c>
      <c r="JV14">
        <v>0.92011569280000005</v>
      </c>
      <c r="JW14">
        <v>0.16572073030000001</v>
      </c>
      <c r="JX14">
        <v>0.51181043130000003</v>
      </c>
      <c r="JY14">
        <v>1.4005703789999999</v>
      </c>
      <c r="JZ14">
        <v>0.7425020229</v>
      </c>
      <c r="KA14">
        <v>0.18201820630000001</v>
      </c>
      <c r="KB14">
        <v>0.40722085769999999</v>
      </c>
      <c r="KC14">
        <v>1.2105824569999999</v>
      </c>
      <c r="KD14">
        <v>1.662617716</v>
      </c>
      <c r="KE14">
        <v>0.24590813789999999</v>
      </c>
      <c r="KF14">
        <v>1.114687</v>
      </c>
      <c r="KG14">
        <v>2.3916629999999999</v>
      </c>
      <c r="KH14">
        <v>1.3496260069999999</v>
      </c>
      <c r="KI14">
        <v>0.31839059829999999</v>
      </c>
      <c r="KJ14">
        <v>0.61408949999999995</v>
      </c>
      <c r="KK14">
        <v>2.2695829999999999</v>
      </c>
      <c r="KL14">
        <v>1.662617716</v>
      </c>
      <c r="KM14">
        <v>0.24590813789999999</v>
      </c>
      <c r="KN14">
        <v>1.114687</v>
      </c>
      <c r="KO14">
        <v>2.3916629999999999</v>
      </c>
      <c r="KP14">
        <v>0.38896752769999998</v>
      </c>
      <c r="KQ14">
        <v>7.3028557110000003E-2</v>
      </c>
      <c r="KR14">
        <v>0.21191359009999999</v>
      </c>
      <c r="KS14">
        <v>0.58157366970000002</v>
      </c>
      <c r="KT14">
        <v>0.46119247930000001</v>
      </c>
      <c r="KU14">
        <v>7.8500368670000001E-2</v>
      </c>
      <c r="KV14">
        <v>0.27770847630000001</v>
      </c>
      <c r="KW14">
        <v>0.67424122649999996</v>
      </c>
      <c r="KX14">
        <v>0.30484365990000001</v>
      </c>
      <c r="KY14">
        <v>0.44149997279999997</v>
      </c>
      <c r="KZ14">
        <v>-0.70889486940000002</v>
      </c>
      <c r="LA14">
        <v>1.505694232</v>
      </c>
      <c r="LB14">
        <v>2.2421322429999999</v>
      </c>
      <c r="LC14">
        <v>0.51175761310000001</v>
      </c>
      <c r="LD14">
        <v>1.4707818800000001</v>
      </c>
      <c r="LE14">
        <v>4.572711011</v>
      </c>
      <c r="LF14">
        <v>2.9266943209999998</v>
      </c>
      <c r="LG14">
        <v>1.0409763489999999</v>
      </c>
      <c r="LH14">
        <v>0.58235999800000005</v>
      </c>
      <c r="LI14">
        <v>5.2426199819999999</v>
      </c>
      <c r="LJ14">
        <v>7.1044292219999999E-2</v>
      </c>
      <c r="LK14">
        <v>1.004665454E-2</v>
      </c>
      <c r="LL14">
        <v>4.70968462E-2</v>
      </c>
      <c r="LM14">
        <v>0.12185994629999999</v>
      </c>
      <c r="LN14">
        <v>52.991096380000002</v>
      </c>
      <c r="LO14">
        <v>15.60220502</v>
      </c>
      <c r="LP14">
        <v>18.139637650000001</v>
      </c>
      <c r="LQ14">
        <v>92.863455590000001</v>
      </c>
      <c r="LR14">
        <v>0.89003758830000002</v>
      </c>
      <c r="LS14">
        <v>0.20253083999999999</v>
      </c>
      <c r="LT14">
        <v>0.37211479609999998</v>
      </c>
      <c r="LU14">
        <v>1.5213878000000001</v>
      </c>
      <c r="LV14">
        <v>22.182557979999999</v>
      </c>
      <c r="LW14">
        <v>4.4514339129999998</v>
      </c>
      <c r="LX14">
        <v>8.3738400350000006</v>
      </c>
      <c r="LY14">
        <v>38.135218739999999</v>
      </c>
      <c r="LZ14">
        <v>3.9794745329999999</v>
      </c>
      <c r="MA14">
        <v>1.9505904869999999</v>
      </c>
      <c r="MB14">
        <v>1.9074432320000001</v>
      </c>
      <c r="MC14">
        <v>17.171509090000001</v>
      </c>
      <c r="MD14">
        <v>0.90801776379999999</v>
      </c>
      <c r="ME14">
        <v>0.15637262020000001</v>
      </c>
      <c r="MF14">
        <v>0.51181043130000003</v>
      </c>
      <c r="MG14">
        <v>1.3992141170000001</v>
      </c>
      <c r="MH14">
        <v>0.73316318879999998</v>
      </c>
      <c r="MI14">
        <v>0.17473780820000001</v>
      </c>
      <c r="MJ14">
        <v>0.40722085769999999</v>
      </c>
      <c r="MK14">
        <v>1.1725156880000001</v>
      </c>
      <c r="ML14">
        <v>1.6411809530000001</v>
      </c>
      <c r="MM14">
        <v>0.22889888389999999</v>
      </c>
      <c r="MN14">
        <v>1.114687</v>
      </c>
      <c r="MO14">
        <v>2.2341139999999999</v>
      </c>
      <c r="MP14">
        <v>1.3439914040000001</v>
      </c>
      <c r="MQ14">
        <v>0.3104847167</v>
      </c>
      <c r="MR14">
        <v>0.61408949999999995</v>
      </c>
      <c r="MS14">
        <v>2.0495899999999998</v>
      </c>
      <c r="MT14">
        <v>1.6411809530000001</v>
      </c>
      <c r="MU14">
        <v>0.22889888389999999</v>
      </c>
      <c r="MV14">
        <v>1.114687</v>
      </c>
      <c r="MW14">
        <v>2.2341139999999999</v>
      </c>
      <c r="MX14">
        <v>0.38572445189999999</v>
      </c>
      <c r="MY14">
        <v>7.138936605E-2</v>
      </c>
      <c r="MZ14">
        <v>0.21191359009999999</v>
      </c>
      <c r="NA14">
        <v>0.5699814862</v>
      </c>
      <c r="NB14">
        <v>0.4568030374</v>
      </c>
      <c r="NC14">
        <v>7.6052939870000003E-2</v>
      </c>
      <c r="ND14">
        <v>0.27770847630000001</v>
      </c>
      <c r="NE14">
        <v>0.6450093912</v>
      </c>
      <c r="NF14">
        <v>0.3051376395</v>
      </c>
      <c r="NG14">
        <v>0.43898044580000001</v>
      </c>
      <c r="NH14">
        <v>-0.70889486940000002</v>
      </c>
      <c r="NI14">
        <v>1.505694232</v>
      </c>
      <c r="NJ14">
        <v>2.2317142059999999</v>
      </c>
      <c r="NK14">
        <v>0.51132611939999995</v>
      </c>
      <c r="NL14">
        <v>1.4327849589999999</v>
      </c>
      <c r="NM14">
        <v>4.572711011</v>
      </c>
      <c r="NN14">
        <v>2.9408804329999998</v>
      </c>
      <c r="NO14">
        <v>1.061017493</v>
      </c>
      <c r="NP14">
        <v>0.58235999800000005</v>
      </c>
      <c r="NQ14">
        <v>5.2426199819999999</v>
      </c>
      <c r="NR14">
        <v>7.0269014929999998E-2</v>
      </c>
      <c r="NS14">
        <v>9.5347349169999998E-3</v>
      </c>
      <c r="NT14">
        <v>4.70968462E-2</v>
      </c>
      <c r="NU14">
        <v>0.1110455289</v>
      </c>
      <c r="NV14">
        <v>53.886145650000003</v>
      </c>
      <c r="NW14">
        <v>15.2401105</v>
      </c>
      <c r="NX14">
        <v>18.139637650000001</v>
      </c>
      <c r="NY14">
        <v>92.863455590000001</v>
      </c>
      <c r="NZ14">
        <v>0.88314004530000001</v>
      </c>
      <c r="OA14">
        <v>0.19900623040000001</v>
      </c>
      <c r="OB14">
        <v>0.37211479609999998</v>
      </c>
      <c r="OC14">
        <v>1.467311268</v>
      </c>
      <c r="OD14">
        <v>22.318850090000002</v>
      </c>
      <c r="OE14">
        <v>4.5021809289999997</v>
      </c>
      <c r="OF14">
        <v>8.3738400350000006</v>
      </c>
      <c r="OG14">
        <v>37.852348149999997</v>
      </c>
      <c r="OH14">
        <v>3.9816784919999999</v>
      </c>
      <c r="OI14">
        <v>1.975524579</v>
      </c>
      <c r="OJ14">
        <v>1.9074432320000001</v>
      </c>
      <c r="OK14">
        <v>17.171509090000001</v>
      </c>
      <c r="OL14">
        <v>0.54391535229999999</v>
      </c>
      <c r="OM14">
        <v>0.50080492830000001</v>
      </c>
      <c r="ON14">
        <v>2.7489548539999999</v>
      </c>
      <c r="OO14">
        <v>3.3475389999999998</v>
      </c>
      <c r="OP14">
        <v>1.9878400000000001</v>
      </c>
      <c r="OQ14">
        <v>5.3353789999999996</v>
      </c>
      <c r="OR14">
        <v>0.45554698160000001</v>
      </c>
      <c r="OS14" s="2">
        <v>2.421845086E-5</v>
      </c>
      <c r="OT14">
        <v>8.0407731780000001E-4</v>
      </c>
      <c r="OU14" s="2">
        <v>2.421845086E-5</v>
      </c>
      <c r="OV14">
        <v>4.9484188980000005E-4</v>
      </c>
      <c r="OW14">
        <v>7.6914411019999998E-4</v>
      </c>
      <c r="OX14" s="2">
        <v>3.4933207609999998E-5</v>
      </c>
      <c r="OY14">
        <v>1.19778355</v>
      </c>
      <c r="OZ14">
        <v>0.66582769330000002</v>
      </c>
      <c r="PA14">
        <v>0.29939238140000002</v>
      </c>
      <c r="PB14">
        <v>21.683655649999999</v>
      </c>
      <c r="PC14">
        <v>94.986156050000005</v>
      </c>
      <c r="PD14">
        <v>0.53312849969999998</v>
      </c>
      <c r="PE14">
        <v>0.42480444020000002</v>
      </c>
      <c r="PF14">
        <v>2.3287824659999998</v>
      </c>
      <c r="PG14">
        <v>2.0303559999999998</v>
      </c>
      <c r="PH14">
        <v>1.623157</v>
      </c>
      <c r="PI14">
        <v>3.6535129999999998</v>
      </c>
      <c r="PJ14">
        <v>0.45067842209999998</v>
      </c>
      <c r="PK14" s="2">
        <v>2.1628350129999999E-5</v>
      </c>
      <c r="PL14">
        <v>7.9991418029999996E-4</v>
      </c>
      <c r="PM14" s="2">
        <v>2.1628350129999999E-5</v>
      </c>
      <c r="PN14">
        <v>4.9397165510000002E-4</v>
      </c>
      <c r="PO14">
        <v>7.6614934489999998E-4</v>
      </c>
      <c r="PP14" s="2">
        <v>3.3764835360000002E-5</v>
      </c>
      <c r="PQ14">
        <v>1.1917282520000001</v>
      </c>
      <c r="PR14">
        <v>0.64056527289999998</v>
      </c>
      <c r="PS14">
        <v>0.2712233671</v>
      </c>
      <c r="PT14">
        <v>21.84195077</v>
      </c>
      <c r="PU14">
        <v>95.163313349999996</v>
      </c>
      <c r="PV14">
        <v>1.523486737</v>
      </c>
      <c r="PW14">
        <v>0.60729085849999997</v>
      </c>
      <c r="PX14">
        <v>0.3992379834</v>
      </c>
      <c r="PY14">
        <v>13.97451422</v>
      </c>
      <c r="PZ14">
        <v>92.661839499999999</v>
      </c>
      <c r="QA14">
        <v>1.5192115610000001</v>
      </c>
      <c r="QB14">
        <v>0.567917746</v>
      </c>
      <c r="QC14">
        <v>0.3664654215</v>
      </c>
      <c r="QD14">
        <v>13.99024891</v>
      </c>
      <c r="QE14">
        <v>92.649342110000006</v>
      </c>
      <c r="QF14" s="2">
        <v>2.8001275150000001E-5</v>
      </c>
      <c r="QG14">
        <v>5.4418507580000005E-4</v>
      </c>
      <c r="QH14">
        <v>7.9818292419999999E-4</v>
      </c>
      <c r="QI14" s="2">
        <v>5.3832171610000003E-5</v>
      </c>
      <c r="QJ14" s="2">
        <v>2.5328817520000001E-5</v>
      </c>
      <c r="QK14">
        <v>5.43257869E-4</v>
      </c>
      <c r="QL14">
        <v>7.9545513100000005E-4</v>
      </c>
      <c r="QM14" s="2">
        <v>5.2547908590000001E-5</v>
      </c>
      <c r="QN14">
        <v>8.592507049</v>
      </c>
      <c r="QO14">
        <v>2.2591531269999998</v>
      </c>
      <c r="QP14">
        <v>175.5839072</v>
      </c>
      <c r="QQ14">
        <v>7.1358932140000002</v>
      </c>
      <c r="QR14">
        <v>8.5964198520000004</v>
      </c>
      <c r="QS14">
        <v>2.2620459839999998</v>
      </c>
      <c r="QT14">
        <v>175.587692</v>
      </c>
      <c r="QU14">
        <v>7.1339171090000004</v>
      </c>
    </row>
    <row r="15" spans="1:463" x14ac:dyDescent="0.2">
      <c r="A15" t="s">
        <v>285</v>
      </c>
      <c r="B15" s="2">
        <v>1.365930649E-11</v>
      </c>
      <c r="C15" s="2">
        <v>2.0346452990000001E-11</v>
      </c>
      <c r="D15">
        <v>8.8935479389999992E-3</v>
      </c>
      <c r="E15">
        <v>4.7808057270000003E-2</v>
      </c>
      <c r="F15">
        <v>0.41583145030000002</v>
      </c>
      <c r="G15">
        <v>2.7266689529999999E-2</v>
      </c>
      <c r="H15">
        <v>0.14657451269999999</v>
      </c>
      <c r="I15">
        <v>1.2748958159999999</v>
      </c>
      <c r="J15">
        <v>32.608003080000003</v>
      </c>
      <c r="K15">
        <v>32.616896619999999</v>
      </c>
      <c r="L15">
        <v>32.616896619999999</v>
      </c>
      <c r="M15">
        <v>32.616896619999999</v>
      </c>
      <c r="N15">
        <v>32.569088569999998</v>
      </c>
      <c r="O15">
        <v>32.616896619999999</v>
      </c>
      <c r="P15">
        <v>32.20106517</v>
      </c>
      <c r="Q15">
        <v>32.616896619999999</v>
      </c>
      <c r="R15">
        <v>1.822199473</v>
      </c>
      <c r="S15">
        <v>0.4352615621</v>
      </c>
      <c r="T15">
        <v>0.95213462280000005</v>
      </c>
      <c r="U15">
        <v>2.8531614620000001</v>
      </c>
      <c r="V15">
        <v>1.3590762160000001</v>
      </c>
      <c r="W15">
        <v>0.22120034599999999</v>
      </c>
      <c r="X15">
        <v>0.91012903820000002</v>
      </c>
      <c r="Y15">
        <v>2.1983201339999998</v>
      </c>
      <c r="Z15">
        <v>3.181275689</v>
      </c>
      <c r="AA15">
        <v>0.51870846739999998</v>
      </c>
      <c r="AB15">
        <v>2.0154700000000001</v>
      </c>
      <c r="AC15">
        <v>4.5259369999999999</v>
      </c>
      <c r="AD15">
        <v>0.90436225349999999</v>
      </c>
      <c r="AE15">
        <v>0.28636384590000002</v>
      </c>
      <c r="AF15">
        <v>0.56528007690000004</v>
      </c>
      <c r="AG15">
        <v>2.8554949999999999</v>
      </c>
      <c r="AH15">
        <v>3.181275689</v>
      </c>
      <c r="AI15">
        <v>0.51870846739999998</v>
      </c>
      <c r="AJ15">
        <v>2.0154700000000001</v>
      </c>
      <c r="AK15">
        <v>4.5259369999999999</v>
      </c>
      <c r="AL15">
        <v>0.469694318</v>
      </c>
      <c r="AM15">
        <v>7.1282049929999994E-2</v>
      </c>
      <c r="AN15">
        <v>0.32830121429999998</v>
      </c>
      <c r="AO15">
        <v>0.71171978930000002</v>
      </c>
      <c r="AP15">
        <v>0.57808498210000003</v>
      </c>
      <c r="AQ15">
        <v>7.7697375629999996E-2</v>
      </c>
      <c r="AR15">
        <v>0.4142565299</v>
      </c>
      <c r="AS15">
        <v>0.84505132760000001</v>
      </c>
      <c r="AT15">
        <v>0.35977763169999999</v>
      </c>
      <c r="AU15">
        <v>0.37410098629999999</v>
      </c>
      <c r="AV15">
        <v>-0.57330150930000001</v>
      </c>
      <c r="AW15">
        <v>1.288744992</v>
      </c>
      <c r="AX15">
        <v>2.923808443</v>
      </c>
      <c r="AY15">
        <v>0.7121676213</v>
      </c>
      <c r="AZ15">
        <v>1.829221011</v>
      </c>
      <c r="BA15">
        <v>5.6945232270000004</v>
      </c>
      <c r="BB15">
        <v>0.34174236949999998</v>
      </c>
      <c r="BC15">
        <v>0.1494565202</v>
      </c>
      <c r="BD15">
        <v>0.1271525577</v>
      </c>
      <c r="BE15">
        <v>1.000223997</v>
      </c>
      <c r="BF15">
        <v>2.1777483919999998</v>
      </c>
      <c r="BG15">
        <v>0.29593001839999999</v>
      </c>
      <c r="BH15">
        <v>1.4970834589999999</v>
      </c>
      <c r="BI15">
        <v>3.1366665880000002</v>
      </c>
      <c r="BJ15">
        <v>13.804741979999999</v>
      </c>
      <c r="BK15">
        <v>12.40907919</v>
      </c>
      <c r="BL15">
        <v>0.15466195320000001</v>
      </c>
      <c r="BM15">
        <v>61.832340019999997</v>
      </c>
      <c r="BN15">
        <v>1.0087710560000001</v>
      </c>
      <c r="BO15">
        <v>0.19010508919999999</v>
      </c>
      <c r="BP15">
        <v>0.64375960700000001</v>
      </c>
      <c r="BQ15">
        <v>1.66843476</v>
      </c>
      <c r="BR15">
        <v>33.736800969999997</v>
      </c>
      <c r="BS15">
        <v>11.88795277</v>
      </c>
      <c r="BT15">
        <v>9.9977605359999995</v>
      </c>
      <c r="BU15">
        <v>78.645685</v>
      </c>
      <c r="BV15">
        <v>1.527755089</v>
      </c>
      <c r="BW15">
        <v>0.2213990619</v>
      </c>
      <c r="BX15">
        <v>0.95213462280000005</v>
      </c>
      <c r="BY15">
        <v>2.0176163649999999</v>
      </c>
      <c r="BZ15">
        <v>1.2733402899999999</v>
      </c>
      <c r="CA15">
        <v>0.2090943267</v>
      </c>
      <c r="CB15">
        <v>0.72429325229999997</v>
      </c>
      <c r="CC15">
        <v>1.8011874409999999</v>
      </c>
      <c r="CD15">
        <v>2.8010953789999999</v>
      </c>
      <c r="CE15">
        <v>0.23655355459999999</v>
      </c>
      <c r="CF15">
        <v>2.0154700000000001</v>
      </c>
      <c r="CG15">
        <v>3.112997</v>
      </c>
      <c r="CH15">
        <v>0.83093818389999996</v>
      </c>
      <c r="CI15">
        <v>0.22665397370000001</v>
      </c>
      <c r="CJ15">
        <v>0.56528007690000004</v>
      </c>
      <c r="CK15">
        <v>2.6455649999999999</v>
      </c>
      <c r="CL15">
        <v>2.8010953789999999</v>
      </c>
      <c r="CM15">
        <v>0.23655355459999999</v>
      </c>
      <c r="CN15">
        <v>2.0154700000000001</v>
      </c>
      <c r="CO15">
        <v>3.112997</v>
      </c>
      <c r="CP15">
        <v>0.46545502059999999</v>
      </c>
      <c r="CQ15">
        <v>6.8806655980000006E-2</v>
      </c>
      <c r="CR15">
        <v>0.31958833609999998</v>
      </c>
      <c r="CS15">
        <v>0.68484418920000001</v>
      </c>
      <c r="CT15">
        <v>0.56853263610000004</v>
      </c>
      <c r="CU15">
        <v>7.2189232660000005E-2</v>
      </c>
      <c r="CV15">
        <v>0.4099273652</v>
      </c>
      <c r="CW15">
        <v>0.79618846040000002</v>
      </c>
      <c r="CX15">
        <v>0.30867841769999999</v>
      </c>
      <c r="CY15">
        <v>0.37115395229999998</v>
      </c>
      <c r="CZ15">
        <v>-0.57330150930000001</v>
      </c>
      <c r="DA15">
        <v>1.1759594879999999</v>
      </c>
      <c r="DB15">
        <v>2.673076322</v>
      </c>
      <c r="DC15">
        <v>0.51874212559999999</v>
      </c>
      <c r="DD15">
        <v>1.7358401990000001</v>
      </c>
      <c r="DE15">
        <v>4.3301918979999998</v>
      </c>
      <c r="DF15">
        <v>0.32735054530000002</v>
      </c>
      <c r="DG15">
        <v>0.1824729648</v>
      </c>
      <c r="DH15">
        <v>0.1271525577</v>
      </c>
      <c r="DI15">
        <v>2.0824199929999998</v>
      </c>
      <c r="DJ15">
        <v>2.1188997039999999</v>
      </c>
      <c r="DK15">
        <v>0.25505407740000002</v>
      </c>
      <c r="DL15">
        <v>1.4737408350000001</v>
      </c>
      <c r="DM15">
        <v>3.0919603109999998</v>
      </c>
      <c r="DN15">
        <v>21.395343109999999</v>
      </c>
      <c r="DO15">
        <v>11.32834808</v>
      </c>
      <c r="DP15">
        <v>5.2143172780000002</v>
      </c>
      <c r="DQ15">
        <v>61.832340019999997</v>
      </c>
      <c r="DR15">
        <v>1.008097657</v>
      </c>
      <c r="DS15">
        <v>0.18981505600000001</v>
      </c>
      <c r="DT15">
        <v>0.64373145939999998</v>
      </c>
      <c r="DU15">
        <v>1.6597476099999999</v>
      </c>
      <c r="DV15">
        <v>35.525805179999999</v>
      </c>
      <c r="DW15">
        <v>12.071709930000001</v>
      </c>
      <c r="DX15">
        <v>4.8021052600000003</v>
      </c>
      <c r="DY15">
        <v>78.645685</v>
      </c>
      <c r="DZ15">
        <v>0.6017847436</v>
      </c>
      <c r="EA15">
        <v>0.1452940154</v>
      </c>
      <c r="EB15">
        <v>0.34236097989999997</v>
      </c>
      <c r="EC15">
        <v>1.2474423320000001</v>
      </c>
      <c r="ED15">
        <v>0.56420917599999998</v>
      </c>
      <c r="EE15">
        <v>9.2854342539999996E-2</v>
      </c>
      <c r="EF15">
        <v>0.3624107017</v>
      </c>
      <c r="EG15">
        <v>1.016727621</v>
      </c>
      <c r="EH15">
        <v>1.16599392</v>
      </c>
      <c r="EI15">
        <v>0.21628916470000001</v>
      </c>
      <c r="EJ15">
        <v>0.74607085709999998</v>
      </c>
      <c r="EK15">
        <v>2.0864131430000001</v>
      </c>
      <c r="EL15">
        <v>0.49736155450000002</v>
      </c>
      <c r="EM15">
        <v>9.9023134720000003E-2</v>
      </c>
      <c r="EN15">
        <v>0.34755625000000001</v>
      </c>
      <c r="EO15">
        <v>0.97610716129999997</v>
      </c>
      <c r="EP15">
        <v>1.961497332</v>
      </c>
      <c r="EQ15">
        <v>0.7218393729</v>
      </c>
      <c r="ER15">
        <v>0.97912600000000005</v>
      </c>
      <c r="ES15">
        <v>4.534332</v>
      </c>
      <c r="ET15">
        <v>0.18102593450000001</v>
      </c>
      <c r="EU15">
        <v>2.406755436E-2</v>
      </c>
      <c r="EV15">
        <v>0.12023191480000001</v>
      </c>
      <c r="EW15">
        <v>0.2973411399</v>
      </c>
      <c r="EX15">
        <v>0.23018540649999999</v>
      </c>
      <c r="EY15">
        <v>3.5513275769999998E-2</v>
      </c>
      <c r="EZ15">
        <v>0.1532683688</v>
      </c>
      <c r="FA15">
        <v>0.38314351790000001</v>
      </c>
      <c r="FB15">
        <v>4.1246994469999999E-2</v>
      </c>
      <c r="FC15">
        <v>0.2306394467</v>
      </c>
      <c r="FD15">
        <v>-0.63987733979999994</v>
      </c>
      <c r="FE15">
        <v>0.89116392990000004</v>
      </c>
      <c r="FF15">
        <v>3.3106809209999999</v>
      </c>
      <c r="FG15">
        <v>0.84112017679999995</v>
      </c>
      <c r="FH15">
        <v>2.4293517549999999</v>
      </c>
      <c r="FI15">
        <v>7.4705037479999996</v>
      </c>
      <c r="FJ15">
        <v>1.0849726310000001</v>
      </c>
      <c r="FK15">
        <v>0.53771908570000004</v>
      </c>
      <c r="FL15">
        <v>0.47099640850000002</v>
      </c>
      <c r="FM15">
        <v>3.315708426</v>
      </c>
      <c r="FN15">
        <v>0.8765247008</v>
      </c>
      <c r="FO15">
        <v>0.30348077499999998</v>
      </c>
      <c r="FP15">
        <v>0.49254398739999999</v>
      </c>
      <c r="FQ15">
        <v>2.1757536179999999</v>
      </c>
      <c r="FR15">
        <v>1.860241247</v>
      </c>
      <c r="FS15">
        <v>0.70450135899999999</v>
      </c>
      <c r="FT15">
        <v>0.951901</v>
      </c>
      <c r="FU15">
        <v>4.4121670000000002</v>
      </c>
      <c r="FV15">
        <v>1.4656535470000001</v>
      </c>
      <c r="FW15">
        <v>0.37768911570000002</v>
      </c>
      <c r="FX15">
        <v>0.80118100000000003</v>
      </c>
      <c r="FY15">
        <v>3.6153680000000001</v>
      </c>
      <c r="FZ15">
        <v>9.0325366480000002E-2</v>
      </c>
      <c r="GA15">
        <v>2.112196258E-2</v>
      </c>
      <c r="GB15">
        <v>5.8456179570000003E-2</v>
      </c>
      <c r="GC15">
        <v>0.17347935419999999</v>
      </c>
      <c r="GD15">
        <v>2.1194504109999999</v>
      </c>
      <c r="GE15">
        <v>0.27550201810000002</v>
      </c>
      <c r="GF15">
        <v>1.4471604810000001</v>
      </c>
      <c r="GG15">
        <v>2.979613756</v>
      </c>
      <c r="GH15">
        <v>56.867705030000003</v>
      </c>
      <c r="GI15">
        <v>37.181097229999999</v>
      </c>
      <c r="GJ15">
        <v>0.17237133709999999</v>
      </c>
      <c r="GK15">
        <v>100</v>
      </c>
      <c r="GL15">
        <v>0.36021517330000002</v>
      </c>
      <c r="GM15">
        <v>4.0455359699999999E-2</v>
      </c>
      <c r="GN15">
        <v>0.2341426798</v>
      </c>
      <c r="GO15">
        <v>0.49629539020000002</v>
      </c>
      <c r="GP15">
        <v>9.7934707729999992</v>
      </c>
      <c r="GQ15">
        <v>2.192422047</v>
      </c>
      <c r="GR15">
        <v>3.1519330210000001</v>
      </c>
      <c r="GS15">
        <v>14.30899479</v>
      </c>
      <c r="GT15">
        <v>115.8712766</v>
      </c>
      <c r="GU15">
        <v>22.945431159999998</v>
      </c>
      <c r="GV15">
        <v>57.643746970000002</v>
      </c>
      <c r="GW15">
        <v>171.06831260000001</v>
      </c>
      <c r="GX15">
        <v>0.55295250539999996</v>
      </c>
      <c r="GY15">
        <v>8.3162406899999999E-2</v>
      </c>
      <c r="GZ15">
        <v>0.34236097989999997</v>
      </c>
      <c r="HA15">
        <v>0.91906995560000004</v>
      </c>
      <c r="HB15">
        <v>0.54970174039999997</v>
      </c>
      <c r="HC15">
        <v>8.4892207560000002E-2</v>
      </c>
      <c r="HD15">
        <v>0.3624107017</v>
      </c>
      <c r="HE15">
        <v>1.0029026459999999</v>
      </c>
      <c r="HF15">
        <v>1.1026542459999999</v>
      </c>
      <c r="HG15">
        <v>0.14300261719999999</v>
      </c>
      <c r="HH15">
        <v>0.74607085709999998</v>
      </c>
      <c r="HI15">
        <v>1.7069228569999999</v>
      </c>
      <c r="HJ15">
        <v>0.47358705249999999</v>
      </c>
      <c r="HK15">
        <v>6.8930247259999994E-2</v>
      </c>
      <c r="HL15">
        <v>0.34755625000000001</v>
      </c>
      <c r="HM15">
        <v>0.83408602939999998</v>
      </c>
      <c r="HN15">
        <v>1.7036163369999999</v>
      </c>
      <c r="HO15">
        <v>0.40881944380000002</v>
      </c>
      <c r="HP15">
        <v>0.97912600000000005</v>
      </c>
      <c r="HQ15">
        <v>3.4470109999999998</v>
      </c>
      <c r="HR15">
        <v>0.17737957069999999</v>
      </c>
      <c r="HS15">
        <v>2.0095931389999998E-2</v>
      </c>
      <c r="HT15">
        <v>0.12023191480000001</v>
      </c>
      <c r="HU15">
        <v>0.26284417770000001</v>
      </c>
      <c r="HV15">
        <v>0.22242400200000001</v>
      </c>
      <c r="HW15">
        <v>2.6502028550000001E-2</v>
      </c>
      <c r="HX15">
        <v>0.1532683688</v>
      </c>
      <c r="HY15">
        <v>0.32972975510000002</v>
      </c>
      <c r="HZ15">
        <v>-6.5497552750000002E-3</v>
      </c>
      <c r="IA15">
        <v>0.20370437250000001</v>
      </c>
      <c r="IB15">
        <v>-0.90059117499999997</v>
      </c>
      <c r="IC15">
        <v>0.80649099570000005</v>
      </c>
      <c r="ID15">
        <v>3.048073118</v>
      </c>
      <c r="IE15">
        <v>0.53992244850000004</v>
      </c>
      <c r="IF15">
        <v>2.3532367860000001</v>
      </c>
      <c r="IG15">
        <v>7.3389564409999997</v>
      </c>
      <c r="IH15">
        <v>0.86367142200000002</v>
      </c>
      <c r="II15">
        <v>0.25963596259999999</v>
      </c>
      <c r="IJ15">
        <v>0.47099640850000002</v>
      </c>
      <c r="IK15">
        <v>2.2363094339999998</v>
      </c>
      <c r="IL15">
        <v>0.83994491490000001</v>
      </c>
      <c r="IM15">
        <v>0.26390309480000002</v>
      </c>
      <c r="IN15">
        <v>0.49254398739999999</v>
      </c>
      <c r="IO15">
        <v>2.0451097470000001</v>
      </c>
      <c r="IP15">
        <v>1.6138501839999999</v>
      </c>
      <c r="IQ15">
        <v>0.3951151919</v>
      </c>
      <c r="IR15">
        <v>0.951901</v>
      </c>
      <c r="IS15">
        <v>3.0999430000000001</v>
      </c>
      <c r="IT15">
        <v>1.403034047</v>
      </c>
      <c r="IU15">
        <v>0.28720917159999998</v>
      </c>
      <c r="IV15">
        <v>0.80118100000000003</v>
      </c>
      <c r="IW15">
        <v>2.903206</v>
      </c>
      <c r="IX15">
        <v>8.6570705040000001E-2</v>
      </c>
      <c r="IY15">
        <v>1.7480976759999999E-2</v>
      </c>
      <c r="IZ15">
        <v>5.7806666469999997E-2</v>
      </c>
      <c r="JA15">
        <v>0.15829411709999999</v>
      </c>
      <c r="JB15">
        <v>2.0708020390000001</v>
      </c>
      <c r="JC15">
        <v>0.2476283323</v>
      </c>
      <c r="JD15">
        <v>1.4269935629999999</v>
      </c>
      <c r="JE15">
        <v>2.7529716839999998</v>
      </c>
      <c r="JF15">
        <v>71.02434968</v>
      </c>
      <c r="JG15">
        <v>27.961630920000001</v>
      </c>
      <c r="JH15">
        <v>0.88648116229999996</v>
      </c>
      <c r="JI15">
        <v>100</v>
      </c>
      <c r="JJ15">
        <v>0.35829594259999997</v>
      </c>
      <c r="JK15">
        <v>3.9659305220000003E-2</v>
      </c>
      <c r="JL15">
        <v>0.2341426798</v>
      </c>
      <c r="JM15">
        <v>0.47724273630000003</v>
      </c>
      <c r="JN15">
        <v>10.634752990000001</v>
      </c>
      <c r="JO15">
        <v>1.7143830369999999</v>
      </c>
      <c r="JP15">
        <v>5.8606254619999998</v>
      </c>
      <c r="JQ15">
        <v>14.750061560000001</v>
      </c>
      <c r="JR15">
        <v>119.7076872</v>
      </c>
      <c r="JS15">
        <v>21.451986349999999</v>
      </c>
      <c r="JT15">
        <v>63.173541649999997</v>
      </c>
      <c r="JU15">
        <v>172.99042850000001</v>
      </c>
      <c r="JV15">
        <v>0.9610128953</v>
      </c>
      <c r="JW15">
        <v>0.17377961820000001</v>
      </c>
      <c r="JX15">
        <v>0.61604431820000005</v>
      </c>
      <c r="JY15">
        <v>1.4395027030000001</v>
      </c>
      <c r="JZ15">
        <v>0.77262059419999995</v>
      </c>
      <c r="KA15">
        <v>0.1841490251</v>
      </c>
      <c r="KB15">
        <v>0.43811169550000001</v>
      </c>
      <c r="KC15">
        <v>1.241452877</v>
      </c>
      <c r="KD15">
        <v>1.733633489</v>
      </c>
      <c r="KE15">
        <v>0.25136645439999999</v>
      </c>
      <c r="KF15">
        <v>1.1800930000000001</v>
      </c>
      <c r="KG15">
        <v>2.4786269999999999</v>
      </c>
      <c r="KH15">
        <v>1.4164013099999999</v>
      </c>
      <c r="KI15">
        <v>0.3252514474</v>
      </c>
      <c r="KJ15">
        <v>0.56658200000000003</v>
      </c>
      <c r="KK15">
        <v>2.085699</v>
      </c>
      <c r="KL15">
        <v>1.733633489</v>
      </c>
      <c r="KM15">
        <v>0.25136645439999999</v>
      </c>
      <c r="KN15">
        <v>1.1800930000000001</v>
      </c>
      <c r="KO15">
        <v>2.4786269999999999</v>
      </c>
      <c r="KP15">
        <v>0.39984876479999998</v>
      </c>
      <c r="KQ15">
        <v>7.4708112650000005E-2</v>
      </c>
      <c r="KR15">
        <v>0.22595019080000001</v>
      </c>
      <c r="KS15">
        <v>0.6091412799</v>
      </c>
      <c r="KT15">
        <v>0.47441480429999999</v>
      </c>
      <c r="KU15">
        <v>7.9918462410000002E-2</v>
      </c>
      <c r="KV15">
        <v>0.29226856429999998</v>
      </c>
      <c r="KW15">
        <v>0.69677638490000005</v>
      </c>
      <c r="KX15">
        <v>0.29981251939999998</v>
      </c>
      <c r="KY15">
        <v>0.43762399000000002</v>
      </c>
      <c r="KZ15">
        <v>-0.7394989139</v>
      </c>
      <c r="LA15">
        <v>1.475854548</v>
      </c>
      <c r="LB15">
        <v>2.2636315050000002</v>
      </c>
      <c r="LC15">
        <v>0.5077249358</v>
      </c>
      <c r="LD15">
        <v>1.4433871199999999</v>
      </c>
      <c r="LE15">
        <v>4.1335652469999999</v>
      </c>
      <c r="LF15">
        <v>2.9104942760000001</v>
      </c>
      <c r="LG15">
        <v>1.0606163369999999</v>
      </c>
      <c r="LH15">
        <v>0.4954199983</v>
      </c>
      <c r="LI15">
        <v>5.3447399820000001</v>
      </c>
      <c r="LJ15">
        <v>7.4345227429999994E-2</v>
      </c>
      <c r="LK15">
        <v>9.7184690520000002E-3</v>
      </c>
      <c r="LL15">
        <v>4.9776960709999998E-2</v>
      </c>
      <c r="LM15">
        <v>0.12378945669999999</v>
      </c>
      <c r="LN15">
        <v>50.219390429999997</v>
      </c>
      <c r="LO15">
        <v>15.169048610000001</v>
      </c>
      <c r="LP15">
        <v>17.344233320000001</v>
      </c>
      <c r="LQ15">
        <v>86.478126380000006</v>
      </c>
      <c r="LR15">
        <v>0.91088262269999998</v>
      </c>
      <c r="LS15">
        <v>0.20953176130000001</v>
      </c>
      <c r="LT15">
        <v>0.42068413519999998</v>
      </c>
      <c r="LU15">
        <v>1.6568928510000001</v>
      </c>
      <c r="LV15">
        <v>21.6489805</v>
      </c>
      <c r="LW15">
        <v>4.5295991679999998</v>
      </c>
      <c r="LX15">
        <v>10.38444543</v>
      </c>
      <c r="LY15">
        <v>37.339814410000002</v>
      </c>
      <c r="LZ15">
        <v>4.0856161520000001</v>
      </c>
      <c r="MA15">
        <v>2.2925285789999998</v>
      </c>
      <c r="MB15">
        <v>1.870998409</v>
      </c>
      <c r="MC15">
        <v>20.1848937</v>
      </c>
      <c r="MD15">
        <v>0.94690486490000003</v>
      </c>
      <c r="ME15">
        <v>0.16693325780000001</v>
      </c>
      <c r="MF15">
        <v>0.60936669799999998</v>
      </c>
      <c r="MG15">
        <v>1.428327227</v>
      </c>
      <c r="MH15">
        <v>0.76018509300000003</v>
      </c>
      <c r="MI15">
        <v>0.17965603459999999</v>
      </c>
      <c r="MJ15">
        <v>0.43811169550000001</v>
      </c>
      <c r="MK15">
        <v>1.234229655</v>
      </c>
      <c r="ML15">
        <v>1.7070899580000001</v>
      </c>
      <c r="MM15">
        <v>0.23842874959999999</v>
      </c>
      <c r="MN15">
        <v>1.1194109999999999</v>
      </c>
      <c r="MO15">
        <v>2.3655590000000002</v>
      </c>
      <c r="MP15">
        <v>1.404323569</v>
      </c>
      <c r="MQ15">
        <v>0.326154316</v>
      </c>
      <c r="MR15">
        <v>0.56658200000000003</v>
      </c>
      <c r="MS15">
        <v>2.0774059999999999</v>
      </c>
      <c r="MT15">
        <v>1.7070899580000001</v>
      </c>
      <c r="MU15">
        <v>0.23842874959999999</v>
      </c>
      <c r="MV15">
        <v>1.1194109999999999</v>
      </c>
      <c r="MW15">
        <v>2.3655590000000002</v>
      </c>
      <c r="MX15">
        <v>0.39655698350000002</v>
      </c>
      <c r="MY15">
        <v>7.3550564969999996E-2</v>
      </c>
      <c r="MZ15">
        <v>0.22595019080000001</v>
      </c>
      <c r="NA15">
        <v>0.60026921509999998</v>
      </c>
      <c r="NB15">
        <v>0.4697410393</v>
      </c>
      <c r="NC15">
        <v>7.8234898009999998E-2</v>
      </c>
      <c r="ND15">
        <v>0.28356400790000003</v>
      </c>
      <c r="NE15">
        <v>0.67792977269999999</v>
      </c>
      <c r="NF15">
        <v>0.29840043869999999</v>
      </c>
      <c r="NG15">
        <v>0.4355229477</v>
      </c>
      <c r="NH15">
        <v>-0.7394989139</v>
      </c>
      <c r="NI15">
        <v>1.481293832</v>
      </c>
      <c r="NJ15">
        <v>2.246537081</v>
      </c>
      <c r="NK15">
        <v>0.50072991659999999</v>
      </c>
      <c r="NL15">
        <v>1.410745556</v>
      </c>
      <c r="NM15">
        <v>4.1082526330000002</v>
      </c>
      <c r="NN15">
        <v>2.92359999</v>
      </c>
      <c r="NO15">
        <v>1.085371117</v>
      </c>
      <c r="NP15">
        <v>0.4954199983</v>
      </c>
      <c r="NQ15">
        <v>5.3447399820000001</v>
      </c>
      <c r="NR15">
        <v>7.3490390530000005E-2</v>
      </c>
      <c r="NS15">
        <v>9.3758584929999993E-3</v>
      </c>
      <c r="NT15">
        <v>4.9776960709999998E-2</v>
      </c>
      <c r="NU15">
        <v>0.11780437959999999</v>
      </c>
      <c r="NV15">
        <v>51.073677330000002</v>
      </c>
      <c r="NW15">
        <v>15.130530390000001</v>
      </c>
      <c r="NX15">
        <v>17.38842245</v>
      </c>
      <c r="NY15">
        <v>86.500220949999999</v>
      </c>
      <c r="NZ15">
        <v>0.90525727079999996</v>
      </c>
      <c r="OA15">
        <v>0.20628573189999999</v>
      </c>
      <c r="OB15">
        <v>0.42068413519999998</v>
      </c>
      <c r="OC15">
        <v>1.599067952</v>
      </c>
      <c r="OD15">
        <v>21.897753850000001</v>
      </c>
      <c r="OE15">
        <v>4.5263521070000001</v>
      </c>
      <c r="OF15">
        <v>10.93680954</v>
      </c>
      <c r="OG15">
        <v>37.563694759999997</v>
      </c>
      <c r="OH15">
        <v>4.1009294030000003</v>
      </c>
      <c r="OI15">
        <v>2.3375918470000001</v>
      </c>
      <c r="OJ15">
        <v>1.870998409</v>
      </c>
      <c r="OK15">
        <v>20.1848937</v>
      </c>
      <c r="OL15">
        <v>0.57986458460000001</v>
      </c>
      <c r="OM15">
        <v>0.45074767199999999</v>
      </c>
      <c r="ON15">
        <v>2.8285452979999999</v>
      </c>
      <c r="OO15">
        <v>3.1379299999999999</v>
      </c>
      <c r="OP15">
        <v>2.1168900000000002</v>
      </c>
      <c r="OQ15">
        <v>5.2548199999999996</v>
      </c>
      <c r="OR15">
        <v>0.4768518149</v>
      </c>
      <c r="OS15" s="2">
        <v>2.7834847569999999E-5</v>
      </c>
      <c r="OT15">
        <v>8.4116194409999999E-4</v>
      </c>
      <c r="OU15" s="2">
        <v>2.7834847569999999E-5</v>
      </c>
      <c r="OV15">
        <v>5.2725371339999998E-4</v>
      </c>
      <c r="OW15">
        <v>7.9748728659999996E-4</v>
      </c>
      <c r="OX15" s="2">
        <v>4.3674657539999997E-5</v>
      </c>
      <c r="OY15">
        <v>1.435799845</v>
      </c>
      <c r="OZ15">
        <v>0.64515228550000003</v>
      </c>
      <c r="PA15">
        <v>0.32133506750000002</v>
      </c>
      <c r="PB15">
        <v>15.761080570000001</v>
      </c>
      <c r="PC15">
        <v>94.346704919999993</v>
      </c>
      <c r="PD15">
        <v>0.56991531689999997</v>
      </c>
      <c r="PE15">
        <v>0.3883064947</v>
      </c>
      <c r="PF15">
        <v>2.4860494850000001</v>
      </c>
      <c r="PG15">
        <v>2.215983</v>
      </c>
      <c r="PH15">
        <v>1.7268060000000001</v>
      </c>
      <c r="PI15">
        <v>3.9427889999999999</v>
      </c>
      <c r="PJ15">
        <v>0.4726217506</v>
      </c>
      <c r="PK15" s="2">
        <v>2.5258364150000001E-5</v>
      </c>
      <c r="PL15">
        <v>8.390547477E-4</v>
      </c>
      <c r="PM15" s="2">
        <v>2.5258364150000001E-5</v>
      </c>
      <c r="PN15">
        <v>5.2705538659999997E-4</v>
      </c>
      <c r="PO15">
        <v>7.9670061339999997E-4</v>
      </c>
      <c r="PP15" s="2">
        <v>4.235413427E-5</v>
      </c>
      <c r="PQ15">
        <v>1.4357941729999999</v>
      </c>
      <c r="PR15">
        <v>0.61164548529999996</v>
      </c>
      <c r="PS15">
        <v>0.29195549100000001</v>
      </c>
      <c r="PT15">
        <v>15.7322849</v>
      </c>
      <c r="PU15">
        <v>94.550102069999994</v>
      </c>
      <c r="PV15">
        <v>1.641998002</v>
      </c>
      <c r="PW15">
        <v>0.64886757669999995</v>
      </c>
      <c r="PX15">
        <v>0.44470075190000002</v>
      </c>
      <c r="PY15">
        <v>12.58127943</v>
      </c>
      <c r="PZ15">
        <v>92.562155660000002</v>
      </c>
      <c r="QA15">
        <v>1.6391716510000001</v>
      </c>
      <c r="QB15">
        <v>0.6070224702</v>
      </c>
      <c r="QC15">
        <v>0.40518730250000001</v>
      </c>
      <c r="QD15">
        <v>12.639788790000001</v>
      </c>
      <c r="QE15">
        <v>92.555023430000006</v>
      </c>
      <c r="QF15" s="2">
        <v>3.0501356080000001E-5</v>
      </c>
      <c r="QG15">
        <v>5.7694861050000003E-4</v>
      </c>
      <c r="QH15">
        <v>8.3673938950000004E-4</v>
      </c>
      <c r="QI15" s="2">
        <v>5.8357335510000001E-5</v>
      </c>
      <c r="QJ15" s="2">
        <v>2.7835143220000001E-5</v>
      </c>
      <c r="QK15">
        <v>5.7681412849999996E-4</v>
      </c>
      <c r="QL15">
        <v>8.3627587150000003E-4</v>
      </c>
      <c r="QM15" s="2">
        <v>5.68470297E-5</v>
      </c>
      <c r="QN15">
        <v>8.6648784600000006</v>
      </c>
      <c r="QO15">
        <v>2.2550514119999998</v>
      </c>
      <c r="QP15">
        <v>175.56538470000001</v>
      </c>
      <c r="QQ15">
        <v>7.1470029779999997</v>
      </c>
      <c r="QR15">
        <v>8.6392366070000008</v>
      </c>
      <c r="QS15">
        <v>2.255609379</v>
      </c>
      <c r="QT15">
        <v>175.56696890000001</v>
      </c>
      <c r="QU15">
        <v>7.1410638840000003</v>
      </c>
    </row>
    <row r="16" spans="1:463" x14ac:dyDescent="0.2">
      <c r="A16" t="s">
        <v>286</v>
      </c>
      <c r="B16" s="2">
        <v>1.5589172420000001E-11</v>
      </c>
      <c r="C16" s="2">
        <v>1.8383928159999999E-11</v>
      </c>
      <c r="D16">
        <v>1.364883471E-2</v>
      </c>
      <c r="E16">
        <v>5.302230443E-2</v>
      </c>
      <c r="F16">
        <v>0.40342238000000002</v>
      </c>
      <c r="G16">
        <v>4.1845902329999997E-2</v>
      </c>
      <c r="H16">
        <v>0.16256085009999999</v>
      </c>
      <c r="I16">
        <v>1.236850902</v>
      </c>
      <c r="J16">
        <v>32.603247789999998</v>
      </c>
      <c r="K16">
        <v>32.616896619999999</v>
      </c>
      <c r="L16">
        <v>32.616896619999999</v>
      </c>
      <c r="M16">
        <v>32.616896619999999</v>
      </c>
      <c r="N16">
        <v>32.563874319999996</v>
      </c>
      <c r="O16">
        <v>32.616896619999999</v>
      </c>
      <c r="P16">
        <v>32.213474239999996</v>
      </c>
      <c r="Q16">
        <v>32.616896619999999</v>
      </c>
      <c r="R16">
        <v>1.6505264909999999</v>
      </c>
      <c r="S16">
        <v>0.4541351032</v>
      </c>
      <c r="T16">
        <v>0.76119599270000005</v>
      </c>
      <c r="U16">
        <v>2.7947150180000002</v>
      </c>
      <c r="V16">
        <v>1.2002719610000001</v>
      </c>
      <c r="W16">
        <v>0.26259294960000001</v>
      </c>
      <c r="X16">
        <v>0.74060196690000002</v>
      </c>
      <c r="Y16">
        <v>2.084222993</v>
      </c>
      <c r="Z16">
        <v>2.8507984529999999</v>
      </c>
      <c r="AA16">
        <v>0.56991574379999999</v>
      </c>
      <c r="AB16">
        <v>1.7530570000000001</v>
      </c>
      <c r="AC16">
        <v>4.2462020000000003</v>
      </c>
      <c r="AD16">
        <v>1.5556452869999999</v>
      </c>
      <c r="AE16">
        <v>0.44407771429999998</v>
      </c>
      <c r="AF16">
        <v>0.77383416670000005</v>
      </c>
      <c r="AG16">
        <v>3.5563863329999998</v>
      </c>
      <c r="AH16">
        <v>2.8507984529999999</v>
      </c>
      <c r="AI16">
        <v>0.56991574379999999</v>
      </c>
      <c r="AJ16">
        <v>1.7530570000000001</v>
      </c>
      <c r="AK16">
        <v>4.2462020000000003</v>
      </c>
      <c r="AL16">
        <v>0.4465078998</v>
      </c>
      <c r="AM16">
        <v>7.3259076000000006E-2</v>
      </c>
      <c r="AN16">
        <v>0.2764348666</v>
      </c>
      <c r="AO16">
        <v>0.68239398210000002</v>
      </c>
      <c r="AP16">
        <v>0.54751204229999995</v>
      </c>
      <c r="AQ16">
        <v>8.0262156720000005E-2</v>
      </c>
      <c r="AR16">
        <v>0.35680963560000001</v>
      </c>
      <c r="AS16">
        <v>0.81263146149999999</v>
      </c>
      <c r="AT16">
        <v>0.37629245929999999</v>
      </c>
      <c r="AU16">
        <v>0.41556564130000001</v>
      </c>
      <c r="AV16">
        <v>-0.60208740419999995</v>
      </c>
      <c r="AW16">
        <v>1.476792935</v>
      </c>
      <c r="AX16">
        <v>2.8980984140000001</v>
      </c>
      <c r="AY16">
        <v>0.82828255240000004</v>
      </c>
      <c r="AZ16">
        <v>1.7022993120000001</v>
      </c>
      <c r="BA16">
        <v>7.271621337</v>
      </c>
      <c r="BB16">
        <v>1.268805679</v>
      </c>
      <c r="BC16">
        <v>0.51163412269999997</v>
      </c>
      <c r="BD16">
        <v>0.40640999859999999</v>
      </c>
      <c r="BE16">
        <v>4.1386199860000001</v>
      </c>
      <c r="BF16">
        <v>0.79579271659999995</v>
      </c>
      <c r="BG16">
        <v>0.64821340220000001</v>
      </c>
      <c r="BH16">
        <v>0.26326268460000002</v>
      </c>
      <c r="BI16">
        <v>3.1802084019999999</v>
      </c>
      <c r="BJ16">
        <v>18.88027975</v>
      </c>
      <c r="BK16">
        <v>15.420277199999999</v>
      </c>
      <c r="BL16">
        <v>0.17675651789999999</v>
      </c>
      <c r="BM16">
        <v>70.457776609999996</v>
      </c>
      <c r="BN16">
        <v>0.96275179369999997</v>
      </c>
      <c r="BO16">
        <v>0.19676899519999999</v>
      </c>
      <c r="BP16">
        <v>0.55943554979999999</v>
      </c>
      <c r="BQ16">
        <v>1.6712463259999999</v>
      </c>
      <c r="BR16">
        <v>9.0112710400000005</v>
      </c>
      <c r="BS16">
        <v>3.301452925</v>
      </c>
      <c r="BT16">
        <v>2.4162643670000001</v>
      </c>
      <c r="BU16">
        <v>24.605693840000001</v>
      </c>
      <c r="BV16">
        <v>1.368279539</v>
      </c>
      <c r="BW16">
        <v>0.22578255489999999</v>
      </c>
      <c r="BX16">
        <v>0.76119599270000005</v>
      </c>
      <c r="BY16">
        <v>1.9751116479999999</v>
      </c>
      <c r="BZ16">
        <v>1.132639135</v>
      </c>
      <c r="CA16">
        <v>0.2192602521</v>
      </c>
      <c r="CB16">
        <v>0.64408827329999996</v>
      </c>
      <c r="CC16">
        <v>1.6876912120000001</v>
      </c>
      <c r="CD16">
        <v>2.5009186739999998</v>
      </c>
      <c r="CE16">
        <v>0.26482481079999998</v>
      </c>
      <c r="CF16">
        <v>1.7530570000000001</v>
      </c>
      <c r="CG16">
        <v>2.9384579999999998</v>
      </c>
      <c r="CH16">
        <v>1.423102597</v>
      </c>
      <c r="CI16">
        <v>0.34900832180000002</v>
      </c>
      <c r="CJ16">
        <v>0.7575244444</v>
      </c>
      <c r="CK16">
        <v>2.6634026670000002</v>
      </c>
      <c r="CL16">
        <v>2.5009186739999998</v>
      </c>
      <c r="CM16">
        <v>0.26482481079999998</v>
      </c>
      <c r="CN16">
        <v>1.7530570000000001</v>
      </c>
      <c r="CO16">
        <v>2.9384579999999998</v>
      </c>
      <c r="CP16">
        <v>0.44167183529999998</v>
      </c>
      <c r="CQ16">
        <v>7.0077401380000001E-2</v>
      </c>
      <c r="CR16">
        <v>0.2764348666</v>
      </c>
      <c r="CS16">
        <v>0.64989404559999997</v>
      </c>
      <c r="CT16">
        <v>0.5374731787</v>
      </c>
      <c r="CU16">
        <v>7.3581850209999994E-2</v>
      </c>
      <c r="CV16">
        <v>0.35680963560000001</v>
      </c>
      <c r="CW16">
        <v>0.75893929859999998</v>
      </c>
      <c r="CX16">
        <v>0.3232643456</v>
      </c>
      <c r="CY16">
        <v>0.4065800671</v>
      </c>
      <c r="CZ16">
        <v>-0.60208740419999995</v>
      </c>
      <c r="DA16">
        <v>1.273821726</v>
      </c>
      <c r="DB16">
        <v>2.6313391249999998</v>
      </c>
      <c r="DC16">
        <v>0.56450620119999995</v>
      </c>
      <c r="DD16">
        <v>1.7022993120000001</v>
      </c>
      <c r="DE16">
        <v>4.3147667409999997</v>
      </c>
      <c r="DF16">
        <v>1.247034408</v>
      </c>
      <c r="DG16">
        <v>0.48073440070000001</v>
      </c>
      <c r="DH16">
        <v>0.48934799829999998</v>
      </c>
      <c r="DI16">
        <v>3.5410799879999999</v>
      </c>
      <c r="DJ16">
        <v>0.56061569200000005</v>
      </c>
      <c r="DK16">
        <v>0.29638886199999998</v>
      </c>
      <c r="DL16">
        <v>0.26326268460000002</v>
      </c>
      <c r="DM16">
        <v>1.675382785</v>
      </c>
      <c r="DN16">
        <v>27.53574927</v>
      </c>
      <c r="DO16">
        <v>13.38848707</v>
      </c>
      <c r="DP16">
        <v>6.9818824570000002</v>
      </c>
      <c r="DQ16">
        <v>70.457776609999996</v>
      </c>
      <c r="DR16">
        <v>0.96051467020000003</v>
      </c>
      <c r="DS16">
        <v>0.19498990920000001</v>
      </c>
      <c r="DT16">
        <v>0.55943554979999999</v>
      </c>
      <c r="DU16">
        <v>1.638859641</v>
      </c>
      <c r="DV16">
        <v>9.1797635700000004</v>
      </c>
      <c r="DW16">
        <v>3.4158998390000002</v>
      </c>
      <c r="DX16">
        <v>2.8239972080000002</v>
      </c>
      <c r="DY16">
        <v>20.435354870000001</v>
      </c>
      <c r="DZ16">
        <v>0.40732611489999998</v>
      </c>
      <c r="EA16">
        <v>0.15877912720000001</v>
      </c>
      <c r="EB16">
        <v>0.17990690070000001</v>
      </c>
      <c r="EC16">
        <v>1.060182148</v>
      </c>
      <c r="ED16">
        <v>0.36193755729999999</v>
      </c>
      <c r="EE16">
        <v>0.1113839296</v>
      </c>
      <c r="EF16">
        <v>0.204779972</v>
      </c>
      <c r="EG16">
        <v>0.88091561119999995</v>
      </c>
      <c r="EH16">
        <v>0.76926367220000003</v>
      </c>
      <c r="EI16">
        <v>0.24823396719999999</v>
      </c>
      <c r="EJ16">
        <v>0.41775200000000001</v>
      </c>
      <c r="EK16">
        <v>1.7112652859999999</v>
      </c>
      <c r="EL16">
        <v>0.54411796040000004</v>
      </c>
      <c r="EM16">
        <v>0.22742611809999999</v>
      </c>
      <c r="EN16">
        <v>0.26727000000000001</v>
      </c>
      <c r="EO16">
        <v>1.75258475</v>
      </c>
      <c r="EP16">
        <v>1.643978921</v>
      </c>
      <c r="EQ16">
        <v>0.82204089339999997</v>
      </c>
      <c r="ER16">
        <v>0.68747899999999995</v>
      </c>
      <c r="ES16">
        <v>4.5676480000000002</v>
      </c>
      <c r="ET16">
        <v>0.12615515599999999</v>
      </c>
      <c r="EU16">
        <v>2.6033484110000001E-2</v>
      </c>
      <c r="EV16">
        <v>7.6573765929999996E-2</v>
      </c>
      <c r="EW16">
        <v>0.23294959200000001</v>
      </c>
      <c r="EX16">
        <v>0.1666897175</v>
      </c>
      <c r="EY16">
        <v>4.017762506E-2</v>
      </c>
      <c r="EZ16">
        <v>9.8611496709999996E-2</v>
      </c>
      <c r="FA16">
        <v>0.33817110519999999</v>
      </c>
      <c r="FB16">
        <v>1.9733268460000002E-2</v>
      </c>
      <c r="FC16">
        <v>0.35979228079999998</v>
      </c>
      <c r="FD16">
        <v>-0.83259245839999996</v>
      </c>
      <c r="FE16">
        <v>1.247614904</v>
      </c>
      <c r="FF16">
        <v>3.8729471379999998</v>
      </c>
      <c r="FG16">
        <v>1.837267107</v>
      </c>
      <c r="FH16">
        <v>2.2032126769999998</v>
      </c>
      <c r="FI16">
        <v>14.66051148</v>
      </c>
      <c r="FJ16">
        <v>0.91412439909999998</v>
      </c>
      <c r="FK16">
        <v>0.57576661969999998</v>
      </c>
      <c r="FL16">
        <v>0.33302545649999998</v>
      </c>
      <c r="FM16">
        <v>2.8339386879999999</v>
      </c>
      <c r="FN16">
        <v>0.72949900089999997</v>
      </c>
      <c r="FO16">
        <v>0.36138288569999999</v>
      </c>
      <c r="FP16">
        <v>0.32360417629999999</v>
      </c>
      <c r="FQ16">
        <v>2.373144817</v>
      </c>
      <c r="FR16">
        <v>1.5350226579999999</v>
      </c>
      <c r="FS16">
        <v>0.79230000239999998</v>
      </c>
      <c r="FT16">
        <v>0.64992499999999997</v>
      </c>
      <c r="FU16">
        <v>4.4153320000000003</v>
      </c>
      <c r="FV16">
        <v>1.069091016</v>
      </c>
      <c r="FW16">
        <v>0.35539467619999998</v>
      </c>
      <c r="FX16">
        <v>0.45760499999999998</v>
      </c>
      <c r="FY16">
        <v>3.4934599999999998</v>
      </c>
      <c r="FZ16">
        <v>0.36996263210000002</v>
      </c>
      <c r="GA16">
        <v>6.8261806159999994E-2</v>
      </c>
      <c r="GB16">
        <v>0.240777142</v>
      </c>
      <c r="GC16">
        <v>0.66636749770000003</v>
      </c>
      <c r="GD16">
        <v>0.53774042830000002</v>
      </c>
      <c r="GE16">
        <v>0.38239418250000001</v>
      </c>
      <c r="GF16">
        <v>0.21887808210000001</v>
      </c>
      <c r="GG16">
        <v>2.2045655150000001</v>
      </c>
      <c r="GH16">
        <v>70.720138340000005</v>
      </c>
      <c r="GI16">
        <v>40.960690579999998</v>
      </c>
      <c r="GJ16">
        <v>0.1969958138</v>
      </c>
      <c r="GK16">
        <v>100</v>
      </c>
      <c r="GL16">
        <v>0.21697215489999999</v>
      </c>
      <c r="GM16">
        <v>4.3581938000000001E-2</v>
      </c>
      <c r="GN16">
        <v>0.12871387910000001</v>
      </c>
      <c r="GO16">
        <v>0.45180895589999998</v>
      </c>
      <c r="GP16">
        <v>10.606533499999999</v>
      </c>
      <c r="GQ16">
        <v>2.7732064950000002</v>
      </c>
      <c r="GR16">
        <v>4.5555281949999999</v>
      </c>
      <c r="GS16">
        <v>19.08396947</v>
      </c>
      <c r="GT16">
        <v>27.899365339999999</v>
      </c>
      <c r="GU16">
        <v>4.8667876200000002</v>
      </c>
      <c r="GV16">
        <v>15.00673432</v>
      </c>
      <c r="GW16">
        <v>41.532181649999998</v>
      </c>
      <c r="GX16">
        <v>0.35277987570000002</v>
      </c>
      <c r="GY16">
        <v>8.3822683120000005E-2</v>
      </c>
      <c r="GZ16">
        <v>0.18127184839999999</v>
      </c>
      <c r="HA16">
        <v>0.72149365399999998</v>
      </c>
      <c r="HB16">
        <v>0.34921242730000002</v>
      </c>
      <c r="HC16">
        <v>9.795307483E-2</v>
      </c>
      <c r="HD16">
        <v>0.204779972</v>
      </c>
      <c r="HE16">
        <v>0.85311959319999997</v>
      </c>
      <c r="HF16">
        <v>0.70199230300000004</v>
      </c>
      <c r="HG16">
        <v>0.16180766169999999</v>
      </c>
      <c r="HH16">
        <v>0.4176528571</v>
      </c>
      <c r="HI16">
        <v>1.313946429</v>
      </c>
      <c r="HJ16">
        <v>0.474431875</v>
      </c>
      <c r="HK16">
        <v>0.13226313449999999</v>
      </c>
      <c r="HL16">
        <v>0.26727000000000001</v>
      </c>
      <c r="HM16">
        <v>0.9387110769</v>
      </c>
      <c r="HN16">
        <v>1.3469201529999999</v>
      </c>
      <c r="HO16">
        <v>0.45239080580000002</v>
      </c>
      <c r="HP16">
        <v>0.68747899999999995</v>
      </c>
      <c r="HQ16">
        <v>3.105566</v>
      </c>
      <c r="HR16">
        <v>0.12179644320000001</v>
      </c>
      <c r="HS16">
        <v>2.0635403369999999E-2</v>
      </c>
      <c r="HT16">
        <v>7.5934327139999994E-2</v>
      </c>
      <c r="HU16">
        <v>0.19851240440000001</v>
      </c>
      <c r="HV16">
        <v>0.1571102644</v>
      </c>
      <c r="HW16">
        <v>2.8438205469999998E-2</v>
      </c>
      <c r="HX16">
        <v>9.8343975190000002E-2</v>
      </c>
      <c r="HY16">
        <v>0.25509561190000002</v>
      </c>
      <c r="HZ16">
        <v>-6.833296623E-2</v>
      </c>
      <c r="IA16">
        <v>0.30620740410000002</v>
      </c>
      <c r="IB16">
        <v>-1.0202653429999999</v>
      </c>
      <c r="IC16">
        <v>0.94654872280000002</v>
      </c>
      <c r="ID16">
        <v>3.429021702</v>
      </c>
      <c r="IE16">
        <v>1.1142479199999999</v>
      </c>
      <c r="IF16">
        <v>2.2032126769999998</v>
      </c>
      <c r="IG16">
        <v>9.5541131579999998</v>
      </c>
      <c r="IH16">
        <v>0.6675704817</v>
      </c>
      <c r="II16">
        <v>0.26483353059999998</v>
      </c>
      <c r="IJ16">
        <v>0.33302545649999998</v>
      </c>
      <c r="IK16">
        <v>2.208854476</v>
      </c>
      <c r="IL16">
        <v>0.67934967089999998</v>
      </c>
      <c r="IM16">
        <v>0.28900746360000001</v>
      </c>
      <c r="IN16">
        <v>0.32360417629999999</v>
      </c>
      <c r="IO16">
        <v>1.8762157020000001</v>
      </c>
      <c r="IP16">
        <v>1.2480681419999999</v>
      </c>
      <c r="IQ16">
        <v>0.3986846772</v>
      </c>
      <c r="IR16">
        <v>0.64992499999999997</v>
      </c>
      <c r="IS16">
        <v>2.8370630000000001</v>
      </c>
      <c r="IT16">
        <v>1.023195879</v>
      </c>
      <c r="IU16">
        <v>0.23544848160000001</v>
      </c>
      <c r="IV16">
        <v>0.45760499999999998</v>
      </c>
      <c r="IW16">
        <v>2.5170539999999999</v>
      </c>
      <c r="IX16">
        <v>0.35078277569999999</v>
      </c>
      <c r="IY16">
        <v>5.6287025220000002E-2</v>
      </c>
      <c r="IZ16">
        <v>0.2302718174</v>
      </c>
      <c r="JA16">
        <v>0.54068399810000001</v>
      </c>
      <c r="JB16">
        <v>0.42361841500000003</v>
      </c>
      <c r="JC16">
        <v>0.17698223960000001</v>
      </c>
      <c r="JD16">
        <v>0.21887808210000001</v>
      </c>
      <c r="JE16">
        <v>1.0517796580000001</v>
      </c>
      <c r="JF16">
        <v>88.744514949999996</v>
      </c>
      <c r="JG16">
        <v>24.394821889999999</v>
      </c>
      <c r="JH16">
        <v>0.56636296480000003</v>
      </c>
      <c r="JI16">
        <v>100</v>
      </c>
      <c r="JJ16">
        <v>0.215171631</v>
      </c>
      <c r="JK16">
        <v>4.2092172779999999E-2</v>
      </c>
      <c r="JL16">
        <v>0.1307422996</v>
      </c>
      <c r="JM16">
        <v>0.41701808270000001</v>
      </c>
      <c r="JN16">
        <v>11.47920161</v>
      </c>
      <c r="JO16">
        <v>2.3000873400000001</v>
      </c>
      <c r="JP16">
        <v>6.4269884260000003</v>
      </c>
      <c r="JQ16">
        <v>19.08396947</v>
      </c>
      <c r="JR16">
        <v>29.209049220000001</v>
      </c>
      <c r="JS16">
        <v>4.4741187099999999</v>
      </c>
      <c r="JT16">
        <v>18.495091469999998</v>
      </c>
      <c r="JU16">
        <v>43.426938270000001</v>
      </c>
      <c r="JV16">
        <v>0.93284105340000001</v>
      </c>
      <c r="JW16">
        <v>0.1683436516</v>
      </c>
      <c r="JX16">
        <v>0.52412209570000001</v>
      </c>
      <c r="JY16">
        <v>1.4417622510000001</v>
      </c>
      <c r="JZ16">
        <v>0.753542673</v>
      </c>
      <c r="KA16">
        <v>0.1780175074</v>
      </c>
      <c r="KB16">
        <v>0.37143313570000003</v>
      </c>
      <c r="KC16">
        <v>1.2157707740000001</v>
      </c>
      <c r="KD16">
        <v>1.6863837260000001</v>
      </c>
      <c r="KE16">
        <v>0.24945129290000001</v>
      </c>
      <c r="KF16">
        <v>1.1609929999999999</v>
      </c>
      <c r="KG16">
        <v>2.3929269999999998</v>
      </c>
      <c r="KH16">
        <v>1.364905942</v>
      </c>
      <c r="KI16">
        <v>0.3236478867</v>
      </c>
      <c r="KJ16">
        <v>0.57736633329999998</v>
      </c>
      <c r="KK16">
        <v>2.3563900000000002</v>
      </c>
      <c r="KL16">
        <v>1.6863837260000001</v>
      </c>
      <c r="KM16">
        <v>0.24945129290000001</v>
      </c>
      <c r="KN16">
        <v>1.1609929999999999</v>
      </c>
      <c r="KO16">
        <v>2.3929269999999998</v>
      </c>
      <c r="KP16">
        <v>0.39322573129999999</v>
      </c>
      <c r="KQ16">
        <v>7.3597969269999994E-2</v>
      </c>
      <c r="KR16">
        <v>0.20578397649999999</v>
      </c>
      <c r="KS16">
        <v>0.60877251489999995</v>
      </c>
      <c r="KT16">
        <v>0.4665156151</v>
      </c>
      <c r="KU16">
        <v>7.9142826449999995E-2</v>
      </c>
      <c r="KV16">
        <v>0.2668470979</v>
      </c>
      <c r="KW16">
        <v>0.67670540349999997</v>
      </c>
      <c r="KX16">
        <v>0.29605039989999998</v>
      </c>
      <c r="KY16">
        <v>0.42954909969999999</v>
      </c>
      <c r="KZ16">
        <v>-0.63504618909999999</v>
      </c>
      <c r="LA16">
        <v>1.4966836379999999</v>
      </c>
      <c r="LB16">
        <v>2.2387275450000002</v>
      </c>
      <c r="LC16">
        <v>0.50103566249999998</v>
      </c>
      <c r="LD16">
        <v>1.466720437</v>
      </c>
      <c r="LE16">
        <v>4.5283580949999998</v>
      </c>
      <c r="LF16">
        <v>2.94284999</v>
      </c>
      <c r="LG16">
        <v>1.0153184669999999</v>
      </c>
      <c r="LH16">
        <v>0.55613999810000003</v>
      </c>
      <c r="LI16">
        <v>5.3612999810000002</v>
      </c>
      <c r="LJ16">
        <v>7.1889816090000003E-2</v>
      </c>
      <c r="LK16">
        <v>1.006261038E-2</v>
      </c>
      <c r="LL16">
        <v>4.6548506830000003E-2</v>
      </c>
      <c r="LM16">
        <v>0.1203468563</v>
      </c>
      <c r="LN16">
        <v>52.43425577</v>
      </c>
      <c r="LO16">
        <v>15.680093360000001</v>
      </c>
      <c r="LP16">
        <v>18.095448520000001</v>
      </c>
      <c r="LQ16">
        <v>92.664604510000004</v>
      </c>
      <c r="LR16">
        <v>0.89904947690000003</v>
      </c>
      <c r="LS16">
        <v>0.2004732515</v>
      </c>
      <c r="LT16">
        <v>0.35785003110000002</v>
      </c>
      <c r="LU16">
        <v>1.552842506</v>
      </c>
      <c r="LV16">
        <v>21.996271400000001</v>
      </c>
      <c r="LW16">
        <v>4.452722531</v>
      </c>
      <c r="LX16">
        <v>8.020327</v>
      </c>
      <c r="LY16">
        <v>38.64339373</v>
      </c>
      <c r="LZ16">
        <v>3.906376367</v>
      </c>
      <c r="MA16">
        <v>1.8833229380000001</v>
      </c>
      <c r="MB16">
        <v>1.865219263</v>
      </c>
      <c r="MC16">
        <v>17.981083959999999</v>
      </c>
      <c r="MD16">
        <v>0.92149474490000005</v>
      </c>
      <c r="ME16">
        <v>0.1604296932</v>
      </c>
      <c r="MF16">
        <v>0.52412209570000001</v>
      </c>
      <c r="MG16">
        <v>1.438556825</v>
      </c>
      <c r="MH16">
        <v>0.74390005510000001</v>
      </c>
      <c r="MI16">
        <v>0.1709513288</v>
      </c>
      <c r="MJ16">
        <v>0.37143313570000003</v>
      </c>
      <c r="MK16">
        <v>1.203334438</v>
      </c>
      <c r="ML16">
        <v>1.6653948000000001</v>
      </c>
      <c r="MM16">
        <v>0.23407677590000001</v>
      </c>
      <c r="MN16">
        <v>1.1609929999999999</v>
      </c>
      <c r="MO16">
        <v>2.2609400000000002</v>
      </c>
      <c r="MP16">
        <v>1.3564365439999999</v>
      </c>
      <c r="MQ16">
        <v>0.3206835059</v>
      </c>
      <c r="MR16">
        <v>0.57736633329999998</v>
      </c>
      <c r="MS16">
        <v>2.118185</v>
      </c>
      <c r="MT16">
        <v>1.6653948000000001</v>
      </c>
      <c r="MU16">
        <v>0.23407677590000001</v>
      </c>
      <c r="MV16">
        <v>1.1609929999999999</v>
      </c>
      <c r="MW16">
        <v>2.2609400000000002</v>
      </c>
      <c r="MX16">
        <v>0.38998942130000003</v>
      </c>
      <c r="MY16">
        <v>7.2241823050000001E-2</v>
      </c>
      <c r="MZ16">
        <v>0.20578397649999999</v>
      </c>
      <c r="NA16">
        <v>0.59799216180000003</v>
      </c>
      <c r="NB16">
        <v>0.4621392875</v>
      </c>
      <c r="NC16">
        <v>7.6959468850000004E-2</v>
      </c>
      <c r="ND16">
        <v>0.2668470979</v>
      </c>
      <c r="NE16">
        <v>0.66575727360000003</v>
      </c>
      <c r="NF16">
        <v>0.29737168409999998</v>
      </c>
      <c r="NG16">
        <v>0.42633415730000002</v>
      </c>
      <c r="NH16">
        <v>-0.63504618909999999</v>
      </c>
      <c r="NI16">
        <v>1.4999569239999999</v>
      </c>
      <c r="NJ16">
        <v>2.2287856119999998</v>
      </c>
      <c r="NK16">
        <v>0.4999929716</v>
      </c>
      <c r="NL16">
        <v>1.421263835</v>
      </c>
      <c r="NM16">
        <v>4.5283580949999998</v>
      </c>
      <c r="NN16">
        <v>2.9330146149999998</v>
      </c>
      <c r="NO16">
        <v>1.0353387860000001</v>
      </c>
      <c r="NP16">
        <v>0.55613999810000003</v>
      </c>
      <c r="NQ16">
        <v>5.3612999810000002</v>
      </c>
      <c r="NR16">
        <v>7.1127226500000001E-2</v>
      </c>
      <c r="NS16">
        <v>9.6096313289999995E-3</v>
      </c>
      <c r="NT16">
        <v>4.6548506830000003E-2</v>
      </c>
      <c r="NU16">
        <v>0.1109053737</v>
      </c>
      <c r="NV16">
        <v>53.220574169999999</v>
      </c>
      <c r="NW16">
        <v>15.309431679999999</v>
      </c>
      <c r="NX16">
        <v>18.16173221</v>
      </c>
      <c r="NY16">
        <v>92.664604510000004</v>
      </c>
      <c r="NZ16">
        <v>0.89247439699999997</v>
      </c>
      <c r="OA16">
        <v>0.1975162181</v>
      </c>
      <c r="OB16">
        <v>0.35785003110000002</v>
      </c>
      <c r="OC16">
        <v>1.510441546</v>
      </c>
      <c r="OD16">
        <v>22.132611829999998</v>
      </c>
      <c r="OE16">
        <v>4.5316307619999998</v>
      </c>
      <c r="OF16">
        <v>8.020327</v>
      </c>
      <c r="OG16">
        <v>38.94844707</v>
      </c>
      <c r="OH16">
        <v>3.9424096319999999</v>
      </c>
      <c r="OI16">
        <v>1.9111996689999999</v>
      </c>
      <c r="OJ16">
        <v>1.865219263</v>
      </c>
      <c r="OK16">
        <v>17.981083959999999</v>
      </c>
      <c r="OL16">
        <v>0.54944206770000004</v>
      </c>
      <c r="OM16">
        <v>0.49287384239999998</v>
      </c>
      <c r="ON16">
        <v>2.7856225760000002</v>
      </c>
      <c r="OO16">
        <v>3.1568659999999999</v>
      </c>
      <c r="OP16">
        <v>1.9831460000000001</v>
      </c>
      <c r="OQ16">
        <v>5.1400119999999996</v>
      </c>
      <c r="OR16">
        <v>0.45748957169999999</v>
      </c>
      <c r="OS16" s="2">
        <v>2.5005513559999999E-5</v>
      </c>
      <c r="OT16">
        <v>8.1151222930000001E-4</v>
      </c>
      <c r="OU16" s="2">
        <v>2.5005513559999999E-5</v>
      </c>
      <c r="OV16">
        <v>4.9657082839999996E-4</v>
      </c>
      <c r="OW16">
        <v>7.7388717159999996E-4</v>
      </c>
      <c r="OX16" s="2">
        <v>3.7625057639999998E-5</v>
      </c>
      <c r="OY16">
        <v>1.238018676</v>
      </c>
      <c r="OZ16">
        <v>0.6654731398</v>
      </c>
      <c r="PA16">
        <v>0.31191109049999999</v>
      </c>
      <c r="PB16">
        <v>20.181330429999999</v>
      </c>
      <c r="PC16">
        <v>94.599798809999996</v>
      </c>
      <c r="PD16">
        <v>0.53868534379999999</v>
      </c>
      <c r="PE16">
        <v>0.41987644140000002</v>
      </c>
      <c r="PF16">
        <v>2.3923658090000002</v>
      </c>
      <c r="PG16">
        <v>2.0565319999999998</v>
      </c>
      <c r="PH16">
        <v>1.692977</v>
      </c>
      <c r="PI16">
        <v>3.7495090000000002</v>
      </c>
      <c r="PJ16">
        <v>0.45257917399999997</v>
      </c>
      <c r="PK16" s="2">
        <v>2.2434990639999999E-5</v>
      </c>
      <c r="PL16">
        <v>8.0712367459999997E-4</v>
      </c>
      <c r="PM16" s="2">
        <v>2.2434990639999999E-5</v>
      </c>
      <c r="PN16">
        <v>4.9560296789999999E-4</v>
      </c>
      <c r="PO16">
        <v>7.7067203209999998E-4</v>
      </c>
      <c r="PP16" s="2">
        <v>3.645164256E-5</v>
      </c>
      <c r="PQ16">
        <v>1.23699962</v>
      </c>
      <c r="PR16">
        <v>0.63606208809999998</v>
      </c>
      <c r="PS16">
        <v>0.2868644165</v>
      </c>
      <c r="PT16">
        <v>20.133112610000001</v>
      </c>
      <c r="PU16">
        <v>94.826619410000006</v>
      </c>
      <c r="PV16">
        <v>1.538441035</v>
      </c>
      <c r="PW16">
        <v>0.62539331220000005</v>
      </c>
      <c r="PX16">
        <v>0.41188080939999999</v>
      </c>
      <c r="PY16">
        <v>13.67890854</v>
      </c>
      <c r="PZ16">
        <v>92.548574259999995</v>
      </c>
      <c r="QA16">
        <v>1.536563178</v>
      </c>
      <c r="QB16">
        <v>0.58393643699999997</v>
      </c>
      <c r="QC16">
        <v>0.37840025389999998</v>
      </c>
      <c r="QD16">
        <v>13.637957950000001</v>
      </c>
      <c r="QE16">
        <v>92.556307529999998</v>
      </c>
      <c r="QF16" s="2">
        <v>2.8890770029999999E-5</v>
      </c>
      <c r="QG16">
        <v>5.495285296E-4</v>
      </c>
      <c r="QH16">
        <v>8.0495647039999999E-4</v>
      </c>
      <c r="QI16" s="2">
        <v>5.4774429519999999E-5</v>
      </c>
      <c r="QJ16" s="2">
        <v>2.6237078510000001E-5</v>
      </c>
      <c r="QK16">
        <v>5.4856823949999995E-4</v>
      </c>
      <c r="QL16">
        <v>8.020777605E-4</v>
      </c>
      <c r="QM16" s="2">
        <v>5.3455808459999998E-5</v>
      </c>
      <c r="QN16">
        <v>8.5779887410000004</v>
      </c>
      <c r="QO16">
        <v>2.2552254600000001</v>
      </c>
      <c r="QP16">
        <v>175.58733549999999</v>
      </c>
      <c r="QQ16">
        <v>7.1242534979999999</v>
      </c>
      <c r="QR16">
        <v>8.5790713069999995</v>
      </c>
      <c r="QS16">
        <v>2.2566088240000002</v>
      </c>
      <c r="QT16">
        <v>175.58997410000001</v>
      </c>
      <c r="QU16">
        <v>7.1241356830000004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workbookViewId="0">
      <selection activeCell="E21" sqref="E21"/>
    </sheetView>
  </sheetViews>
  <sheetFormatPr baseColWidth="10" defaultColWidth="8.83203125" defaultRowHeight="15" x14ac:dyDescent="0.2"/>
  <cols>
    <col min="2" max="2" width="12" bestFit="1" customWidth="1"/>
    <col min="3" max="3" width="12.6640625" bestFit="1" customWidth="1"/>
    <col min="4" max="4" width="12" bestFit="1" customWidth="1"/>
    <col min="5" max="7" width="10" bestFit="1" customWidth="1"/>
    <col min="8" max="10" width="12" bestFit="1" customWidth="1"/>
    <col min="11" max="11" width="12.5" bestFit="1" customWidth="1"/>
    <col min="12" max="12" width="19.83203125" bestFit="1" customWidth="1"/>
    <col min="13" max="13" width="19.33203125" bestFit="1" customWidth="1"/>
    <col min="14" max="19" width="12" bestFit="1" customWidth="1"/>
  </cols>
  <sheetData>
    <row r="1" spans="1:19" x14ac:dyDescent="0.2">
      <c r="B1" t="str">
        <f>B4</f>
        <v>Sq</v>
      </c>
      <c r="C1" t="str">
        <f t="shared" ref="C1:S1" si="0">C4</f>
        <v>Ssk</v>
      </c>
      <c r="D1" t="str">
        <f t="shared" si="0"/>
        <v>Sku</v>
      </c>
      <c r="E1" t="str">
        <f t="shared" si="0"/>
        <v>Sp</v>
      </c>
      <c r="F1" t="str">
        <f t="shared" si="0"/>
        <v>Sv</v>
      </c>
      <c r="G1" t="str">
        <f t="shared" si="0"/>
        <v>Sz</v>
      </c>
      <c r="H1" t="str">
        <f t="shared" si="0"/>
        <v>Sa</v>
      </c>
      <c r="I1" t="str">
        <f t="shared" si="0"/>
        <v>Vm (p = 10%)</v>
      </c>
      <c r="J1" t="str">
        <f t="shared" si="0"/>
        <v>Vv (p = 10%)</v>
      </c>
      <c r="K1" t="str">
        <f t="shared" si="0"/>
        <v>Vmp (p = 10%)</v>
      </c>
      <c r="L1" t="str">
        <f t="shared" si="0"/>
        <v>Vmc (p = 10%, q = 80%)</v>
      </c>
      <c r="M1" t="str">
        <f t="shared" si="0"/>
        <v>Vvc (p = 10%, q = 80%)</v>
      </c>
      <c r="N1" t="str">
        <f t="shared" si="0"/>
        <v>Vvv (p = 80%)</v>
      </c>
      <c r="O1" t="str">
        <f t="shared" si="0"/>
        <v>Sk</v>
      </c>
      <c r="P1" t="str">
        <f t="shared" si="0"/>
        <v>Spk</v>
      </c>
      <c r="Q1" t="str">
        <f t="shared" si="0"/>
        <v>Svk</v>
      </c>
      <c r="R1" t="str">
        <f t="shared" si="0"/>
        <v>Smrk1</v>
      </c>
      <c r="S1" t="str">
        <f t="shared" si="0"/>
        <v>Smrk2</v>
      </c>
    </row>
    <row r="3" spans="1:19" x14ac:dyDescent="0.2">
      <c r="B3">
        <f>Baza!OL1</f>
        <v>70</v>
      </c>
      <c r="C3">
        <f>Baza!OM1</f>
        <v>70</v>
      </c>
      <c r="D3">
        <f>Baza!ON1</f>
        <v>70</v>
      </c>
      <c r="E3">
        <f>Baza!OO1</f>
        <v>70</v>
      </c>
      <c r="F3">
        <f>Baza!OP1</f>
        <v>70</v>
      </c>
      <c r="G3">
        <f>Baza!OQ1</f>
        <v>70</v>
      </c>
      <c r="H3">
        <f>Baza!OR1</f>
        <v>70</v>
      </c>
      <c r="I3">
        <f>Baza!OS1</f>
        <v>70</v>
      </c>
      <c r="J3">
        <f>Baza!OT1</f>
        <v>70</v>
      </c>
      <c r="K3">
        <f>Baza!OU1</f>
        <v>70</v>
      </c>
      <c r="L3">
        <f>Baza!OV1</f>
        <v>70</v>
      </c>
      <c r="M3">
        <f>Baza!OW1</f>
        <v>70</v>
      </c>
      <c r="N3">
        <f>Baza!OX1</f>
        <v>70</v>
      </c>
      <c r="O3">
        <f>Baza!OY1</f>
        <v>70</v>
      </c>
      <c r="P3">
        <f>Baza!OZ1</f>
        <v>70</v>
      </c>
      <c r="Q3">
        <f>Baza!PA1</f>
        <v>70</v>
      </c>
      <c r="R3">
        <f>Baza!PB1</f>
        <v>70</v>
      </c>
      <c r="S3">
        <f>Baza!PC1</f>
        <v>70</v>
      </c>
    </row>
    <row r="4" spans="1:19" x14ac:dyDescent="0.2">
      <c r="B4" t="str">
        <f>Baza!OL2</f>
        <v>Sq</v>
      </c>
      <c r="C4" t="str">
        <f>Baza!OM2</f>
        <v>Ssk</v>
      </c>
      <c r="D4" t="str">
        <f>Baza!ON2</f>
        <v>Sku</v>
      </c>
      <c r="E4" t="str">
        <f>Baza!OO2</f>
        <v>Sp</v>
      </c>
      <c r="F4" t="str">
        <f>Baza!OP2</f>
        <v>Sv</v>
      </c>
      <c r="G4" t="str">
        <f>Baza!OQ2</f>
        <v>Sz</v>
      </c>
      <c r="H4" t="str">
        <f>Baza!OR2</f>
        <v>Sa</v>
      </c>
      <c r="I4" t="str">
        <f>Baza!OS2</f>
        <v>Vm (p = 10%)</v>
      </c>
      <c r="J4" t="str">
        <f>Baza!OT2</f>
        <v>Vv (p = 10%)</v>
      </c>
      <c r="K4" t="str">
        <f>Baza!OU2</f>
        <v>Vmp (p = 10%)</v>
      </c>
      <c r="L4" t="str">
        <f>Baza!OV2</f>
        <v>Vmc (p = 10%, q = 80%)</v>
      </c>
      <c r="M4" t="str">
        <f>Baza!OW2</f>
        <v>Vvc (p = 10%, q = 80%)</v>
      </c>
      <c r="N4" t="str">
        <f>Baza!OX2</f>
        <v>Vvv (p = 80%)</v>
      </c>
      <c r="O4" t="str">
        <f>Baza!OY2</f>
        <v>Sk</v>
      </c>
      <c r="P4" t="str">
        <f>Baza!OZ2</f>
        <v>Spk</v>
      </c>
      <c r="Q4" t="str">
        <f>Baza!PA2</f>
        <v>Svk</v>
      </c>
      <c r="R4" t="str">
        <f>Baza!PB2</f>
        <v>Smrk1</v>
      </c>
      <c r="S4" t="str">
        <f>Baza!PC2</f>
        <v>Smrk2</v>
      </c>
    </row>
    <row r="5" spans="1:19" x14ac:dyDescent="0.2">
      <c r="B5" t="str">
        <f>Baza!OL3</f>
        <v>µm</v>
      </c>
      <c r="C5" t="str">
        <f>Baza!OM3</f>
        <v>&lt;no unit&gt;</v>
      </c>
      <c r="D5" t="str">
        <f>Baza!ON3</f>
        <v>&lt;no unit&gt;</v>
      </c>
      <c r="E5" t="str">
        <f>Baza!OO3</f>
        <v>µm</v>
      </c>
      <c r="F5" t="str">
        <f>Baza!OP3</f>
        <v>µm</v>
      </c>
      <c r="G5" t="str">
        <f>Baza!OQ3</f>
        <v>µm</v>
      </c>
      <c r="H5" t="str">
        <f>Baza!OR3</f>
        <v>µm</v>
      </c>
      <c r="I5" t="str">
        <f>Baza!OS3</f>
        <v>mm³/mm²</v>
      </c>
      <c r="J5" t="str">
        <f>Baza!OT3</f>
        <v>mm³/mm²</v>
      </c>
      <c r="K5" t="str">
        <f>Baza!OU3</f>
        <v>mm³/mm²</v>
      </c>
      <c r="L5" t="str">
        <f>Baza!OV3</f>
        <v>mm³/mm²</v>
      </c>
      <c r="M5" t="str">
        <f>Baza!OW3</f>
        <v>mm³/mm²</v>
      </c>
      <c r="N5" t="str">
        <f>Baza!OX3</f>
        <v>mm³/mm²</v>
      </c>
      <c r="O5" t="str">
        <f>Baza!OY3</f>
        <v>µm</v>
      </c>
      <c r="P5" t="str">
        <f>Baza!OZ3</f>
        <v>µm</v>
      </c>
      <c r="Q5" t="str">
        <f>Baza!PA3</f>
        <v>µm</v>
      </c>
      <c r="R5" t="str">
        <f>Baza!PB3</f>
        <v>%</v>
      </c>
      <c r="S5" t="str">
        <f>Baza!PC3</f>
        <v>%</v>
      </c>
    </row>
    <row r="6" spans="1:19" x14ac:dyDescent="0.2">
      <c r="A6" s="1" t="s">
        <v>244</v>
      </c>
      <c r="B6">
        <f>Baza!OL4</f>
        <v>0.55037660919999998</v>
      </c>
      <c r="C6">
        <f>Baza!OM4</f>
        <v>0.50556584069999999</v>
      </c>
      <c r="D6">
        <f>Baza!ON4</f>
        <v>2.8697261470000002</v>
      </c>
      <c r="E6">
        <f>Baza!OO4</f>
        <v>3.028165</v>
      </c>
      <c r="F6">
        <f>Baza!OP4</f>
        <v>2.0521630000000002</v>
      </c>
      <c r="G6">
        <f>Baza!OQ4</f>
        <v>5.0803279999999997</v>
      </c>
      <c r="H6">
        <f>Baza!OR4</f>
        <v>0.45455379870000001</v>
      </c>
      <c r="I6" s="2">
        <f>Baza!OS4</f>
        <v>2.654318804E-5</v>
      </c>
      <c r="J6">
        <f>Baza!OT4</f>
        <v>8.0070050149999995E-4</v>
      </c>
      <c r="K6" s="2">
        <f>Baza!OU4</f>
        <v>2.654318804E-5</v>
      </c>
      <c r="L6">
        <f>Baza!OV4</f>
        <v>5.1018227120000004E-4</v>
      </c>
      <c r="M6">
        <f>Baza!OW4</f>
        <v>7.637817288E-4</v>
      </c>
      <c r="N6">
        <f>Baza!OX4</f>
        <v>3.6918772749999997E-5</v>
      </c>
      <c r="O6">
        <f>Baza!OY4</f>
        <v>1.396047708</v>
      </c>
      <c r="P6">
        <f>Baza!OZ4</f>
        <v>0.60994852249999998</v>
      </c>
      <c r="Q6">
        <f>Baza!PA4</f>
        <v>0.2418694287</v>
      </c>
      <c r="R6">
        <f>Baza!PB4</f>
        <v>15.33759072</v>
      </c>
      <c r="S6">
        <f>Baza!PC4</f>
        <v>95.569047400000002</v>
      </c>
    </row>
    <row r="7" spans="1:19" x14ac:dyDescent="0.2">
      <c r="A7" s="1" t="s">
        <v>245</v>
      </c>
      <c r="B7">
        <f>Baza!OL5</f>
        <v>0.60352728150000001</v>
      </c>
      <c r="C7">
        <f>Baza!OM5</f>
        <v>0.50030034599999995</v>
      </c>
      <c r="D7">
        <f>Baza!ON5</f>
        <v>3.13838756</v>
      </c>
      <c r="E7">
        <f>Baza!OO5</f>
        <v>3.1357010000000001</v>
      </c>
      <c r="F7">
        <f>Baza!OP5</f>
        <v>2.393456</v>
      </c>
      <c r="G7">
        <f>Baza!OQ5</f>
        <v>5.5291569999999997</v>
      </c>
      <c r="H7">
        <f>Baza!OR5</f>
        <v>0.48893763420000003</v>
      </c>
      <c r="I7" s="2">
        <f>Baza!OS5</f>
        <v>3.2328293709999999E-5</v>
      </c>
      <c r="J7">
        <f>Baza!OT5</f>
        <v>8.6213626310000001E-4</v>
      </c>
      <c r="K7" s="2">
        <f>Baza!OU5</f>
        <v>3.2328293709999999E-5</v>
      </c>
      <c r="L7">
        <f>Baza!OV5</f>
        <v>5.3727977579999997E-4</v>
      </c>
      <c r="M7">
        <f>Baza!OW5</f>
        <v>8.1573822420000002E-4</v>
      </c>
      <c r="N7">
        <f>Baza!OX5</f>
        <v>4.639803892E-5</v>
      </c>
      <c r="O7">
        <f>Baza!OY5</f>
        <v>1.475558036</v>
      </c>
      <c r="P7">
        <f>Baza!OZ5</f>
        <v>0.70689634079999997</v>
      </c>
      <c r="Q7">
        <f>Baza!PA5</f>
        <v>0.37852549140000002</v>
      </c>
      <c r="R7">
        <f>Baza!PB5</f>
        <v>15.35036697</v>
      </c>
      <c r="S7">
        <f>Baza!PC5</f>
        <v>94.269328709999996</v>
      </c>
    </row>
    <row r="8" spans="1:19" x14ac:dyDescent="0.2">
      <c r="A8" s="1" t="s">
        <v>246</v>
      </c>
      <c r="B8">
        <f>Baza!OL6</f>
        <v>0.65646946070000001</v>
      </c>
      <c r="C8">
        <f>Baza!OM6</f>
        <v>0.48926854600000003</v>
      </c>
      <c r="D8">
        <f>Baza!ON6</f>
        <v>3.2938742730000001</v>
      </c>
      <c r="E8">
        <f>Baza!OO6</f>
        <v>3.340624</v>
      </c>
      <c r="F8">
        <f>Baza!OP6</f>
        <v>2.75136</v>
      </c>
      <c r="G8">
        <f>Baza!OQ6</f>
        <v>6.0919840000000001</v>
      </c>
      <c r="H8">
        <f>Baza!OR6</f>
        <v>0.52809086999999999</v>
      </c>
      <c r="I8" s="2">
        <f>Baza!OS6</f>
        <v>3.7365804520000003E-5</v>
      </c>
      <c r="J8">
        <f>Baza!OT6</f>
        <v>9.1895746430000001E-4</v>
      </c>
      <c r="K8" s="2">
        <f>Baza!OU6</f>
        <v>3.7365804520000003E-5</v>
      </c>
      <c r="L8">
        <f>Baza!OV6</f>
        <v>5.7637775640000002E-4</v>
      </c>
      <c r="M8">
        <f>Baza!OW6</f>
        <v>8.6603524360000001E-4</v>
      </c>
      <c r="N8">
        <f>Baza!OX6</f>
        <v>5.2922220780000001E-5</v>
      </c>
      <c r="O8">
        <f>Baza!OY6</f>
        <v>1.602419748</v>
      </c>
      <c r="P8">
        <f>Baza!OZ6</f>
        <v>0.78362863120000004</v>
      </c>
      <c r="Q8">
        <f>Baza!PA6</f>
        <v>0.45556734360000001</v>
      </c>
      <c r="R8">
        <f>Baza!PB6</f>
        <v>14.59037792</v>
      </c>
      <c r="S8">
        <f>Baza!PC6</f>
        <v>93.936185249999994</v>
      </c>
    </row>
    <row r="9" spans="1:19" x14ac:dyDescent="0.2">
      <c r="A9" s="1" t="s">
        <v>247</v>
      </c>
      <c r="B9">
        <f>Baza!OL7</f>
        <v>0.58588742699999996</v>
      </c>
      <c r="C9">
        <f>Baza!OM7</f>
        <v>0.4624114735</v>
      </c>
      <c r="D9">
        <f>Baza!ON7</f>
        <v>3.0759128370000002</v>
      </c>
      <c r="E9">
        <f>Baza!OO7</f>
        <v>3.4794</v>
      </c>
      <c r="F9">
        <f>Baza!OP7</f>
        <v>2.5718000000000001</v>
      </c>
      <c r="G9">
        <f>Baza!OQ7</f>
        <v>6.0511999999999997</v>
      </c>
      <c r="H9">
        <f>Baza!OR7</f>
        <v>0.479391862</v>
      </c>
      <c r="I9" s="2">
        <f>Baza!OS7</f>
        <v>2.9281732569999999E-5</v>
      </c>
      <c r="J9">
        <f>Baza!OT7</f>
        <v>8.3552121799999998E-4</v>
      </c>
      <c r="K9" s="2">
        <f>Baza!OU7</f>
        <v>2.9281732569999999E-5</v>
      </c>
      <c r="L9">
        <f>Baza!OV7</f>
        <v>5.3373742999999996E-4</v>
      </c>
      <c r="M9">
        <f>Baza!OW7</f>
        <v>7.9159257000000003E-4</v>
      </c>
      <c r="N9">
        <f>Baza!OX7</f>
        <v>4.3928647980000003E-5</v>
      </c>
      <c r="O9">
        <f>Baza!OY7</f>
        <v>1.4931578619999999</v>
      </c>
      <c r="P9">
        <f>Baza!OZ7</f>
        <v>0.63926860510000005</v>
      </c>
      <c r="Q9">
        <f>Baza!PA7</f>
        <v>0.34937172840000003</v>
      </c>
      <c r="R9">
        <f>Baza!PB7</f>
        <v>14.27542122</v>
      </c>
      <c r="S9">
        <f>Baza!PC7</f>
        <v>94.882761419999994</v>
      </c>
    </row>
    <row r="10" spans="1:19" x14ac:dyDescent="0.2">
      <c r="A10" s="1" t="s">
        <v>248</v>
      </c>
      <c r="B10">
        <f>Baza!OL8</f>
        <v>0.63388020160000003</v>
      </c>
      <c r="C10">
        <f>Baza!OM8</f>
        <v>0.41177133980000002</v>
      </c>
      <c r="D10">
        <f>Baza!ON8</f>
        <v>3.1753527529999999</v>
      </c>
      <c r="E10">
        <f>Baza!OO8</f>
        <v>3.2907459999999999</v>
      </c>
      <c r="F10">
        <f>Baza!OP8</f>
        <v>2.7343890000000002</v>
      </c>
      <c r="G10">
        <f>Baza!OQ8</f>
        <v>6.0251349999999997</v>
      </c>
      <c r="H10">
        <f>Baza!OR8</f>
        <v>0.51009534320000005</v>
      </c>
      <c r="I10" s="2">
        <f>Baza!OS8</f>
        <v>3.3938335720000003E-5</v>
      </c>
      <c r="J10">
        <f>Baza!OT8</f>
        <v>8.943406848E-4</v>
      </c>
      <c r="K10" s="2">
        <f>Baza!OU8</f>
        <v>3.3938335720000003E-5</v>
      </c>
      <c r="L10">
        <f>Baza!OV8</f>
        <v>5.5929651079999999E-4</v>
      </c>
      <c r="M10">
        <f>Baza!OW8</f>
        <v>8.405794892E-4</v>
      </c>
      <c r="N10">
        <f>Baza!OX8</f>
        <v>5.3761195619999998E-5</v>
      </c>
      <c r="O10">
        <f>Baza!OY8</f>
        <v>1.5568520050000001</v>
      </c>
      <c r="P10">
        <f>Baza!OZ8</f>
        <v>0.7287579542</v>
      </c>
      <c r="Q10">
        <f>Baza!PA8</f>
        <v>0.46615392360000002</v>
      </c>
      <c r="R10">
        <f>Baza!PB8</f>
        <v>14.426978310000001</v>
      </c>
      <c r="S10">
        <f>Baza!PC8</f>
        <v>93.508358509999994</v>
      </c>
    </row>
    <row r="11" spans="1:19" x14ac:dyDescent="0.2">
      <c r="A11" s="1" t="s">
        <v>249</v>
      </c>
      <c r="B11">
        <f>Baza!OL9</f>
        <v>0.68990058659999998</v>
      </c>
      <c r="C11">
        <f>Baza!OM9</f>
        <v>0.39217912500000002</v>
      </c>
      <c r="D11">
        <f>Baza!ON9</f>
        <v>3.3898360200000002</v>
      </c>
      <c r="E11">
        <f>Baza!OO9</f>
        <v>3.432429</v>
      </c>
      <c r="F11">
        <f>Baza!OP9</f>
        <v>3.255566</v>
      </c>
      <c r="G11">
        <f>Baza!OQ9</f>
        <v>6.6879949999999999</v>
      </c>
      <c r="H11">
        <f>Baza!OR9</f>
        <v>0.55040561769999996</v>
      </c>
      <c r="I11" s="2">
        <f>Baza!OS9</f>
        <v>3.9408485039999999E-5</v>
      </c>
      <c r="J11">
        <f>Baza!OT9</f>
        <v>9.5398419760000001E-4</v>
      </c>
      <c r="K11" s="2">
        <f>Baza!OU9</f>
        <v>3.9408485039999999E-5</v>
      </c>
      <c r="L11">
        <f>Baza!OV9</f>
        <v>5.9887536510000005E-4</v>
      </c>
      <c r="M11">
        <f>Baza!OW9</f>
        <v>8.9339763489999996E-4</v>
      </c>
      <c r="N11">
        <f>Baza!OX9</f>
        <v>6.0586562710000001E-5</v>
      </c>
      <c r="O11">
        <f>Baza!OY9</f>
        <v>1.692340111</v>
      </c>
      <c r="P11">
        <f>Baza!OZ9</f>
        <v>0.81940081890000005</v>
      </c>
      <c r="Q11">
        <f>Baza!PA9</f>
        <v>0.56778786179999996</v>
      </c>
      <c r="R11">
        <f>Baza!PB9</f>
        <v>13.59493968</v>
      </c>
      <c r="S11">
        <f>Baza!PC9</f>
        <v>93.461100439999996</v>
      </c>
    </row>
    <row r="12" spans="1:19" x14ac:dyDescent="0.2">
      <c r="A12" s="1" t="s">
        <v>250</v>
      </c>
      <c r="B12">
        <f>Baza!OL10</f>
        <v>0.65550609049999997</v>
      </c>
      <c r="C12">
        <f>Baza!OM10</f>
        <v>-2.8960371240000001E-2</v>
      </c>
      <c r="D12">
        <f>Baza!ON10</f>
        <v>3.160607905</v>
      </c>
      <c r="E12">
        <f>Baza!OO10</f>
        <v>3.3693749999999998</v>
      </c>
      <c r="F12">
        <f>Baza!OP10</f>
        <v>3.1064539999999998</v>
      </c>
      <c r="G12">
        <f>Baza!OQ10</f>
        <v>6.4758290000000001</v>
      </c>
      <c r="H12">
        <f>Baza!OR10</f>
        <v>0.52440870260000005</v>
      </c>
      <c r="I12" s="2">
        <f>Baza!OS10</f>
        <v>2.9778741620000001E-5</v>
      </c>
      <c r="J12">
        <f>Baza!OT10</f>
        <v>8.7575504050000003E-4</v>
      </c>
      <c r="K12" s="2">
        <f>Baza!OU10</f>
        <v>2.9778741620000001E-5</v>
      </c>
      <c r="L12">
        <f>Baza!OV10</f>
        <v>5.7808454280000002E-4</v>
      </c>
      <c r="M12">
        <f>Baza!OW10</f>
        <v>8.035734572E-4</v>
      </c>
      <c r="N12">
        <f>Baza!OX10</f>
        <v>7.2181583299999995E-5</v>
      </c>
      <c r="O12">
        <f>Baza!OY10</f>
        <v>1.71361177</v>
      </c>
      <c r="P12">
        <f>Baza!OZ10</f>
        <v>0.59827268950000001</v>
      </c>
      <c r="Q12">
        <f>Baza!PA10</f>
        <v>0.73254119969999998</v>
      </c>
      <c r="R12">
        <f>Baza!PB10</f>
        <v>10.20013638</v>
      </c>
      <c r="S12">
        <f>Baza!PC10</f>
        <v>92.303584770000001</v>
      </c>
    </row>
    <row r="13" spans="1:19" x14ac:dyDescent="0.2">
      <c r="A13" s="1" t="s">
        <v>251</v>
      </c>
      <c r="B13">
        <f>Baza!OL11</f>
        <v>0.55606382249999997</v>
      </c>
      <c r="C13">
        <f>Baza!OM11</f>
        <v>0.57491878289999998</v>
      </c>
      <c r="D13">
        <f>Baza!ON11</f>
        <v>3.08398146</v>
      </c>
      <c r="E13">
        <f>Baza!OO11</f>
        <v>2.9706000000000001</v>
      </c>
      <c r="F13">
        <f>Baza!OP11</f>
        <v>1.92526</v>
      </c>
      <c r="G13">
        <f>Baza!OQ11</f>
        <v>4.8958599999999999</v>
      </c>
      <c r="H13">
        <f>Baza!OR11</f>
        <v>0.451178937</v>
      </c>
      <c r="I13" s="2">
        <f>Baza!OS11</f>
        <v>2.915563529E-5</v>
      </c>
      <c r="J13">
        <f>Baza!OT11</f>
        <v>8.1887087199999996E-4</v>
      </c>
      <c r="K13" s="2">
        <f>Baza!OU11</f>
        <v>2.915563529E-5</v>
      </c>
      <c r="L13">
        <f>Baza!OV11</f>
        <v>4.9294835980000001E-4</v>
      </c>
      <c r="M13">
        <f>Baza!OW11</f>
        <v>7.7796164019999997E-4</v>
      </c>
      <c r="N13">
        <f>Baza!OX11</f>
        <v>4.0909231789999999E-5</v>
      </c>
      <c r="O13">
        <f>Baza!OY11</f>
        <v>1.314100249</v>
      </c>
      <c r="P13">
        <f>Baza!OZ11</f>
        <v>0.69336119490000003</v>
      </c>
      <c r="Q13">
        <f>Baza!PA11</f>
        <v>0.29146705080000002</v>
      </c>
      <c r="R13">
        <f>Baza!PB11</f>
        <v>16.860762359999999</v>
      </c>
      <c r="S13">
        <f>Baza!PC11</f>
        <v>93.994099399999996</v>
      </c>
    </row>
    <row r="14" spans="1:19" x14ac:dyDescent="0.2">
      <c r="A14" s="1" t="s">
        <v>252</v>
      </c>
      <c r="B14">
        <f>Baza!OL12</f>
        <v>0.57803700349999998</v>
      </c>
      <c r="C14">
        <f>Baza!OM12</f>
        <v>0.64176208310000005</v>
      </c>
      <c r="D14">
        <f>Baza!ON12</f>
        <v>3.2959509840000001</v>
      </c>
      <c r="E14">
        <f>Baza!OO12</f>
        <v>3.368611</v>
      </c>
      <c r="F14">
        <f>Baza!OP12</f>
        <v>2.0112420000000002</v>
      </c>
      <c r="G14">
        <f>Baza!OQ12</f>
        <v>5.3798529999999998</v>
      </c>
      <c r="H14">
        <f>Baza!OR12</f>
        <v>0.46710819440000001</v>
      </c>
      <c r="I14" s="2">
        <f>Baza!OS12</f>
        <v>3.2319455129999999E-5</v>
      </c>
      <c r="J14">
        <f>Baza!OT12</f>
        <v>8.4155359440000002E-4</v>
      </c>
      <c r="K14" s="2">
        <f>Baza!OU12</f>
        <v>3.2319455129999999E-5</v>
      </c>
      <c r="L14">
        <f>Baza!OV12</f>
        <v>5.1169883429999995E-4</v>
      </c>
      <c r="M14">
        <f>Baza!OW12</f>
        <v>8.0061116569999995E-4</v>
      </c>
      <c r="N14">
        <f>Baza!OX12</f>
        <v>4.0942428700000001E-5</v>
      </c>
      <c r="O14">
        <f>Baza!OY12</f>
        <v>1.382378919</v>
      </c>
      <c r="P14">
        <f>Baza!OZ12</f>
        <v>0.72972086300000005</v>
      </c>
      <c r="Q14">
        <f>Baza!PA12</f>
        <v>0.27289071380000002</v>
      </c>
      <c r="R14">
        <f>Baza!PB12</f>
        <v>16.246705120000001</v>
      </c>
      <c r="S14">
        <f>Baza!PC12</f>
        <v>94.354371889999996</v>
      </c>
    </row>
    <row r="15" spans="1:19" x14ac:dyDescent="0.2">
      <c r="A15" s="1" t="s">
        <v>253</v>
      </c>
      <c r="B15">
        <f>Baza!OL13</f>
        <v>0.58437466640000002</v>
      </c>
      <c r="C15">
        <f>Baza!OM13</f>
        <v>0.12690747860000001</v>
      </c>
      <c r="D15">
        <f>Baza!ON13</f>
        <v>2.6381494729999999</v>
      </c>
      <c r="E15">
        <f>Baza!OO13</f>
        <v>3.152228</v>
      </c>
      <c r="F15">
        <f>Baza!OP13</f>
        <v>2.255315</v>
      </c>
      <c r="G15">
        <f>Baza!OQ13</f>
        <v>5.4075430000000004</v>
      </c>
      <c r="H15">
        <f>Baza!OR13</f>
        <v>0.48599880670000001</v>
      </c>
      <c r="I15" s="2">
        <f>Baza!OS13</f>
        <v>2.3324946439999999E-5</v>
      </c>
      <c r="J15">
        <f>Baza!OT13</f>
        <v>8.0073006150000001E-4</v>
      </c>
      <c r="K15" s="2">
        <f>Baza!OU13</f>
        <v>2.3324946439999999E-5</v>
      </c>
      <c r="L15">
        <f>Baza!OV13</f>
        <v>5.5431400299999997E-4</v>
      </c>
      <c r="M15">
        <f>Baza!OW13</f>
        <v>7.4914099699999995E-4</v>
      </c>
      <c r="N15">
        <f>Baza!OX13</f>
        <v>5.1589064479999997E-5</v>
      </c>
      <c r="O15">
        <f>Baza!OY13</f>
        <v>1.6654396680000001</v>
      </c>
      <c r="P15">
        <f>Baza!OZ13</f>
        <v>0.45847023440000001</v>
      </c>
      <c r="Q15">
        <f>Baza!PA13</f>
        <v>0.44614876850000001</v>
      </c>
      <c r="R15">
        <f>Baza!PB13</f>
        <v>9.2682156280000001</v>
      </c>
      <c r="S15">
        <f>Baza!PC13</f>
        <v>94.538143099999999</v>
      </c>
    </row>
    <row r="16" spans="1:19" x14ac:dyDescent="0.2">
      <c r="A16" s="1" t="s">
        <v>254</v>
      </c>
      <c r="B16">
        <f>Baza!OL14</f>
        <v>0.54391535229999999</v>
      </c>
      <c r="C16">
        <f>Baza!OM14</f>
        <v>0.50080492830000001</v>
      </c>
      <c r="D16">
        <f>Baza!ON14</f>
        <v>2.7489548539999999</v>
      </c>
      <c r="E16">
        <f>Baza!OO14</f>
        <v>3.3475389999999998</v>
      </c>
      <c r="F16">
        <f>Baza!OP14</f>
        <v>1.9878400000000001</v>
      </c>
      <c r="G16">
        <f>Baza!OQ14</f>
        <v>5.3353789999999996</v>
      </c>
      <c r="H16">
        <f>Baza!OR14</f>
        <v>0.45554698160000001</v>
      </c>
      <c r="I16" s="2">
        <f>Baza!OS14</f>
        <v>2.421845086E-5</v>
      </c>
      <c r="J16">
        <f>Baza!OT14</f>
        <v>8.0407731780000001E-4</v>
      </c>
      <c r="K16" s="2">
        <f>Baza!OU14</f>
        <v>2.421845086E-5</v>
      </c>
      <c r="L16">
        <f>Baza!OV14</f>
        <v>4.9484188980000005E-4</v>
      </c>
      <c r="M16">
        <f>Baza!OW14</f>
        <v>7.6914411019999998E-4</v>
      </c>
      <c r="N16">
        <f>Baza!OX14</f>
        <v>3.4933207609999998E-5</v>
      </c>
      <c r="O16">
        <f>Baza!OY14</f>
        <v>1.19778355</v>
      </c>
      <c r="P16">
        <f>Baza!OZ14</f>
        <v>0.66582769330000002</v>
      </c>
      <c r="Q16">
        <f>Baza!PA14</f>
        <v>0.29939238140000002</v>
      </c>
      <c r="R16">
        <f>Baza!PB14</f>
        <v>21.683655649999999</v>
      </c>
      <c r="S16">
        <f>Baza!PC14</f>
        <v>94.986156050000005</v>
      </c>
    </row>
    <row r="17" spans="1:19" x14ac:dyDescent="0.2">
      <c r="A17" s="1" t="s">
        <v>255</v>
      </c>
      <c r="B17">
        <f>Baza!OL15</f>
        <v>0.57986458460000001</v>
      </c>
      <c r="C17">
        <f>Baza!OM15</f>
        <v>0.45074767199999999</v>
      </c>
      <c r="D17">
        <f>Baza!ON15</f>
        <v>2.8285452979999999</v>
      </c>
      <c r="E17">
        <f>Baza!OO15</f>
        <v>3.1379299999999999</v>
      </c>
      <c r="F17">
        <f>Baza!OP15</f>
        <v>2.1168900000000002</v>
      </c>
      <c r="G17">
        <f>Baza!OQ15</f>
        <v>5.2548199999999996</v>
      </c>
      <c r="H17">
        <f>Baza!OR15</f>
        <v>0.4768518149</v>
      </c>
      <c r="I17" s="2">
        <f>Baza!OS15</f>
        <v>2.7834847569999999E-5</v>
      </c>
      <c r="J17">
        <f>Baza!OT15</f>
        <v>8.4116194409999999E-4</v>
      </c>
      <c r="K17" s="2">
        <f>Baza!OU15</f>
        <v>2.7834847569999999E-5</v>
      </c>
      <c r="L17">
        <f>Baza!OV15</f>
        <v>5.2725371339999998E-4</v>
      </c>
      <c r="M17">
        <f>Baza!OW15</f>
        <v>7.9748728659999996E-4</v>
      </c>
      <c r="N17">
        <f>Baza!OX15</f>
        <v>4.3674657539999997E-5</v>
      </c>
      <c r="O17">
        <f>Baza!OY15</f>
        <v>1.435799845</v>
      </c>
      <c r="P17">
        <f>Baza!OZ15</f>
        <v>0.64515228550000003</v>
      </c>
      <c r="Q17">
        <f>Baza!PA15</f>
        <v>0.32133506750000002</v>
      </c>
      <c r="R17">
        <f>Baza!PB15</f>
        <v>15.761080570000001</v>
      </c>
      <c r="S17">
        <f>Baza!PC15</f>
        <v>94.346704919999993</v>
      </c>
    </row>
    <row r="18" spans="1:19" x14ac:dyDescent="0.2">
      <c r="A18" s="1" t="s">
        <v>256</v>
      </c>
      <c r="B18">
        <f>Baza!OL16</f>
        <v>0.54944206770000004</v>
      </c>
      <c r="C18">
        <f>Baza!OM16</f>
        <v>0.49287384239999998</v>
      </c>
      <c r="D18">
        <f>Baza!ON16</f>
        <v>2.7856225760000002</v>
      </c>
      <c r="E18">
        <f>Baza!OO16</f>
        <v>3.1568659999999999</v>
      </c>
      <c r="F18">
        <f>Baza!OP16</f>
        <v>1.9831460000000001</v>
      </c>
      <c r="G18">
        <f>Baza!OQ16</f>
        <v>5.1400119999999996</v>
      </c>
      <c r="H18">
        <f>Baza!OR16</f>
        <v>0.45748957169999999</v>
      </c>
      <c r="I18" s="2">
        <f>Baza!OS16</f>
        <v>2.5005513559999999E-5</v>
      </c>
      <c r="J18">
        <f>Baza!OT16</f>
        <v>8.1151222930000001E-4</v>
      </c>
      <c r="K18" s="2">
        <f>Baza!OU16</f>
        <v>2.5005513559999999E-5</v>
      </c>
      <c r="L18">
        <f>Baza!OV16</f>
        <v>4.9657082839999996E-4</v>
      </c>
      <c r="M18">
        <f>Baza!OW16</f>
        <v>7.7388717159999996E-4</v>
      </c>
      <c r="N18">
        <f>Baza!OX16</f>
        <v>3.7625057639999998E-5</v>
      </c>
      <c r="O18">
        <f>Baza!OY16</f>
        <v>1.238018676</v>
      </c>
      <c r="P18">
        <f>Baza!OZ16</f>
        <v>0.6654731398</v>
      </c>
      <c r="Q18">
        <f>Baza!PA16</f>
        <v>0.31191109049999999</v>
      </c>
      <c r="R18">
        <f>Baza!PB16</f>
        <v>20.181330429999999</v>
      </c>
      <c r="S18">
        <f>Baza!PC16</f>
        <v>94.599798809999996</v>
      </c>
    </row>
    <row r="19" spans="1:19" x14ac:dyDescent="0.2">
      <c r="A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9"/>
  <sheetViews>
    <sheetView workbookViewId="0">
      <selection activeCell="A19" sqref="A19:XFD19"/>
    </sheetView>
  </sheetViews>
  <sheetFormatPr baseColWidth="10" defaultColWidth="8.83203125" defaultRowHeight="15" x14ac:dyDescent="0.2"/>
  <cols>
    <col min="2" max="2" width="12" bestFit="1" customWidth="1"/>
    <col min="3" max="3" width="12.6640625" bestFit="1" customWidth="1"/>
    <col min="4" max="4" width="12" bestFit="1" customWidth="1"/>
    <col min="5" max="7" width="10" bestFit="1" customWidth="1"/>
    <col min="8" max="10" width="12" bestFit="1" customWidth="1"/>
    <col min="11" max="11" width="12.5" bestFit="1" customWidth="1"/>
    <col min="12" max="12" width="19.83203125" bestFit="1" customWidth="1"/>
    <col min="13" max="13" width="19.33203125" bestFit="1" customWidth="1"/>
    <col min="14" max="19" width="12" bestFit="1" customWidth="1"/>
  </cols>
  <sheetData>
    <row r="1" spans="1:19" x14ac:dyDescent="0.2">
      <c r="B1" t="str">
        <f>B4</f>
        <v>Sq</v>
      </c>
      <c r="C1" t="str">
        <f t="shared" ref="C1:S1" si="0">C4</f>
        <v>Ssk</v>
      </c>
      <c r="D1" t="str">
        <f t="shared" si="0"/>
        <v>Sku</v>
      </c>
      <c r="E1" t="str">
        <f t="shared" si="0"/>
        <v>Sp</v>
      </c>
      <c r="F1" t="str">
        <f t="shared" si="0"/>
        <v>Sv</v>
      </c>
      <c r="G1" t="str">
        <f t="shared" si="0"/>
        <v>Sz</v>
      </c>
      <c r="H1" t="str">
        <f t="shared" si="0"/>
        <v>Sa</v>
      </c>
      <c r="I1" t="str">
        <f t="shared" si="0"/>
        <v>Vm (p = 10%)</v>
      </c>
      <c r="J1" t="str">
        <f t="shared" si="0"/>
        <v>Vv (p = 10%)</v>
      </c>
      <c r="K1" t="str">
        <f t="shared" si="0"/>
        <v>Vmp (p = 10%)</v>
      </c>
      <c r="L1" t="str">
        <f t="shared" si="0"/>
        <v>Vmc (p = 10%, q = 80%)</v>
      </c>
      <c r="M1" t="str">
        <f t="shared" si="0"/>
        <v>Vvc (p = 10%, q = 80%)</v>
      </c>
      <c r="N1" t="str">
        <f t="shared" si="0"/>
        <v>Vvv (p = 80%)</v>
      </c>
      <c r="O1" t="str">
        <f t="shared" si="0"/>
        <v>Sk</v>
      </c>
      <c r="P1" t="str">
        <f t="shared" si="0"/>
        <v>Spk</v>
      </c>
      <c r="Q1" t="str">
        <f t="shared" si="0"/>
        <v>Svk</v>
      </c>
      <c r="R1" t="str">
        <f t="shared" si="0"/>
        <v>Smrk1</v>
      </c>
      <c r="S1" t="str">
        <f t="shared" si="0"/>
        <v>Smrk2</v>
      </c>
    </row>
    <row r="3" spans="1:19" x14ac:dyDescent="0.2">
      <c r="B3">
        <f>Baza!PD1</f>
        <v>71</v>
      </c>
      <c r="C3">
        <f>Baza!PE1</f>
        <v>71</v>
      </c>
      <c r="D3">
        <f>Baza!PF1</f>
        <v>71</v>
      </c>
      <c r="E3">
        <f>Baza!PG1</f>
        <v>71</v>
      </c>
      <c r="F3">
        <f>Baza!PH1</f>
        <v>71</v>
      </c>
      <c r="G3">
        <f>Baza!PI1</f>
        <v>71</v>
      </c>
      <c r="H3">
        <f>Baza!PJ1</f>
        <v>71</v>
      </c>
      <c r="I3">
        <f>Baza!PK1</f>
        <v>71</v>
      </c>
      <c r="J3">
        <f>Baza!PL1</f>
        <v>71</v>
      </c>
      <c r="K3">
        <f>Baza!PM1</f>
        <v>71</v>
      </c>
      <c r="L3">
        <f>Baza!PN1</f>
        <v>71</v>
      </c>
      <c r="M3">
        <f>Baza!PO1</f>
        <v>71</v>
      </c>
      <c r="N3">
        <f>Baza!PP1</f>
        <v>71</v>
      </c>
      <c r="O3">
        <f>Baza!PQ1</f>
        <v>71</v>
      </c>
      <c r="P3">
        <f>Baza!PR1</f>
        <v>71</v>
      </c>
      <c r="Q3">
        <f>Baza!PS1</f>
        <v>71</v>
      </c>
      <c r="R3">
        <f>Baza!PT1</f>
        <v>71</v>
      </c>
      <c r="S3">
        <f>Baza!PU1</f>
        <v>71</v>
      </c>
    </row>
    <row r="4" spans="1:19" x14ac:dyDescent="0.2">
      <c r="B4" t="str">
        <f>Baza!PD2</f>
        <v>Sq</v>
      </c>
      <c r="C4" t="str">
        <f>Baza!PE2</f>
        <v>Ssk</v>
      </c>
      <c r="D4" t="str">
        <f>Baza!PF2</f>
        <v>Sku</v>
      </c>
      <c r="E4" t="str">
        <f>Baza!PG2</f>
        <v>Sp</v>
      </c>
      <c r="F4" t="str">
        <f>Baza!PH2</f>
        <v>Sv</v>
      </c>
      <c r="G4" t="str">
        <f>Baza!PI2</f>
        <v>Sz</v>
      </c>
      <c r="H4" t="str">
        <f>Baza!PJ2</f>
        <v>Sa</v>
      </c>
      <c r="I4" t="str">
        <f>Baza!PK2</f>
        <v>Vm (p = 10%)</v>
      </c>
      <c r="J4" t="str">
        <f>Baza!PL2</f>
        <v>Vv (p = 10%)</v>
      </c>
      <c r="K4" t="str">
        <f>Baza!PM2</f>
        <v>Vmp (p = 10%)</v>
      </c>
      <c r="L4" t="str">
        <f>Baza!PN2</f>
        <v>Vmc (p = 10%, q = 80%)</v>
      </c>
      <c r="M4" t="str">
        <f>Baza!PO2</f>
        <v>Vvc (p = 10%, q = 80%)</v>
      </c>
      <c r="N4" t="str">
        <f>Baza!PP2</f>
        <v>Vvv (p = 80%)</v>
      </c>
      <c r="O4" t="str">
        <f>Baza!PQ2</f>
        <v>Sk</v>
      </c>
      <c r="P4" t="str">
        <f>Baza!PR2</f>
        <v>Spk</v>
      </c>
      <c r="Q4" t="str">
        <f>Baza!PS2</f>
        <v>Svk</v>
      </c>
      <c r="R4" t="str">
        <f>Baza!PT2</f>
        <v>Smrk1</v>
      </c>
      <c r="S4" t="str">
        <f>Baza!PU2</f>
        <v>Smrk2</v>
      </c>
    </row>
    <row r="5" spans="1:19" x14ac:dyDescent="0.2">
      <c r="B5" t="str">
        <f>Baza!PD3</f>
        <v>µm</v>
      </c>
      <c r="C5" t="str">
        <f>Baza!PE3</f>
        <v>&lt;no unit&gt;</v>
      </c>
      <c r="D5" t="str">
        <f>Baza!PF3</f>
        <v>&lt;no unit&gt;</v>
      </c>
      <c r="E5" t="str">
        <f>Baza!PG3</f>
        <v>µm</v>
      </c>
      <c r="F5" t="str">
        <f>Baza!PH3</f>
        <v>µm</v>
      </c>
      <c r="G5" t="str">
        <f>Baza!PI3</f>
        <v>µm</v>
      </c>
      <c r="H5" t="str">
        <f>Baza!PJ3</f>
        <v>µm</v>
      </c>
      <c r="I5" t="str">
        <f>Baza!PK3</f>
        <v>mm³/mm²</v>
      </c>
      <c r="J5" t="str">
        <f>Baza!PL3</f>
        <v>mm³/mm²</v>
      </c>
      <c r="K5" t="str">
        <f>Baza!PM3</f>
        <v>mm³/mm²</v>
      </c>
      <c r="L5" t="str">
        <f>Baza!PN3</f>
        <v>mm³/mm²</v>
      </c>
      <c r="M5" t="str">
        <f>Baza!PO3</f>
        <v>mm³/mm²</v>
      </c>
      <c r="N5" t="str">
        <f>Baza!PP3</f>
        <v>mm³/mm²</v>
      </c>
      <c r="O5" t="str">
        <f>Baza!PQ3</f>
        <v>µm</v>
      </c>
      <c r="P5" t="str">
        <f>Baza!PR3</f>
        <v>µm</v>
      </c>
      <c r="Q5" t="str">
        <f>Baza!PS3</f>
        <v>µm</v>
      </c>
      <c r="R5" t="str">
        <f>Baza!PT3</f>
        <v>%</v>
      </c>
      <c r="S5" t="str">
        <f>Baza!PU3</f>
        <v>%</v>
      </c>
    </row>
    <row r="6" spans="1:19" x14ac:dyDescent="0.2">
      <c r="A6" s="1" t="s">
        <v>244</v>
      </c>
      <c r="B6">
        <f>Baza!PD4</f>
        <v>0.54077744539999995</v>
      </c>
      <c r="C6">
        <f>Baza!PE4</f>
        <v>0.43144600129999999</v>
      </c>
      <c r="D6">
        <f>Baza!PF4</f>
        <v>2.465636462</v>
      </c>
      <c r="E6">
        <f>Baza!PG4</f>
        <v>2.135157</v>
      </c>
      <c r="F6">
        <f>Baza!PH4</f>
        <v>1.7116629999999999</v>
      </c>
      <c r="G6">
        <f>Baza!PI4</f>
        <v>3.8468200000000001</v>
      </c>
      <c r="H6">
        <f>Baza!PJ4</f>
        <v>0.4507256852</v>
      </c>
      <c r="I6" s="2">
        <f>Baza!PK4</f>
        <v>2.4045881339999998E-5</v>
      </c>
      <c r="J6">
        <f>Baza!PL4</f>
        <v>7.992615813E-4</v>
      </c>
      <c r="K6" s="2">
        <f>Baza!PM4</f>
        <v>2.4045881339999998E-5</v>
      </c>
      <c r="L6">
        <f>Baza!PN4</f>
        <v>5.1015496759999998E-4</v>
      </c>
      <c r="M6">
        <f>Baza!PO4</f>
        <v>7.6354303239999999E-4</v>
      </c>
      <c r="N6">
        <f>Baza!PP4</f>
        <v>3.5718548949999999E-5</v>
      </c>
      <c r="O6">
        <f>Baza!PQ4</f>
        <v>1.396254629</v>
      </c>
      <c r="P6">
        <f>Baza!PR4</f>
        <v>0.57678478089999996</v>
      </c>
      <c r="Q6">
        <f>Baza!PS4</f>
        <v>0.21264806380000001</v>
      </c>
      <c r="R6">
        <f>Baza!PT4</f>
        <v>15.324807010000001</v>
      </c>
      <c r="S6">
        <f>Baza!PU4</f>
        <v>95.823091000000005</v>
      </c>
    </row>
    <row r="7" spans="1:19" x14ac:dyDescent="0.2">
      <c r="A7" s="1" t="s">
        <v>245</v>
      </c>
      <c r="B7">
        <f>Baza!PD5</f>
        <v>0.5919657988</v>
      </c>
      <c r="C7">
        <f>Baza!PE5</f>
        <v>0.45599573450000003</v>
      </c>
      <c r="D7">
        <f>Baza!PF5</f>
        <v>2.7382956030000001</v>
      </c>
      <c r="E7">
        <f>Baza!PG5</f>
        <v>2.465004</v>
      </c>
      <c r="F7">
        <f>Baza!PH5</f>
        <v>1.844875</v>
      </c>
      <c r="G7">
        <f>Baza!PI5</f>
        <v>4.3098789999999996</v>
      </c>
      <c r="H7">
        <f>Baza!PJ5</f>
        <v>0.4844240112</v>
      </c>
      <c r="I7" s="2">
        <f>Baza!PK5</f>
        <v>2.9840086010000001E-5</v>
      </c>
      <c r="J7">
        <f>Baza!PL5</f>
        <v>8.6002925660000004E-4</v>
      </c>
      <c r="K7" s="2">
        <f>Baza!PM5</f>
        <v>2.9840086010000001E-5</v>
      </c>
      <c r="L7">
        <f>Baza!PN5</f>
        <v>5.3729583760000002E-4</v>
      </c>
      <c r="M7">
        <f>Baza!PO5</f>
        <v>8.1560016240000001E-4</v>
      </c>
      <c r="N7">
        <f>Baza!PP5</f>
        <v>4.4429094179999998E-5</v>
      </c>
      <c r="O7">
        <f>Baza!PQ5</f>
        <v>1.4752503340000001</v>
      </c>
      <c r="P7">
        <f>Baza!PR5</f>
        <v>0.67418314779999999</v>
      </c>
      <c r="Q7">
        <f>Baza!PS5</f>
        <v>0.31958893440000002</v>
      </c>
      <c r="R7">
        <f>Baza!PT5</f>
        <v>15.36316995</v>
      </c>
      <c r="S7">
        <f>Baza!PU5</f>
        <v>94.384774789999994</v>
      </c>
    </row>
    <row r="8" spans="1:19" x14ac:dyDescent="0.2">
      <c r="A8" s="1" t="s">
        <v>246</v>
      </c>
      <c r="B8">
        <f>Baza!PD6</f>
        <v>0.64348878740000004</v>
      </c>
      <c r="C8">
        <f>Baza!PE6</f>
        <v>0.4596702963</v>
      </c>
      <c r="D8">
        <f>Baza!PF6</f>
        <v>2.8877294309999999</v>
      </c>
      <c r="E8">
        <f>Baza!PG6</f>
        <v>2.6494499999999999</v>
      </c>
      <c r="F8">
        <f>Baza!PH6</f>
        <v>2.1032440000000001</v>
      </c>
      <c r="G8">
        <f>Baza!PI6</f>
        <v>4.752694</v>
      </c>
      <c r="H8">
        <f>Baza!PJ6</f>
        <v>0.52314662270000001</v>
      </c>
      <c r="I8" s="2">
        <f>Baza!PK6</f>
        <v>3.481895984E-5</v>
      </c>
      <c r="J8">
        <f>Baza!PL6</f>
        <v>9.1641469889999999E-4</v>
      </c>
      <c r="K8" s="2">
        <f>Baza!PM6</f>
        <v>3.481895984E-5</v>
      </c>
      <c r="L8">
        <f>Baza!PN6</f>
        <v>5.7650799490000003E-4</v>
      </c>
      <c r="M8">
        <f>Baza!PO6</f>
        <v>8.6589300510000002E-4</v>
      </c>
      <c r="N8">
        <f>Baza!PP6</f>
        <v>5.0521693820000001E-5</v>
      </c>
      <c r="O8">
        <f>Baza!PQ6</f>
        <v>1.6026341200000001</v>
      </c>
      <c r="P8">
        <f>Baza!PR6</f>
        <v>0.74837790250000003</v>
      </c>
      <c r="Q8">
        <f>Baza!PS6</f>
        <v>0.38301100059999998</v>
      </c>
      <c r="R8">
        <f>Baza!PT6</f>
        <v>14.58807088</v>
      </c>
      <c r="S8">
        <f>Baza!PU6</f>
        <v>94.010669429999993</v>
      </c>
    </row>
    <row r="9" spans="1:19" x14ac:dyDescent="0.2">
      <c r="A9" s="1" t="s">
        <v>247</v>
      </c>
      <c r="B9">
        <f>Baza!PD7</f>
        <v>0.57307067570000003</v>
      </c>
      <c r="C9">
        <f>Baza!PE7</f>
        <v>0.38835866120000001</v>
      </c>
      <c r="D9">
        <f>Baza!PF7</f>
        <v>2.5697143919999998</v>
      </c>
      <c r="E9">
        <f>Baza!PG7</f>
        <v>2.3464900000000002</v>
      </c>
      <c r="F9">
        <f>Baza!PH7</f>
        <v>2.0695100000000002</v>
      </c>
      <c r="G9">
        <f>Baza!PI7</f>
        <v>4.4160000000000004</v>
      </c>
      <c r="H9">
        <f>Baza!PJ7</f>
        <v>0.4743464013</v>
      </c>
      <c r="I9" s="2">
        <f>Baza!PK7</f>
        <v>2.6259245099999999E-5</v>
      </c>
      <c r="J9">
        <f>Baza!PL7</f>
        <v>8.3312921770000001E-4</v>
      </c>
      <c r="K9" s="2">
        <f>Baza!PM7</f>
        <v>2.6259245099999999E-5</v>
      </c>
      <c r="L9">
        <f>Baza!PN7</f>
        <v>5.3354587550000004E-4</v>
      </c>
      <c r="M9">
        <f>Baza!PO7</f>
        <v>7.9101412449999998E-4</v>
      </c>
      <c r="N9">
        <f>Baza!PP7</f>
        <v>4.2115093280000002E-5</v>
      </c>
      <c r="O9">
        <f>Baza!PQ7</f>
        <v>1.492279344</v>
      </c>
      <c r="P9">
        <f>Baza!PR7</f>
        <v>0.59652238869999996</v>
      </c>
      <c r="Q9">
        <f>Baza!PS7</f>
        <v>0.29262089740000002</v>
      </c>
      <c r="R9">
        <f>Baza!PT7</f>
        <v>14.28082948</v>
      </c>
      <c r="S9">
        <f>Baza!PU7</f>
        <v>95.025312650000004</v>
      </c>
    </row>
    <row r="10" spans="1:19" x14ac:dyDescent="0.2">
      <c r="A10" s="1" t="s">
        <v>248</v>
      </c>
      <c r="B10">
        <f>Baza!PD8</f>
        <v>0.6194695214</v>
      </c>
      <c r="C10">
        <f>Baza!PE8</f>
        <v>0.387863923</v>
      </c>
      <c r="D10">
        <f>Baza!PF8</f>
        <v>2.7533822090000002</v>
      </c>
      <c r="E10">
        <f>Baza!PG8</f>
        <v>2.5076670000000001</v>
      </c>
      <c r="F10">
        <f>Baza!PH8</f>
        <v>2.01078</v>
      </c>
      <c r="G10">
        <f>Baza!PI8</f>
        <v>4.5184470000000001</v>
      </c>
      <c r="H10">
        <f>Baza!PJ8</f>
        <v>0.504355369</v>
      </c>
      <c r="I10" s="2">
        <f>Baza!PK8</f>
        <v>3.1148672450000001E-5</v>
      </c>
      <c r="J10">
        <f>Baza!PL8</f>
        <v>8.9094232500000004E-4</v>
      </c>
      <c r="K10" s="2">
        <f>Baza!PM8</f>
        <v>3.1148672450000001E-5</v>
      </c>
      <c r="L10">
        <f>Baza!PN8</f>
        <v>5.5919675359999998E-4</v>
      </c>
      <c r="M10">
        <f>Baza!PO8</f>
        <v>8.4003124639999999E-4</v>
      </c>
      <c r="N10">
        <f>Baza!PP8</f>
        <v>5.0911078559999998E-5</v>
      </c>
      <c r="O10">
        <f>Baza!PQ8</f>
        <v>1.557487713</v>
      </c>
      <c r="P10">
        <f>Baza!PR8</f>
        <v>0.68940601020000003</v>
      </c>
      <c r="Q10">
        <f>Baza!PS8</f>
        <v>0.38855096700000002</v>
      </c>
      <c r="R10">
        <f>Baza!PT8</f>
        <v>14.39444348</v>
      </c>
      <c r="S10">
        <f>Baza!PU8</f>
        <v>93.626056270000007</v>
      </c>
    </row>
    <row r="11" spans="1:19" x14ac:dyDescent="0.2">
      <c r="A11" s="1" t="s">
        <v>249</v>
      </c>
      <c r="B11">
        <f>Baza!PD9</f>
        <v>0.67289086060000003</v>
      </c>
      <c r="C11">
        <f>Baza!PE9</f>
        <v>0.39825705290000002</v>
      </c>
      <c r="D11">
        <f>Baza!PF9</f>
        <v>2.9154182770000001</v>
      </c>
      <c r="E11">
        <f>Baza!PG9</f>
        <v>2.7339859999999998</v>
      </c>
      <c r="F11">
        <f>Baza!PH9</f>
        <v>2.2828819999999999</v>
      </c>
      <c r="G11">
        <f>Baza!PI9</f>
        <v>5.0168679999999997</v>
      </c>
      <c r="H11">
        <f>Baza!PJ9</f>
        <v>0.54394150019999998</v>
      </c>
      <c r="I11" s="2">
        <f>Baza!PK9</f>
        <v>3.6555734260000002E-5</v>
      </c>
      <c r="J11">
        <f>Baza!PL9</f>
        <v>9.500666071E-4</v>
      </c>
      <c r="K11" s="2">
        <f>Baza!PM9</f>
        <v>3.6555734260000002E-5</v>
      </c>
      <c r="L11">
        <f>Baza!PN9</f>
        <v>5.9899497939999995E-4</v>
      </c>
      <c r="M11">
        <f>Baza!PO9</f>
        <v>8.9314902059999999E-4</v>
      </c>
      <c r="N11">
        <f>Baza!PP9</f>
        <v>5.6917586439999999E-5</v>
      </c>
      <c r="O11">
        <f>Baza!PQ9</f>
        <v>1.6914729900000001</v>
      </c>
      <c r="P11">
        <f>Baza!PR9</f>
        <v>0.77704623640000003</v>
      </c>
      <c r="Q11">
        <f>Baza!PS9</f>
        <v>0.46384604289999998</v>
      </c>
      <c r="R11">
        <f>Baza!PT9</f>
        <v>13.612876079999999</v>
      </c>
      <c r="S11">
        <f>Baza!PU9</f>
        <v>93.530600770000007</v>
      </c>
    </row>
    <row r="12" spans="1:19" x14ac:dyDescent="0.2">
      <c r="A12" s="1" t="s">
        <v>250</v>
      </c>
      <c r="B12">
        <f>Baza!PD10</f>
        <v>0.64669178000000005</v>
      </c>
      <c r="C12">
        <f>Baza!PE10</f>
        <v>-1.516755786E-2</v>
      </c>
      <c r="D12">
        <f>Baza!PF10</f>
        <v>2.9092495189999998</v>
      </c>
      <c r="E12">
        <f>Baza!PG10</f>
        <v>2.8404690000000001</v>
      </c>
      <c r="F12">
        <f>Baza!PH10</f>
        <v>2.6194069999999998</v>
      </c>
      <c r="G12">
        <f>Baza!PI10</f>
        <v>5.4598760000000004</v>
      </c>
      <c r="H12">
        <f>Baza!PJ10</f>
        <v>0.52110471039999995</v>
      </c>
      <c r="I12" s="2">
        <f>Baza!PK10</f>
        <v>2.825328893E-5</v>
      </c>
      <c r="J12">
        <f>Baza!PL10</f>
        <v>8.7405997739999997E-4</v>
      </c>
      <c r="K12" s="2">
        <f>Baza!PM10</f>
        <v>2.825328893E-5</v>
      </c>
      <c r="L12">
        <f>Baza!PN10</f>
        <v>5.7836447159999999E-4</v>
      </c>
      <c r="M12">
        <f>Baza!PO10</f>
        <v>8.0373352840000002E-4</v>
      </c>
      <c r="N12">
        <f>Baza!PP10</f>
        <v>7.0326448989999996E-5</v>
      </c>
      <c r="O12">
        <f>Baza!PQ10</f>
        <v>1.7135383449999999</v>
      </c>
      <c r="P12">
        <f>Baza!PR10</f>
        <v>0.56862547969999999</v>
      </c>
      <c r="Q12">
        <f>Baza!PS10</f>
        <v>0.68240752189999998</v>
      </c>
      <c r="R12">
        <f>Baza!PT10</f>
        <v>10.199816220000001</v>
      </c>
      <c r="S12">
        <f>Baza!PU10</f>
        <v>92.285806550000004</v>
      </c>
    </row>
    <row r="13" spans="1:19" x14ac:dyDescent="0.2">
      <c r="A13" s="1" t="s">
        <v>251</v>
      </c>
      <c r="B13">
        <f>Baza!PD11</f>
        <v>0.54837320759999997</v>
      </c>
      <c r="C13">
        <f>Baza!PE11</f>
        <v>0.50566996900000005</v>
      </c>
      <c r="D13">
        <f>Baza!PF11</f>
        <v>2.7196465939999999</v>
      </c>
      <c r="E13">
        <f>Baza!PG11</f>
        <v>2.2351399999999999</v>
      </c>
      <c r="F13">
        <f>Baza!PH11</f>
        <v>1.6286400000000001</v>
      </c>
      <c r="G13">
        <f>Baza!PI11</f>
        <v>3.8637800000000002</v>
      </c>
      <c r="H13">
        <f>Baza!PJ11</f>
        <v>0.4482861132</v>
      </c>
      <c r="I13" s="2">
        <f>Baza!PK11</f>
        <v>2.7100174160000001E-5</v>
      </c>
      <c r="J13">
        <f>Baza!PL11</f>
        <v>8.1825162059999997E-4</v>
      </c>
      <c r="K13" s="2">
        <f>Baza!PM11</f>
        <v>2.7100174160000001E-5</v>
      </c>
      <c r="L13">
        <f>Baza!PN11</f>
        <v>4.9316872360000001E-4</v>
      </c>
      <c r="M13">
        <f>Baza!PO11</f>
        <v>7.7813127640000005E-4</v>
      </c>
      <c r="N13">
        <f>Baza!PP11</f>
        <v>4.0120344149999997E-5</v>
      </c>
      <c r="O13">
        <f>Baza!PQ11</f>
        <v>1.3157831879999999</v>
      </c>
      <c r="P13">
        <f>Baza!PR11</f>
        <v>0.66865648950000001</v>
      </c>
      <c r="Q13">
        <f>Baza!PS11</f>
        <v>0.27331199020000002</v>
      </c>
      <c r="R13">
        <f>Baza!PT11</f>
        <v>16.817576290000002</v>
      </c>
      <c r="S13">
        <f>Baza!PU11</f>
        <v>94.134143480000006</v>
      </c>
    </row>
    <row r="14" spans="1:19" x14ac:dyDescent="0.2">
      <c r="A14" s="1" t="s">
        <v>252</v>
      </c>
      <c r="B14">
        <f>Baza!PD12</f>
        <v>0.56962012029999998</v>
      </c>
      <c r="C14">
        <f>Baza!PE12</f>
        <v>0.55654341669999996</v>
      </c>
      <c r="D14">
        <f>Baza!PF12</f>
        <v>2.8497787699999999</v>
      </c>
      <c r="E14">
        <f>Baza!PG12</f>
        <v>2.519317</v>
      </c>
      <c r="F14">
        <f>Baza!PH12</f>
        <v>1.8050040000000001</v>
      </c>
      <c r="G14">
        <f>Baza!PI12</f>
        <v>4.3243210000000003</v>
      </c>
      <c r="H14">
        <f>Baza!PJ12</f>
        <v>0.46410612140000002</v>
      </c>
      <c r="I14" s="2">
        <f>Baza!PK12</f>
        <v>3.0075331790000001E-5</v>
      </c>
      <c r="J14">
        <f>Baza!PL12</f>
        <v>8.4110458509999999E-4</v>
      </c>
      <c r="K14" s="2">
        <f>Baza!PM12</f>
        <v>3.0075331790000001E-5</v>
      </c>
      <c r="L14">
        <f>Baza!PN12</f>
        <v>5.1196823170000002E-4</v>
      </c>
      <c r="M14">
        <f>Baza!PO12</f>
        <v>8.0085676829999997E-4</v>
      </c>
      <c r="N14">
        <f>Baza!PP12</f>
        <v>4.0247816890000003E-5</v>
      </c>
      <c r="O14">
        <f>Baza!PQ12</f>
        <v>1.3833006379999999</v>
      </c>
      <c r="P14">
        <f>Baza!PR12</f>
        <v>0.70198632689999996</v>
      </c>
      <c r="Q14">
        <f>Baza!PS12</f>
        <v>0.25822360449999998</v>
      </c>
      <c r="R14">
        <f>Baza!PT12</f>
        <v>16.232993329999999</v>
      </c>
      <c r="S14">
        <f>Baza!PU12</f>
        <v>94.504018070000001</v>
      </c>
    </row>
    <row r="15" spans="1:19" x14ac:dyDescent="0.2">
      <c r="A15" s="1" t="s">
        <v>253</v>
      </c>
      <c r="B15">
        <f>Baza!PD13</f>
        <v>0.57145995309999997</v>
      </c>
      <c r="C15">
        <f>Baza!PE13</f>
        <v>8.2556682490000005E-2</v>
      </c>
      <c r="D15">
        <f>Baza!PF13</f>
        <v>2.3182669929999999</v>
      </c>
      <c r="E15">
        <f>Baza!PG13</f>
        <v>2.0774759999999999</v>
      </c>
      <c r="F15">
        <f>Baza!PH13</f>
        <v>1.8802509999999999</v>
      </c>
      <c r="G15">
        <f>Baza!PI13</f>
        <v>3.9577270000000002</v>
      </c>
      <c r="H15">
        <f>Baza!PJ13</f>
        <v>0.47978985680000003</v>
      </c>
      <c r="I15" s="2">
        <f>Baza!PK13</f>
        <v>2.057503407E-5</v>
      </c>
      <c r="J15">
        <f>Baza!PL13</f>
        <v>7.9524750299999995E-4</v>
      </c>
      <c r="K15" s="2">
        <f>Baza!PM13</f>
        <v>2.057503407E-5</v>
      </c>
      <c r="L15">
        <f>Baza!PN13</f>
        <v>5.528902111E-4</v>
      </c>
      <c r="M15">
        <f>Baza!PO13</f>
        <v>7.458257889E-4</v>
      </c>
      <c r="N15">
        <f>Baza!PP13</f>
        <v>4.9421714110000001E-5</v>
      </c>
      <c r="O15">
        <f>Baza!PQ13</f>
        <v>1.6510800290000001</v>
      </c>
      <c r="P15">
        <f>Baza!PR13</f>
        <v>0.40226626780000002</v>
      </c>
      <c r="Q15">
        <f>Baza!PS13</f>
        <v>0.39080349260000002</v>
      </c>
      <c r="R15">
        <f>Baza!PT13</f>
        <v>9.4543045929999998</v>
      </c>
      <c r="S15">
        <f>Baza!PU13</f>
        <v>94.633672419999996</v>
      </c>
    </row>
    <row r="16" spans="1:19" x14ac:dyDescent="0.2">
      <c r="A16" s="1" t="s">
        <v>254</v>
      </c>
      <c r="B16">
        <f>Baza!PD14</f>
        <v>0.53312849969999998</v>
      </c>
      <c r="C16">
        <f>Baza!PE14</f>
        <v>0.42480444020000002</v>
      </c>
      <c r="D16">
        <f>Baza!PF14</f>
        <v>2.3287824659999998</v>
      </c>
      <c r="E16">
        <f>Baza!PG14</f>
        <v>2.0303559999999998</v>
      </c>
      <c r="F16">
        <f>Baza!PH14</f>
        <v>1.623157</v>
      </c>
      <c r="G16">
        <f>Baza!PI14</f>
        <v>3.6535129999999998</v>
      </c>
      <c r="H16">
        <f>Baza!PJ14</f>
        <v>0.45067842209999998</v>
      </c>
      <c r="I16" s="2">
        <f>Baza!PK14</f>
        <v>2.1628350129999999E-5</v>
      </c>
      <c r="J16">
        <f>Baza!PL14</f>
        <v>7.9991418029999996E-4</v>
      </c>
      <c r="K16" s="2">
        <f>Baza!PM14</f>
        <v>2.1628350129999999E-5</v>
      </c>
      <c r="L16">
        <f>Baza!PN14</f>
        <v>4.9397165510000002E-4</v>
      </c>
      <c r="M16">
        <f>Baza!PO14</f>
        <v>7.6614934489999998E-4</v>
      </c>
      <c r="N16">
        <f>Baza!PP14</f>
        <v>3.3764835360000002E-5</v>
      </c>
      <c r="O16">
        <f>Baza!PQ14</f>
        <v>1.1917282520000001</v>
      </c>
      <c r="P16">
        <f>Baza!PR14</f>
        <v>0.64056527289999998</v>
      </c>
      <c r="Q16">
        <f>Baza!PS14</f>
        <v>0.2712233671</v>
      </c>
      <c r="R16">
        <f>Baza!PT14</f>
        <v>21.84195077</v>
      </c>
      <c r="S16">
        <f>Baza!PU14</f>
        <v>95.163313349999996</v>
      </c>
    </row>
    <row r="17" spans="1:19" x14ac:dyDescent="0.2">
      <c r="A17" s="1" t="s">
        <v>255</v>
      </c>
      <c r="B17">
        <f>Baza!PD15</f>
        <v>0.56991531689999997</v>
      </c>
      <c r="C17">
        <f>Baza!PE15</f>
        <v>0.3883064947</v>
      </c>
      <c r="D17">
        <f>Baza!PF15</f>
        <v>2.4860494850000001</v>
      </c>
      <c r="E17">
        <f>Baza!PG15</f>
        <v>2.215983</v>
      </c>
      <c r="F17">
        <f>Baza!PH15</f>
        <v>1.7268060000000001</v>
      </c>
      <c r="G17">
        <f>Baza!PI15</f>
        <v>3.9427889999999999</v>
      </c>
      <c r="H17">
        <f>Baza!PJ15</f>
        <v>0.4726217506</v>
      </c>
      <c r="I17" s="2">
        <f>Baza!PK15</f>
        <v>2.5258364150000001E-5</v>
      </c>
      <c r="J17">
        <f>Baza!PL15</f>
        <v>8.390547477E-4</v>
      </c>
      <c r="K17" s="2">
        <f>Baza!PM15</f>
        <v>2.5258364150000001E-5</v>
      </c>
      <c r="L17">
        <f>Baza!PN15</f>
        <v>5.2705538659999997E-4</v>
      </c>
      <c r="M17">
        <f>Baza!PO15</f>
        <v>7.9670061339999997E-4</v>
      </c>
      <c r="N17">
        <f>Baza!PP15</f>
        <v>4.235413427E-5</v>
      </c>
      <c r="O17">
        <f>Baza!PQ15</f>
        <v>1.4357941729999999</v>
      </c>
      <c r="P17">
        <f>Baza!PR15</f>
        <v>0.61164548529999996</v>
      </c>
      <c r="Q17">
        <f>Baza!PS15</f>
        <v>0.29195549100000001</v>
      </c>
      <c r="R17">
        <f>Baza!PT15</f>
        <v>15.7322849</v>
      </c>
      <c r="S17">
        <f>Baza!PU15</f>
        <v>94.550102069999994</v>
      </c>
    </row>
    <row r="18" spans="1:19" x14ac:dyDescent="0.2">
      <c r="A18" s="1" t="s">
        <v>256</v>
      </c>
      <c r="B18">
        <f>Baza!PD16</f>
        <v>0.53868534379999999</v>
      </c>
      <c r="C18">
        <f>Baza!PE16</f>
        <v>0.41987644140000002</v>
      </c>
      <c r="D18">
        <f>Baza!PF16</f>
        <v>2.3923658090000002</v>
      </c>
      <c r="E18">
        <f>Baza!PG16</f>
        <v>2.0565319999999998</v>
      </c>
      <c r="F18">
        <f>Baza!PH16</f>
        <v>1.692977</v>
      </c>
      <c r="G18">
        <f>Baza!PI16</f>
        <v>3.7495090000000002</v>
      </c>
      <c r="H18">
        <f>Baza!PJ16</f>
        <v>0.45257917399999997</v>
      </c>
      <c r="I18" s="2">
        <f>Baza!PK16</f>
        <v>2.2434990639999999E-5</v>
      </c>
      <c r="J18">
        <f>Baza!PL16</f>
        <v>8.0712367459999997E-4</v>
      </c>
      <c r="K18" s="2">
        <f>Baza!PM16</f>
        <v>2.2434990639999999E-5</v>
      </c>
      <c r="L18">
        <f>Baza!PN16</f>
        <v>4.9560296789999999E-4</v>
      </c>
      <c r="M18">
        <f>Baza!PO16</f>
        <v>7.7067203209999998E-4</v>
      </c>
      <c r="N18">
        <f>Baza!PP16</f>
        <v>3.645164256E-5</v>
      </c>
      <c r="O18">
        <f>Baza!PQ16</f>
        <v>1.23699962</v>
      </c>
      <c r="P18">
        <f>Baza!PR16</f>
        <v>0.63606208809999998</v>
      </c>
      <c r="Q18">
        <f>Baza!PS16</f>
        <v>0.2868644165</v>
      </c>
      <c r="R18">
        <f>Baza!PT16</f>
        <v>20.133112610000001</v>
      </c>
      <c r="S18">
        <f>Baza!PU16</f>
        <v>94.826619410000006</v>
      </c>
    </row>
    <row r="19" spans="1:19" x14ac:dyDescent="0.2">
      <c r="A1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"/>
  <sheetViews>
    <sheetView workbookViewId="0">
      <selection activeCell="B6" sqref="B6"/>
    </sheetView>
  </sheetViews>
  <sheetFormatPr baseColWidth="10" defaultColWidth="8.83203125" defaultRowHeight="15" x14ac:dyDescent="0.2"/>
  <cols>
    <col min="2" max="4" width="12" bestFit="1" customWidth="1"/>
    <col min="5" max="5" width="43.6640625" bestFit="1" customWidth="1"/>
    <col min="6" max="8" width="12" bestFit="1" customWidth="1"/>
    <col min="9" max="9" width="12.6640625" bestFit="1" customWidth="1"/>
    <col min="10" max="10" width="12" bestFit="1" customWidth="1"/>
    <col min="11" max="11" width="45.33203125" bestFit="1" customWidth="1"/>
    <col min="12" max="12" width="12" bestFit="1" customWidth="1"/>
    <col min="13" max="13" width="48.5" bestFit="1" customWidth="1"/>
    <col min="14" max="14" width="26.6640625" bestFit="1" customWidth="1"/>
    <col min="15" max="15" width="44.6640625" bestFit="1" customWidth="1"/>
  </cols>
  <sheetData>
    <row r="1" spans="1:15" x14ac:dyDescent="0.2">
      <c r="B1" t="str">
        <f>B4</f>
        <v>Pp[Średnia]</v>
      </c>
      <c r="C1" t="str">
        <f t="shared" ref="C1:O1" ca="1" si="0">C4</f>
        <v>Pv[Średnia]</v>
      </c>
      <c r="D1" t="str">
        <f t="shared" ca="1" si="0"/>
        <v>Pz[Średnia]</v>
      </c>
      <c r="E1" t="str">
        <f t="shared" ca="1" si="0"/>
        <v>Pc (Brak uśredniania (pojedyncza wartość))[Średnia]</v>
      </c>
      <c r="F1" t="str">
        <f t="shared" ca="1" si="0"/>
        <v>Pt[Średnia]</v>
      </c>
      <c r="G1" t="str">
        <f t="shared" ca="1" si="0"/>
        <v>Pa[Średnia]</v>
      </c>
      <c r="H1" t="str">
        <f t="shared" ca="1" si="0"/>
        <v>Pq[Średnia]</v>
      </c>
      <c r="I1" t="str">
        <f t="shared" ca="1" si="0"/>
        <v>Psk[Średnia]</v>
      </c>
      <c r="J1" t="str">
        <f t="shared" ca="1" si="0"/>
        <v>Pku[Średnia]</v>
      </c>
      <c r="K1" t="str">
        <f t="shared" ca="1" si="0"/>
        <v>PSm (Brak uśredniania (pojedyncza wartość))[Średnia]</v>
      </c>
      <c r="L1" t="str">
        <f t="shared" ca="1" si="0"/>
        <v>Pdq[Średnia]</v>
      </c>
      <c r="M1" t="str">
        <f t="shared" ca="1" si="0"/>
        <v>Pmr (c = 1 µm poniżej najwyższego wypiętrzenia)[Średnia]</v>
      </c>
      <c r="N1" t="str">
        <f t="shared" ca="1" si="0"/>
        <v>Pdc (p = 20%, q = 80%)[Średnia]</v>
      </c>
      <c r="O1" t="str">
        <f t="shared" ca="1" si="0"/>
        <v>PPc (Brak uśredniania (pojedyncza wartość))[Średnia]</v>
      </c>
    </row>
    <row r="2" spans="1:15" x14ac:dyDescent="0.2">
      <c r="C2">
        <v>4</v>
      </c>
      <c r="D2">
        <f>C2+4</f>
        <v>8</v>
      </c>
      <c r="E2">
        <f t="shared" ref="E2:O2" si="1">D2+4</f>
        <v>12</v>
      </c>
      <c r="F2">
        <f t="shared" si="1"/>
        <v>16</v>
      </c>
      <c r="G2">
        <f t="shared" si="1"/>
        <v>20</v>
      </c>
      <c r="H2">
        <f t="shared" si="1"/>
        <v>24</v>
      </c>
      <c r="I2">
        <f t="shared" si="1"/>
        <v>28</v>
      </c>
      <c r="J2">
        <f t="shared" si="1"/>
        <v>32</v>
      </c>
      <c r="K2">
        <f t="shared" si="1"/>
        <v>36</v>
      </c>
      <c r="L2">
        <f t="shared" si="1"/>
        <v>40</v>
      </c>
      <c r="M2">
        <f t="shared" si="1"/>
        <v>44</v>
      </c>
      <c r="N2">
        <f t="shared" si="1"/>
        <v>48</v>
      </c>
      <c r="O2">
        <f t="shared" si="1"/>
        <v>52</v>
      </c>
    </row>
    <row r="3" spans="1:15" x14ac:dyDescent="0.2">
      <c r="B3">
        <f>Baza!R1</f>
        <v>40</v>
      </c>
      <c r="C3">
        <f ca="1">OFFSET(Baza!$R1,0,C$2)</f>
        <v>40</v>
      </c>
      <c r="D3">
        <f ca="1">OFFSET(Baza!$R1,0,D$2)</f>
        <v>40</v>
      </c>
      <c r="E3">
        <f ca="1">OFFSET(Baza!$R1,0,E$2)</f>
        <v>40</v>
      </c>
      <c r="F3">
        <f ca="1">OFFSET(Baza!$R1,0,F$2)</f>
        <v>40</v>
      </c>
      <c r="G3">
        <f ca="1">OFFSET(Baza!$R1,0,G$2)</f>
        <v>40</v>
      </c>
      <c r="H3">
        <f ca="1">OFFSET(Baza!$R1,0,H$2)</f>
        <v>40</v>
      </c>
      <c r="I3">
        <f ca="1">OFFSET(Baza!$R1,0,I$2)</f>
        <v>40</v>
      </c>
      <c r="J3">
        <f ca="1">OFFSET(Baza!$R1,0,J$2)</f>
        <v>40</v>
      </c>
      <c r="K3">
        <f ca="1">OFFSET(Baza!$R1,0,K$2)</f>
        <v>40</v>
      </c>
      <c r="L3">
        <f ca="1">OFFSET(Baza!$R1,0,L$2)</f>
        <v>40</v>
      </c>
      <c r="M3">
        <f ca="1">OFFSET(Baza!$R1,0,M$2)</f>
        <v>40</v>
      </c>
      <c r="N3">
        <f ca="1">OFFSET(Baza!$R1,0,N$2)</f>
        <v>40</v>
      </c>
      <c r="O3">
        <f ca="1">OFFSET(Baza!$R1,0,O$2)</f>
        <v>40</v>
      </c>
    </row>
    <row r="4" spans="1:15" x14ac:dyDescent="0.2">
      <c r="B4" t="str">
        <f>Baza!R2</f>
        <v>Pp[Średnia]</v>
      </c>
      <c r="C4" t="str">
        <f ca="1">OFFSET(Baza!$R2,0,C$2)</f>
        <v>Pv[Średnia]</v>
      </c>
      <c r="D4" t="str">
        <f ca="1">OFFSET(Baza!$R2,0,D$2)</f>
        <v>Pz[Średnia]</v>
      </c>
      <c r="E4" t="str">
        <f ca="1">OFFSET(Baza!$R2,0,E$2)</f>
        <v>Pc (Brak uśredniania (pojedyncza wartość))[Średnia]</v>
      </c>
      <c r="F4" t="str">
        <f ca="1">OFFSET(Baza!$R2,0,F$2)</f>
        <v>Pt[Średnia]</v>
      </c>
      <c r="G4" t="str">
        <f ca="1">OFFSET(Baza!$R2,0,G$2)</f>
        <v>Pa[Średnia]</v>
      </c>
      <c r="H4" t="str">
        <f ca="1">OFFSET(Baza!$R2,0,H$2)</f>
        <v>Pq[Średnia]</v>
      </c>
      <c r="I4" t="str">
        <f ca="1">OFFSET(Baza!$R2,0,I$2)</f>
        <v>Psk[Średnia]</v>
      </c>
      <c r="J4" t="str">
        <f ca="1">OFFSET(Baza!$R2,0,J$2)</f>
        <v>Pku[Średnia]</v>
      </c>
      <c r="K4" t="str">
        <f ca="1">OFFSET(Baza!$R2,0,K$2)</f>
        <v>PSm (Brak uśredniania (pojedyncza wartość))[Średnia]</v>
      </c>
      <c r="L4" t="str">
        <f ca="1">OFFSET(Baza!$R2,0,L$2)</f>
        <v>Pdq[Średnia]</v>
      </c>
      <c r="M4" t="str">
        <f ca="1">OFFSET(Baza!$R2,0,M$2)</f>
        <v>Pmr (c = 1 µm poniżej najwyższego wypiętrzenia)[Średnia]</v>
      </c>
      <c r="N4" t="str">
        <f ca="1">OFFSET(Baza!$R2,0,N$2)</f>
        <v>Pdc (p = 20%, q = 80%)[Średnia]</v>
      </c>
      <c r="O4" t="str">
        <f ca="1">OFFSET(Baza!$R2,0,O$2)</f>
        <v>PPc (Brak uśredniania (pojedyncza wartość))[Średnia]</v>
      </c>
    </row>
    <row r="5" spans="1:15" x14ac:dyDescent="0.2">
      <c r="B5" t="str">
        <f>Baza!R3</f>
        <v>µm</v>
      </c>
      <c r="C5" t="str">
        <f ca="1">OFFSET(Baza!$R3,0,C$2)</f>
        <v>µm</v>
      </c>
      <c r="D5" t="str">
        <f ca="1">OFFSET(Baza!$R3,0,D$2)</f>
        <v>µm</v>
      </c>
      <c r="E5" t="str">
        <f ca="1">OFFSET(Baza!$R3,0,E$2)</f>
        <v>µm</v>
      </c>
      <c r="F5" t="str">
        <f ca="1">OFFSET(Baza!$R3,0,F$2)</f>
        <v>µm</v>
      </c>
      <c r="G5" t="str">
        <f ca="1">OFFSET(Baza!$R3,0,G$2)</f>
        <v>µm</v>
      </c>
      <c r="H5" t="str">
        <f ca="1">OFFSET(Baza!$R3,0,H$2)</f>
        <v>µm</v>
      </c>
      <c r="I5" t="str">
        <f ca="1">OFFSET(Baza!$R3,0,I$2)</f>
        <v>&lt;no unit&gt;</v>
      </c>
      <c r="J5" t="str">
        <f ca="1">OFFSET(Baza!$R3,0,J$2)</f>
        <v>&lt;no unit&gt;</v>
      </c>
      <c r="K5" t="str">
        <f ca="1">OFFSET(Baza!$R3,0,K$2)</f>
        <v>mm</v>
      </c>
      <c r="L5" t="str">
        <f ca="1">OFFSET(Baza!$R3,0,L$2)</f>
        <v>°</v>
      </c>
      <c r="M5" t="str">
        <f ca="1">OFFSET(Baza!$R3,0,M$2)</f>
        <v>%</v>
      </c>
      <c r="N5" t="str">
        <f ca="1">OFFSET(Baza!$R3,0,N$2)</f>
        <v>µm</v>
      </c>
      <c r="O5" t="str">
        <f ca="1">OFFSET(Baza!$R3,0,O$2)</f>
        <v>1/cm</v>
      </c>
    </row>
    <row r="6" spans="1:15" x14ac:dyDescent="0.2">
      <c r="A6" s="1" t="s">
        <v>244</v>
      </c>
      <c r="B6">
        <f>Baza!R4</f>
        <v>1.8255053990000001</v>
      </c>
      <c r="C6">
        <f ca="1">OFFSET(Baza!$R4,0,C$2)</f>
        <v>1.301209759</v>
      </c>
      <c r="D6">
        <f ca="1">OFFSET(Baza!$R4,0,D$2)</f>
        <v>3.1267151580000001</v>
      </c>
      <c r="E6">
        <f ca="1">OFFSET(Baza!$R4,0,E$2)</f>
        <v>0.94997552240000005</v>
      </c>
      <c r="F6">
        <f ca="1">OFFSET(Baza!$R4,0,F$2)</f>
        <v>3.1267151580000001</v>
      </c>
      <c r="G6">
        <f ca="1">OFFSET(Baza!$R4,0,G$2)</f>
        <v>0.45424238680000001</v>
      </c>
      <c r="H6">
        <f ca="1">OFFSET(Baza!$R4,0,H$2)</f>
        <v>0.55520664679999998</v>
      </c>
      <c r="I6">
        <f ca="1">OFFSET(Baza!$R4,0,I$2)</f>
        <v>0.40062361140000002</v>
      </c>
      <c r="J6">
        <f ca="1">OFFSET(Baza!$R4,0,J$2)</f>
        <v>2.9033245600000002</v>
      </c>
      <c r="K6">
        <f ca="1">OFFSET(Baza!$R4,0,K$2)</f>
        <v>0.33563813510000001</v>
      </c>
      <c r="L6">
        <f ca="1">OFFSET(Baza!$R4,0,L$2)</f>
        <v>1.7215827960000001</v>
      </c>
      <c r="M6">
        <f ca="1">OFFSET(Baza!$R4,0,M$2)</f>
        <v>13.488965500000001</v>
      </c>
      <c r="N6">
        <f ca="1">OFFSET(Baza!$R4,0,N$2)</f>
        <v>0.98365428249999998</v>
      </c>
      <c r="O6">
        <f ca="1">OFFSET(Baza!$R4,0,O$2)</f>
        <v>34.939335120000003</v>
      </c>
    </row>
    <row r="7" spans="1:15" x14ac:dyDescent="0.2">
      <c r="A7" s="1" t="s">
        <v>245</v>
      </c>
      <c r="B7">
        <f>Baza!R5</f>
        <v>1.939748348</v>
      </c>
      <c r="C7">
        <f ca="1">OFFSET(Baza!$R5,0,C$2)</f>
        <v>1.5708174210000001</v>
      </c>
      <c r="D7">
        <f ca="1">OFFSET(Baza!$R5,0,D$2)</f>
        <v>3.5105657680000002</v>
      </c>
      <c r="E7">
        <f ca="1">OFFSET(Baza!$R5,0,E$2)</f>
        <v>1.14062536</v>
      </c>
      <c r="F7">
        <f ca="1">OFFSET(Baza!$R5,0,F$2)</f>
        <v>3.5105657680000002</v>
      </c>
      <c r="G7">
        <f ca="1">OFFSET(Baza!$R5,0,G$2)</f>
        <v>0.4879173108</v>
      </c>
      <c r="H7">
        <f ca="1">OFFSET(Baza!$R5,0,H$2)</f>
        <v>0.60268705219999996</v>
      </c>
      <c r="I7">
        <f ca="1">OFFSET(Baza!$R5,0,I$2)</f>
        <v>0.39349349579999998</v>
      </c>
      <c r="J7">
        <f ca="1">OFFSET(Baza!$R5,0,J$2)</f>
        <v>3.011213819</v>
      </c>
      <c r="K7">
        <f ca="1">OFFSET(Baza!$R5,0,K$2)</f>
        <v>0.36275004119999998</v>
      </c>
      <c r="L7">
        <f ca="1">OFFSET(Baza!$R5,0,L$2)</f>
        <v>1.6328898199999999</v>
      </c>
      <c r="M7">
        <f ca="1">OFFSET(Baza!$R5,0,M$2)</f>
        <v>11.39608153</v>
      </c>
      <c r="N7">
        <f ca="1">OFFSET(Baza!$R5,0,N$2)</f>
        <v>1.0406121779999999</v>
      </c>
      <c r="O7">
        <f ca="1">OFFSET(Baza!$R5,0,O$2)</f>
        <v>31.33942656</v>
      </c>
    </row>
    <row r="8" spans="1:15" x14ac:dyDescent="0.2">
      <c r="A8" s="1" t="s">
        <v>246</v>
      </c>
      <c r="B8">
        <f>Baza!R6</f>
        <v>2.0865519529999998</v>
      </c>
      <c r="C8">
        <f ca="1">OFFSET(Baza!$R6,0,C$2)</f>
        <v>1.745071483</v>
      </c>
      <c r="D8">
        <f ca="1">OFFSET(Baza!$R6,0,D$2)</f>
        <v>3.8316234370000002</v>
      </c>
      <c r="E8">
        <f ca="1">OFFSET(Baza!$R6,0,E$2)</f>
        <v>1.286600993</v>
      </c>
      <c r="F8">
        <f ca="1">OFFSET(Baza!$R6,0,F$2)</f>
        <v>3.8316234370000002</v>
      </c>
      <c r="G8">
        <f ca="1">OFFSET(Baza!$R6,0,G$2)</f>
        <v>0.52743217760000005</v>
      </c>
      <c r="H8">
        <f ca="1">OFFSET(Baza!$R6,0,H$2)</f>
        <v>0.65251705019999995</v>
      </c>
      <c r="I8">
        <f ca="1">OFFSET(Baza!$R6,0,I$2)</f>
        <v>0.39056209450000001</v>
      </c>
      <c r="J8">
        <f ca="1">OFFSET(Baza!$R6,0,J$2)</f>
        <v>3.0342874809999998</v>
      </c>
      <c r="K8">
        <f ca="1">OFFSET(Baza!$R6,0,K$2)</f>
        <v>0.38219508839999999</v>
      </c>
      <c r="L8">
        <f ca="1">OFFSET(Baza!$R6,0,L$2)</f>
        <v>1.731402983</v>
      </c>
      <c r="M8">
        <f ca="1">OFFSET(Baza!$R6,0,M$2)</f>
        <v>9.8899107639999997</v>
      </c>
      <c r="N8">
        <f ca="1">OFFSET(Baza!$R6,0,N$2)</f>
        <v>1.120442299</v>
      </c>
      <c r="O8">
        <f ca="1">OFFSET(Baza!$R6,0,O$2)</f>
        <v>29.177852720000001</v>
      </c>
    </row>
    <row r="9" spans="1:15" x14ac:dyDescent="0.2">
      <c r="A9" s="1" t="s">
        <v>247</v>
      </c>
      <c r="B9">
        <f>Baza!R7</f>
        <v>2.1114160540000002</v>
      </c>
      <c r="C9">
        <f ca="1">OFFSET(Baza!$R7,0,C$2)</f>
        <v>1.6355279460000001</v>
      </c>
      <c r="D9">
        <f ca="1">OFFSET(Baza!$R7,0,D$2)</f>
        <v>3.7469440000000001</v>
      </c>
      <c r="E9">
        <f ca="1">OFFSET(Baza!$R7,0,E$2)</f>
        <v>1.0610063540000001</v>
      </c>
      <c r="F9">
        <f ca="1">OFFSET(Baza!$R7,0,F$2)</f>
        <v>3.7469440000000001</v>
      </c>
      <c r="G9">
        <f ca="1">OFFSET(Baza!$R7,0,G$2)</f>
        <v>0.48773071509999999</v>
      </c>
      <c r="H9">
        <f ca="1">OFFSET(Baza!$R7,0,H$2)</f>
        <v>0.60312375409999996</v>
      </c>
      <c r="I9">
        <f ca="1">OFFSET(Baza!$R7,0,I$2)</f>
        <v>0.32442672690000002</v>
      </c>
      <c r="J9">
        <f ca="1">OFFSET(Baza!$R7,0,J$2)</f>
        <v>3.0658456200000002</v>
      </c>
      <c r="K9">
        <f ca="1">OFFSET(Baza!$R7,0,K$2)</f>
        <v>0.23179876769999999</v>
      </c>
      <c r="L9">
        <f ca="1">OFFSET(Baza!$R7,0,L$2)</f>
        <v>2.5311192220000001</v>
      </c>
      <c r="M9">
        <f ca="1">OFFSET(Baza!$R7,0,M$2)</f>
        <v>9.0720911070000003</v>
      </c>
      <c r="N9">
        <f ca="1">OFFSET(Baza!$R7,0,N$2)</f>
        <v>1.0407593749999999</v>
      </c>
      <c r="O9">
        <f ca="1">OFFSET(Baza!$R7,0,O$2)</f>
        <v>48.047413450000001</v>
      </c>
    </row>
    <row r="10" spans="1:15" x14ac:dyDescent="0.2">
      <c r="A10" s="1" t="s">
        <v>248</v>
      </c>
      <c r="B10">
        <f>Baza!R8</f>
        <v>2.1127436020000001</v>
      </c>
      <c r="C10">
        <f ca="1">OFFSET(Baza!$R8,0,C$2)</f>
        <v>1.8803342030000001</v>
      </c>
      <c r="D10">
        <f ca="1">OFFSET(Baza!$R8,0,D$2)</f>
        <v>3.993077805</v>
      </c>
      <c r="E10">
        <f ca="1">OFFSET(Baza!$R8,0,E$2)</f>
        <v>1.235247231</v>
      </c>
      <c r="F10">
        <f ca="1">OFFSET(Baza!$R8,0,F$2)</f>
        <v>3.993077805</v>
      </c>
      <c r="G10">
        <f ca="1">OFFSET(Baza!$R8,0,G$2)</f>
        <v>0.51127078299999995</v>
      </c>
      <c r="H10">
        <f ca="1">OFFSET(Baza!$R8,0,H$2)</f>
        <v>0.63504613259999998</v>
      </c>
      <c r="I10">
        <f ca="1">OFFSET(Baza!$R8,0,I$2)</f>
        <v>0.31751277709999998</v>
      </c>
      <c r="J10">
        <f ca="1">OFFSET(Baza!$R8,0,J$2)</f>
        <v>3.0732960660000002</v>
      </c>
      <c r="K10">
        <f ca="1">OFFSET(Baza!$R8,0,K$2)</f>
        <v>0.2451685083</v>
      </c>
      <c r="L10">
        <f ca="1">OFFSET(Baza!$R8,0,L$2)</f>
        <v>2.3889755949999998</v>
      </c>
      <c r="M10">
        <f ca="1">OFFSET(Baza!$R8,0,M$2)</f>
        <v>8.20657411</v>
      </c>
      <c r="N10">
        <f ca="1">OFFSET(Baza!$R8,0,N$2)</f>
        <v>1.0836899790000001</v>
      </c>
      <c r="O10">
        <f ca="1">OFFSET(Baza!$R8,0,O$2)</f>
        <v>44.082546600000001</v>
      </c>
    </row>
    <row r="11" spans="1:15" x14ac:dyDescent="0.2">
      <c r="A11" s="1" t="s">
        <v>249</v>
      </c>
      <c r="B11">
        <f>Baza!R9</f>
        <v>2.2687467529999998</v>
      </c>
      <c r="C11">
        <f ca="1">OFFSET(Baza!$R9,0,C$2)</f>
        <v>2.1552012519999999</v>
      </c>
      <c r="D11">
        <f ca="1">OFFSET(Baza!$R9,0,D$2)</f>
        <v>4.4239480049999997</v>
      </c>
      <c r="E11">
        <f ca="1">OFFSET(Baza!$R9,0,E$2)</f>
        <v>1.391071661</v>
      </c>
      <c r="F11">
        <f ca="1">OFFSET(Baza!$R9,0,F$2)</f>
        <v>4.4239480049999997</v>
      </c>
      <c r="G11">
        <f ca="1">OFFSET(Baza!$R9,0,G$2)</f>
        <v>0.55347313099999995</v>
      </c>
      <c r="H11">
        <f ca="1">OFFSET(Baza!$R9,0,H$2)</f>
        <v>0.68941627380000003</v>
      </c>
      <c r="I11">
        <f ca="1">OFFSET(Baza!$R9,0,I$2)</f>
        <v>0.31107088820000001</v>
      </c>
      <c r="J11">
        <f ca="1">OFFSET(Baza!$R9,0,J$2)</f>
        <v>3.1429272469999998</v>
      </c>
      <c r="K11">
        <f ca="1">OFFSET(Baza!$R9,0,K$2)</f>
        <v>0.2687107252</v>
      </c>
      <c r="L11">
        <f ca="1">OFFSET(Baza!$R9,0,L$2)</f>
        <v>2.5174954949999999</v>
      </c>
      <c r="M11">
        <f ca="1">OFFSET(Baza!$R9,0,M$2)</f>
        <v>7.1624379029999998</v>
      </c>
      <c r="N11">
        <f ca="1">OFFSET(Baza!$R9,0,N$2)</f>
        <v>1.1652756179999999</v>
      </c>
      <c r="O11">
        <f ca="1">OFFSET(Baza!$R9,0,O$2)</f>
        <v>39.431104990000001</v>
      </c>
    </row>
    <row r="12" spans="1:15" x14ac:dyDescent="0.2">
      <c r="A12" s="1" t="s">
        <v>250</v>
      </c>
      <c r="B12">
        <f>Baza!R10</f>
        <v>1.973314622</v>
      </c>
      <c r="C12">
        <f ca="1">OFFSET(Baza!$R10,0,C$2)</f>
        <v>2.2867811260000002</v>
      </c>
      <c r="D12">
        <f ca="1">OFFSET(Baza!$R10,0,D$2)</f>
        <v>4.2600957470000003</v>
      </c>
      <c r="E12">
        <f ca="1">OFFSET(Baza!$R10,0,E$2)</f>
        <v>1.1235425139999999</v>
      </c>
      <c r="F12">
        <f ca="1">OFFSET(Baza!$R10,0,F$2)</f>
        <v>4.2600957470000003</v>
      </c>
      <c r="G12">
        <f ca="1">OFFSET(Baza!$R10,0,G$2)</f>
        <v>0.59150075710000005</v>
      </c>
      <c r="H12">
        <f ca="1">OFFSET(Baza!$R10,0,H$2)</f>
        <v>0.73771695370000001</v>
      </c>
      <c r="I12">
        <f ca="1">OFFSET(Baza!$R10,0,I$2)</f>
        <v>-0.15295396210000001</v>
      </c>
      <c r="J12">
        <f ca="1">OFFSET(Baza!$R10,0,J$2)</f>
        <v>2.9846584950000001</v>
      </c>
      <c r="K12">
        <f ca="1">OFFSET(Baza!$R10,0,K$2)</f>
        <v>0.20668181660000001</v>
      </c>
      <c r="L12">
        <f ca="1">OFFSET(Baza!$R10,0,L$2)</f>
        <v>2.2282865780000001</v>
      </c>
      <c r="M12">
        <f ca="1">OFFSET(Baza!$R10,0,M$2)</f>
        <v>11.53828991</v>
      </c>
      <c r="N12">
        <f ca="1">OFFSET(Baza!$R10,0,N$2)</f>
        <v>1.2595193979999999</v>
      </c>
      <c r="O12">
        <f ca="1">OFFSET(Baza!$R10,0,O$2)</f>
        <v>53.98360237</v>
      </c>
    </row>
    <row r="13" spans="1:15" x14ac:dyDescent="0.2">
      <c r="A13" s="1" t="s">
        <v>251</v>
      </c>
      <c r="B13">
        <f>Baza!R11</f>
        <v>1.7941909579999999</v>
      </c>
      <c r="C13">
        <f ca="1">OFFSET(Baza!$R11,0,C$2)</f>
        <v>1.308498095</v>
      </c>
      <c r="D13">
        <f ca="1">OFFSET(Baza!$R11,0,D$2)</f>
        <v>3.1026890530000002</v>
      </c>
      <c r="E13">
        <f ca="1">OFFSET(Baza!$R11,0,E$2)</f>
        <v>0.91851043710000002</v>
      </c>
      <c r="F13">
        <f ca="1">OFFSET(Baza!$R11,0,F$2)</f>
        <v>3.1026890530000002</v>
      </c>
      <c r="G13">
        <f ca="1">OFFSET(Baza!$R11,0,G$2)</f>
        <v>0.4678802863</v>
      </c>
      <c r="H13">
        <f ca="1">OFFSET(Baza!$R11,0,H$2)</f>
        <v>0.57389485259999995</v>
      </c>
      <c r="I13">
        <f ca="1">OFFSET(Baza!$R11,0,I$2)</f>
        <v>0.37264450999999998</v>
      </c>
      <c r="J13">
        <f ca="1">OFFSET(Baza!$R11,0,J$2)</f>
        <v>2.8627833620000001</v>
      </c>
      <c r="K13">
        <f ca="1">OFFSET(Baza!$R11,0,K$2)</f>
        <v>0.35909534469999999</v>
      </c>
      <c r="L13">
        <f ca="1">OFFSET(Baza!$R11,0,L$2)</f>
        <v>1.260569585</v>
      </c>
      <c r="M13">
        <f ca="1">OFFSET(Baza!$R11,0,M$2)</f>
        <v>14.40577921</v>
      </c>
      <c r="N13">
        <f ca="1">OFFSET(Baza!$R11,0,N$2)</f>
        <v>1.0081151500000001</v>
      </c>
      <c r="O13">
        <f ca="1">OFFSET(Baza!$R11,0,O$2)</f>
        <v>32.403162389999999</v>
      </c>
    </row>
    <row r="14" spans="1:15" x14ac:dyDescent="0.2">
      <c r="A14" s="1" t="s">
        <v>252</v>
      </c>
      <c r="B14">
        <f>Baza!R12</f>
        <v>1.933744007</v>
      </c>
      <c r="C14">
        <f ca="1">OFFSET(Baza!$R12,0,C$2)</f>
        <v>1.326851762</v>
      </c>
      <c r="D14">
        <f ca="1">OFFSET(Baza!$R12,0,D$2)</f>
        <v>3.2605957679999999</v>
      </c>
      <c r="E14">
        <f ca="1">OFFSET(Baza!$R12,0,E$2)</f>
        <v>1.1434224559999999</v>
      </c>
      <c r="F14">
        <f ca="1">OFFSET(Baza!$R12,0,F$2)</f>
        <v>3.2605957679999999</v>
      </c>
      <c r="G14">
        <f ca="1">OFFSET(Baza!$R12,0,G$2)</f>
        <v>0.49596271959999999</v>
      </c>
      <c r="H14">
        <f ca="1">OFFSET(Baza!$R12,0,H$2)</f>
        <v>0.60958079990000003</v>
      </c>
      <c r="I14">
        <f ca="1">OFFSET(Baza!$R12,0,I$2)</f>
        <v>0.41249027370000002</v>
      </c>
      <c r="J14">
        <f ca="1">OFFSET(Baza!$R12,0,J$2)</f>
        <v>2.9269019420000002</v>
      </c>
      <c r="K14">
        <f ca="1">OFFSET(Baza!$R12,0,K$2)</f>
        <v>0.51917754930000004</v>
      </c>
      <c r="L14">
        <f ca="1">OFFSET(Baza!$R12,0,L$2)</f>
        <v>1.0469384960000001</v>
      </c>
      <c r="M14">
        <f ca="1">OFFSET(Baza!$R12,0,M$2)</f>
        <v>13.350535259999999</v>
      </c>
      <c r="N14">
        <f ca="1">OFFSET(Baza!$R12,0,N$2)</f>
        <v>1.073187753</v>
      </c>
      <c r="O14">
        <f ca="1">OFFSET(Baza!$R12,0,O$2)</f>
        <v>22.328615660000001</v>
      </c>
    </row>
    <row r="15" spans="1:15" x14ac:dyDescent="0.2">
      <c r="A15" s="1" t="s">
        <v>253</v>
      </c>
      <c r="B15">
        <f>Baza!R13</f>
        <v>1.8104347649999999</v>
      </c>
      <c r="C15">
        <f ca="1">OFFSET(Baza!$R13,0,C$2)</f>
        <v>1.6559329460000001</v>
      </c>
      <c r="D15">
        <f ca="1">OFFSET(Baza!$R13,0,D$2)</f>
        <v>3.4663677110000002</v>
      </c>
      <c r="E15">
        <f ca="1">OFFSET(Baza!$R13,0,E$2)</f>
        <v>1.1777219830000001</v>
      </c>
      <c r="F15">
        <f ca="1">OFFSET(Baza!$R13,0,F$2)</f>
        <v>3.4663677110000002</v>
      </c>
      <c r="G15">
        <f ca="1">OFFSET(Baza!$R13,0,G$2)</f>
        <v>0.47895194940000002</v>
      </c>
      <c r="H15">
        <f ca="1">OFFSET(Baza!$R13,0,H$2)</f>
        <v>0.58584746170000002</v>
      </c>
      <c r="I15">
        <f ca="1">OFFSET(Baza!$R13,0,I$2)</f>
        <v>6.8313035539999997E-2</v>
      </c>
      <c r="J15">
        <f ca="1">OFFSET(Baza!$R13,0,J$2)</f>
        <v>2.7724712330000001</v>
      </c>
      <c r="K15">
        <f ca="1">OFFSET(Baza!$R13,0,K$2)</f>
        <v>0.33428712230000002</v>
      </c>
      <c r="L15">
        <f ca="1">OFFSET(Baza!$R13,0,L$2)</f>
        <v>2.7690851150000002</v>
      </c>
      <c r="M15">
        <f ca="1">OFFSET(Baza!$R13,0,M$2)</f>
        <v>13.422998059999999</v>
      </c>
      <c r="N15">
        <f ca="1">OFFSET(Baza!$R13,0,N$2)</f>
        <v>1.0362815240000001</v>
      </c>
      <c r="O15">
        <f ca="1">OFFSET(Baza!$R13,0,O$2)</f>
        <v>33.628881249999999</v>
      </c>
    </row>
    <row r="16" spans="1:15" x14ac:dyDescent="0.2">
      <c r="A16" s="1" t="s">
        <v>254</v>
      </c>
      <c r="B16">
        <f>Baza!R14</f>
        <v>1.6332834350000001</v>
      </c>
      <c r="C16">
        <f ca="1">OFFSET(Baza!$R14,0,C$2)</f>
        <v>1.180683565</v>
      </c>
      <c r="D16">
        <f ca="1">OFFSET(Baza!$R14,0,D$2)</f>
        <v>2.8139669999999999</v>
      </c>
      <c r="E16">
        <f ca="1">OFFSET(Baza!$R14,0,E$2)</f>
        <v>1.5057436630000001</v>
      </c>
      <c r="F16">
        <f ca="1">OFFSET(Baza!$R14,0,F$2)</f>
        <v>2.8139669999999999</v>
      </c>
      <c r="G16">
        <f ca="1">OFFSET(Baza!$R14,0,G$2)</f>
        <v>0.44355670470000003</v>
      </c>
      <c r="H16">
        <f ca="1">OFFSET(Baza!$R14,0,H$2)</f>
        <v>0.54170017429999995</v>
      </c>
      <c r="I16">
        <f ca="1">OFFSET(Baza!$R14,0,I$2)</f>
        <v>0.3930461529</v>
      </c>
      <c r="J16">
        <f ca="1">OFFSET(Baza!$R14,0,J$2)</f>
        <v>2.8771455380000002</v>
      </c>
      <c r="K16">
        <f ca="1">OFFSET(Baza!$R14,0,K$2)</f>
        <v>1.2043494429999999</v>
      </c>
      <c r="L16">
        <f ca="1">OFFSET(Baza!$R14,0,L$2)</f>
        <v>0.84784361590000001</v>
      </c>
      <c r="M16">
        <f ca="1">OFFSET(Baza!$R14,0,M$2)</f>
        <v>19.975650810000001</v>
      </c>
      <c r="N16">
        <f ca="1">OFFSET(Baza!$R14,0,N$2)</f>
        <v>0.96337499579999997</v>
      </c>
      <c r="O16">
        <f ca="1">OFFSET(Baza!$R14,0,O$2)</f>
        <v>9.574594995</v>
      </c>
    </row>
    <row r="17" spans="1:15" x14ac:dyDescent="0.2">
      <c r="A17" s="1" t="s">
        <v>255</v>
      </c>
      <c r="B17">
        <f>Baza!R15</f>
        <v>1.822199473</v>
      </c>
      <c r="C17">
        <f ca="1">OFFSET(Baza!$R15,0,C$2)</f>
        <v>1.3590762160000001</v>
      </c>
      <c r="D17">
        <f ca="1">OFFSET(Baza!$R15,0,D$2)</f>
        <v>3.181275689</v>
      </c>
      <c r="E17">
        <f ca="1">OFFSET(Baza!$R15,0,E$2)</f>
        <v>0.90436225349999999</v>
      </c>
      <c r="F17">
        <f ca="1">OFFSET(Baza!$R15,0,F$2)</f>
        <v>3.181275689</v>
      </c>
      <c r="G17">
        <f ca="1">OFFSET(Baza!$R15,0,G$2)</f>
        <v>0.469694318</v>
      </c>
      <c r="H17">
        <f ca="1">OFFSET(Baza!$R15,0,H$2)</f>
        <v>0.57808498210000003</v>
      </c>
      <c r="I17">
        <f ca="1">OFFSET(Baza!$R15,0,I$2)</f>
        <v>0.35977763169999999</v>
      </c>
      <c r="J17">
        <f ca="1">OFFSET(Baza!$R15,0,J$2)</f>
        <v>2.923808443</v>
      </c>
      <c r="K17">
        <f ca="1">OFFSET(Baza!$R15,0,K$2)</f>
        <v>0.34174236949999998</v>
      </c>
      <c r="L17">
        <f ca="1">OFFSET(Baza!$R15,0,L$2)</f>
        <v>2.1777483919999998</v>
      </c>
      <c r="M17">
        <f ca="1">OFFSET(Baza!$R15,0,M$2)</f>
        <v>13.804741979999999</v>
      </c>
      <c r="N17">
        <f ca="1">OFFSET(Baza!$R15,0,N$2)</f>
        <v>1.0087710560000001</v>
      </c>
      <c r="O17">
        <f ca="1">OFFSET(Baza!$R15,0,O$2)</f>
        <v>33.736800969999997</v>
      </c>
    </row>
    <row r="18" spans="1:15" x14ac:dyDescent="0.2">
      <c r="A18" s="1" t="s">
        <v>256</v>
      </c>
      <c r="B18">
        <f>Baza!R16</f>
        <v>1.6505264909999999</v>
      </c>
      <c r="C18">
        <f ca="1">OFFSET(Baza!$R16,0,C$2)</f>
        <v>1.2002719610000001</v>
      </c>
      <c r="D18">
        <f ca="1">OFFSET(Baza!$R16,0,D$2)</f>
        <v>2.8507984529999999</v>
      </c>
      <c r="E18">
        <f ca="1">OFFSET(Baza!$R16,0,E$2)</f>
        <v>1.5556452869999999</v>
      </c>
      <c r="F18">
        <f ca="1">OFFSET(Baza!$R16,0,F$2)</f>
        <v>2.8507984529999999</v>
      </c>
      <c r="G18">
        <f ca="1">OFFSET(Baza!$R16,0,G$2)</f>
        <v>0.4465078998</v>
      </c>
      <c r="H18">
        <f ca="1">OFFSET(Baza!$R16,0,H$2)</f>
        <v>0.54751204229999995</v>
      </c>
      <c r="I18">
        <f ca="1">OFFSET(Baza!$R16,0,I$2)</f>
        <v>0.37629245929999999</v>
      </c>
      <c r="J18">
        <f ca="1">OFFSET(Baza!$R16,0,J$2)</f>
        <v>2.8980984140000001</v>
      </c>
      <c r="K18">
        <f ca="1">OFFSET(Baza!$R16,0,K$2)</f>
        <v>1.268805679</v>
      </c>
      <c r="L18">
        <f ca="1">OFFSET(Baza!$R16,0,L$2)</f>
        <v>0.79579271659999995</v>
      </c>
      <c r="M18">
        <f ca="1">OFFSET(Baza!$R16,0,M$2)</f>
        <v>18.88027975</v>
      </c>
      <c r="N18">
        <f ca="1">OFFSET(Baza!$R16,0,N$2)</f>
        <v>0.96275179369999997</v>
      </c>
      <c r="O18">
        <f ca="1">OFFSET(Baza!$R16,0,O$2)</f>
        <v>9.0112710400000005</v>
      </c>
    </row>
    <row r="19" spans="1:15" x14ac:dyDescent="0.2">
      <c r="A1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"/>
  <sheetViews>
    <sheetView workbookViewId="0">
      <selection activeCell="A19" sqref="A19:XFD19"/>
    </sheetView>
  </sheetViews>
  <sheetFormatPr baseColWidth="10" defaultColWidth="8.83203125" defaultRowHeight="15" x14ac:dyDescent="0.2"/>
  <cols>
    <col min="2" max="2" width="14.5" bestFit="1" customWidth="1"/>
    <col min="3" max="4" width="12" bestFit="1" customWidth="1"/>
    <col min="5" max="5" width="43.6640625" bestFit="1" customWidth="1"/>
    <col min="6" max="8" width="12" bestFit="1" customWidth="1"/>
    <col min="9" max="9" width="12.6640625" bestFit="1" customWidth="1"/>
    <col min="10" max="10" width="12" bestFit="1" customWidth="1"/>
    <col min="11" max="11" width="45.33203125" bestFit="1" customWidth="1"/>
    <col min="12" max="12" width="12" bestFit="1" customWidth="1"/>
    <col min="13" max="13" width="48.5" bestFit="1" customWidth="1"/>
    <col min="14" max="14" width="26.6640625" bestFit="1" customWidth="1"/>
    <col min="15" max="15" width="44.6640625" bestFit="1" customWidth="1"/>
  </cols>
  <sheetData>
    <row r="1" spans="1:16" x14ac:dyDescent="0.2">
      <c r="B1" t="str">
        <f>B4</f>
        <v>Pp[Średnia]</v>
      </c>
      <c r="C1" t="str">
        <f t="shared" ref="C1:O1" ca="1" si="0">C4</f>
        <v>Pv[Średnia]</v>
      </c>
      <c r="D1" t="str">
        <f t="shared" ca="1" si="0"/>
        <v>Pz[Średnia]</v>
      </c>
      <c r="E1" t="str">
        <f t="shared" ca="1" si="0"/>
        <v>Pc (Brak uśredniania (pojedyncza wartość))[Średnia]</v>
      </c>
      <c r="F1" t="str">
        <f t="shared" ca="1" si="0"/>
        <v>Pt[Średnia]</v>
      </c>
      <c r="G1" t="str">
        <f t="shared" ca="1" si="0"/>
        <v>Pa[Średnia]</v>
      </c>
      <c r="H1" t="str">
        <f t="shared" ca="1" si="0"/>
        <v>Pq[Średnia]</v>
      </c>
      <c r="I1" t="str">
        <f t="shared" ca="1" si="0"/>
        <v>Psk[Średnia]</v>
      </c>
      <c r="J1" t="str">
        <f t="shared" ca="1" si="0"/>
        <v>Pku[Średnia]</v>
      </c>
      <c r="K1" t="str">
        <f t="shared" ca="1" si="0"/>
        <v>PSm (Brak uśredniania (pojedyncza wartość))[Średnia]</v>
      </c>
      <c r="L1" t="str">
        <f t="shared" ca="1" si="0"/>
        <v>Pdq[Średnia]</v>
      </c>
      <c r="M1" t="str">
        <f t="shared" ca="1" si="0"/>
        <v>Pmr (c = 1 µm poniżej najwyższego wypiętrzenia)[Średnia]</v>
      </c>
      <c r="N1" t="str">
        <f t="shared" ca="1" si="0"/>
        <v>Pdc (p = 20%, q = 80%)[Średnia]</v>
      </c>
      <c r="O1" t="str">
        <f t="shared" ca="1" si="0"/>
        <v>PPc (Brak uśredniania (pojedyncza wartość))[Średnia]</v>
      </c>
    </row>
    <row r="2" spans="1:16" x14ac:dyDescent="0.2">
      <c r="B2" s="3" t="s">
        <v>257</v>
      </c>
      <c r="C2" s="3">
        <v>4</v>
      </c>
      <c r="D2" s="3">
        <f>C2+4</f>
        <v>8</v>
      </c>
      <c r="E2" s="3">
        <f t="shared" ref="E2:P2" si="1">D2+4</f>
        <v>12</v>
      </c>
      <c r="F2" s="3">
        <f t="shared" si="1"/>
        <v>16</v>
      </c>
      <c r="G2" s="3">
        <f t="shared" si="1"/>
        <v>20</v>
      </c>
      <c r="H2" s="3">
        <f t="shared" si="1"/>
        <v>24</v>
      </c>
      <c r="I2" s="3">
        <f t="shared" si="1"/>
        <v>28</v>
      </c>
      <c r="J2" s="3">
        <f t="shared" si="1"/>
        <v>32</v>
      </c>
      <c r="K2" s="3">
        <f t="shared" si="1"/>
        <v>36</v>
      </c>
      <c r="L2" s="3">
        <f t="shared" si="1"/>
        <v>40</v>
      </c>
      <c r="M2" s="3">
        <f t="shared" si="1"/>
        <v>44</v>
      </c>
      <c r="N2" s="3">
        <f t="shared" si="1"/>
        <v>48</v>
      </c>
      <c r="O2" s="3">
        <f t="shared" si="1"/>
        <v>52</v>
      </c>
      <c r="P2" s="3">
        <f t="shared" si="1"/>
        <v>56</v>
      </c>
    </row>
    <row r="3" spans="1:16" x14ac:dyDescent="0.2">
      <c r="B3">
        <f>Baza!BV1</f>
        <v>41</v>
      </c>
      <c r="C3">
        <f ca="1">OFFSET(Baza!$BV1,0,C$2)</f>
        <v>41</v>
      </c>
      <c r="D3">
        <f ca="1">OFFSET(Baza!$BV1,0,D$2)</f>
        <v>41</v>
      </c>
      <c r="E3">
        <f ca="1">OFFSET(Baza!$BV1,0,E$2)</f>
        <v>41</v>
      </c>
      <c r="F3">
        <f ca="1">OFFSET(Baza!$BV1,0,F$2)</f>
        <v>41</v>
      </c>
      <c r="G3">
        <f ca="1">OFFSET(Baza!$BV1,0,G$2)</f>
        <v>41</v>
      </c>
      <c r="H3">
        <f ca="1">OFFSET(Baza!$BV1,0,H$2)</f>
        <v>41</v>
      </c>
      <c r="I3">
        <f ca="1">OFFSET(Baza!$BV1,0,I$2)</f>
        <v>41</v>
      </c>
      <c r="J3">
        <f ca="1">OFFSET(Baza!$BV1,0,J$2)</f>
        <v>41</v>
      </c>
      <c r="K3">
        <f ca="1">OFFSET(Baza!$BV1,0,K$2)</f>
        <v>41</v>
      </c>
      <c r="L3">
        <f ca="1">OFFSET(Baza!$BV1,0,L$2)</f>
        <v>41</v>
      </c>
      <c r="M3">
        <f ca="1">OFFSET(Baza!$BV1,0,M$2)</f>
        <v>41</v>
      </c>
      <c r="N3">
        <f ca="1">OFFSET(Baza!$BV1,0,N$2)</f>
        <v>41</v>
      </c>
      <c r="O3">
        <f ca="1">OFFSET(Baza!$BV1,0,O$2)</f>
        <v>41</v>
      </c>
    </row>
    <row r="4" spans="1:16" x14ac:dyDescent="0.2">
      <c r="B4" t="str">
        <f>Baza!BV2</f>
        <v>Pp[Średnia]</v>
      </c>
      <c r="C4" t="str">
        <f ca="1">OFFSET(Baza!$BV2,0,C$2)</f>
        <v>Pv[Średnia]</v>
      </c>
      <c r="D4" t="str">
        <f ca="1">OFFSET(Baza!$BV2,0,D$2)</f>
        <v>Pz[Średnia]</v>
      </c>
      <c r="E4" t="str">
        <f ca="1">OFFSET(Baza!$BV2,0,E$2)</f>
        <v>Pc (Brak uśredniania (pojedyncza wartość))[Średnia]</v>
      </c>
      <c r="F4" t="str">
        <f ca="1">OFFSET(Baza!$BV2,0,F$2)</f>
        <v>Pt[Średnia]</v>
      </c>
      <c r="G4" t="str">
        <f ca="1">OFFSET(Baza!$BV2,0,G$2)</f>
        <v>Pa[Średnia]</v>
      </c>
      <c r="H4" t="str">
        <f ca="1">OFFSET(Baza!$BV2,0,H$2)</f>
        <v>Pq[Średnia]</v>
      </c>
      <c r="I4" t="str">
        <f ca="1">OFFSET(Baza!$BV2,0,I$2)</f>
        <v>Psk[Średnia]</v>
      </c>
      <c r="J4" t="str">
        <f ca="1">OFFSET(Baza!$BV2,0,J$2)</f>
        <v>Pku[Średnia]</v>
      </c>
      <c r="K4" t="str">
        <f ca="1">OFFSET(Baza!$BV2,0,K$2)</f>
        <v>PSm (Brak uśredniania (pojedyncza wartość))[Średnia]</v>
      </c>
      <c r="L4" t="str">
        <f ca="1">OFFSET(Baza!$BV2,0,L$2)</f>
        <v>Pdq[Średnia]</v>
      </c>
      <c r="M4" t="str">
        <f ca="1">OFFSET(Baza!$BV2,0,M$2)</f>
        <v>Pmr (c = 1 µm poniżej najwyższego wypiętrzenia)[Średnia]</v>
      </c>
      <c r="N4" t="str">
        <f ca="1">OFFSET(Baza!$BV2,0,N$2)</f>
        <v>Pdc (p = 20%, q = 80%)[Średnia]</v>
      </c>
      <c r="O4" t="str">
        <f ca="1">OFFSET(Baza!$BV2,0,O$2)</f>
        <v>PPc (Brak uśredniania (pojedyncza wartość))[Średnia]</v>
      </c>
    </row>
    <row r="5" spans="1:16" x14ac:dyDescent="0.2">
      <c r="B5" t="str">
        <f>Baza!BV3</f>
        <v>µm</v>
      </c>
      <c r="C5" t="str">
        <f ca="1">OFFSET(Baza!$BV3,0,C$2)</f>
        <v>µm</v>
      </c>
      <c r="D5" t="str">
        <f ca="1">OFFSET(Baza!$BV3,0,D$2)</f>
        <v>µm</v>
      </c>
      <c r="E5" t="str">
        <f ca="1">OFFSET(Baza!$BV3,0,E$2)</f>
        <v>µm</v>
      </c>
      <c r="F5" t="str">
        <f ca="1">OFFSET(Baza!$BV3,0,F$2)</f>
        <v>µm</v>
      </c>
      <c r="G5" t="str">
        <f ca="1">OFFSET(Baza!$BV3,0,G$2)</f>
        <v>µm</v>
      </c>
      <c r="H5" t="str">
        <f ca="1">OFFSET(Baza!$BV3,0,H$2)</f>
        <v>µm</v>
      </c>
      <c r="I5" t="str">
        <f ca="1">OFFSET(Baza!$BV3,0,I$2)</f>
        <v>&lt;no unit&gt;</v>
      </c>
      <c r="J5" t="str">
        <f ca="1">OFFSET(Baza!$BV3,0,J$2)</f>
        <v>&lt;no unit&gt;</v>
      </c>
      <c r="K5" t="str">
        <f ca="1">OFFSET(Baza!$BV3,0,K$2)</f>
        <v>mm</v>
      </c>
      <c r="L5" t="str">
        <f ca="1">OFFSET(Baza!$BV3,0,L$2)</f>
        <v>°</v>
      </c>
      <c r="M5" t="str">
        <f ca="1">OFFSET(Baza!$BV3,0,M$2)</f>
        <v>%</v>
      </c>
      <c r="N5" t="str">
        <f ca="1">OFFSET(Baza!$BV3,0,N$2)</f>
        <v>µm</v>
      </c>
      <c r="O5" t="str">
        <f ca="1">OFFSET(Baza!$BV3,0,O$2)</f>
        <v>1/cm</v>
      </c>
    </row>
    <row r="6" spans="1:16" x14ac:dyDescent="0.2">
      <c r="A6" s="1" t="s">
        <v>244</v>
      </c>
      <c r="B6">
        <f>Baza!BV4</f>
        <v>1.5044591430000001</v>
      </c>
      <c r="C6">
        <f ca="1">OFFSET(Baza!$BV4,0,C$2)</f>
        <v>1.1774324300000001</v>
      </c>
      <c r="D6">
        <f ca="1">OFFSET(Baza!$BV4,0,D$2)</f>
        <v>2.6818915739999998</v>
      </c>
      <c r="E6">
        <f ca="1">OFFSET(Baza!$BV4,0,E$2)</f>
        <v>0.85665459020000001</v>
      </c>
      <c r="F6">
        <f ca="1">OFFSET(Baza!$BV4,0,F$2)</f>
        <v>2.6818915739999998</v>
      </c>
      <c r="G6">
        <f ca="1">OFFSET(Baza!$BV4,0,G$2)</f>
        <v>0.45005629279999998</v>
      </c>
      <c r="H6">
        <f ca="1">OFFSET(Baza!$BV4,0,H$2)</f>
        <v>0.54582430790000003</v>
      </c>
      <c r="I6">
        <f ca="1">OFFSET(Baza!$BV4,0,I$2)</f>
        <v>0.35051246130000002</v>
      </c>
      <c r="J6">
        <f ca="1">OFFSET(Baza!$BV4,0,J$2)</f>
        <v>2.6291962579999999</v>
      </c>
      <c r="K6">
        <f ca="1">OFFSET(Baza!$BV4,0,K$2)</f>
        <v>0.30535363139999999</v>
      </c>
      <c r="L6">
        <f ca="1">OFFSET(Baza!$BV4,0,L$2)</f>
        <v>1.679115184</v>
      </c>
      <c r="M6">
        <f ca="1">OFFSET(Baza!$BV4,0,M$2)</f>
        <v>21.65108674</v>
      </c>
      <c r="N6">
        <f ca="1">OFFSET(Baza!$BV4,0,N$2)</f>
        <v>0.98301806479999998</v>
      </c>
      <c r="O6">
        <f ca="1">OFFSET(Baza!$BV4,0,O$2)</f>
        <v>37.677895149999998</v>
      </c>
    </row>
    <row r="7" spans="1:16" x14ac:dyDescent="0.2">
      <c r="A7" s="1" t="s">
        <v>245</v>
      </c>
      <c r="B7">
        <f>Baza!BV5</f>
        <v>1.674713729</v>
      </c>
      <c r="C7">
        <f ca="1">OFFSET(Baza!$BV5,0,C$2)</f>
        <v>1.368400624</v>
      </c>
      <c r="D7">
        <f ca="1">OFFSET(Baza!$BV5,0,D$2)</f>
        <v>3.043114353</v>
      </c>
      <c r="E7">
        <f ca="1">OFFSET(Baza!$BV5,0,E$2)</f>
        <v>1.047598757</v>
      </c>
      <c r="F7">
        <f ca="1">OFFSET(Baza!$BV5,0,F$2)</f>
        <v>3.043114353</v>
      </c>
      <c r="G7">
        <f ca="1">OFFSET(Baza!$BV5,0,G$2)</f>
        <v>0.48276638649999998</v>
      </c>
      <c r="H7">
        <f ca="1">OFFSET(Baza!$BV5,0,H$2)</f>
        <v>0.59147943150000004</v>
      </c>
      <c r="I7">
        <f ca="1">OFFSET(Baza!$BV5,0,I$2)</f>
        <v>0.37767393989999998</v>
      </c>
      <c r="J7">
        <f ca="1">OFFSET(Baza!$BV5,0,J$2)</f>
        <v>2.7765219870000002</v>
      </c>
      <c r="K7">
        <f ca="1">OFFSET(Baza!$BV5,0,K$2)</f>
        <v>0.33948436539999999</v>
      </c>
      <c r="L7">
        <f ca="1">OFFSET(Baza!$BV5,0,L$2)</f>
        <v>1.5842674960000001</v>
      </c>
      <c r="M7">
        <f ca="1">OFFSET(Baza!$BV5,0,M$2)</f>
        <v>16.577638990000001</v>
      </c>
      <c r="N7">
        <f ca="1">OFFSET(Baza!$BV5,0,N$2)</f>
        <v>1.040041711</v>
      </c>
      <c r="O7">
        <f ca="1">OFFSET(Baza!$BV5,0,O$2)</f>
        <v>33.111065920000001</v>
      </c>
    </row>
    <row r="8" spans="1:16" x14ac:dyDescent="0.2">
      <c r="A8" s="1" t="s">
        <v>246</v>
      </c>
      <c r="B8">
        <f>Baza!BV6</f>
        <v>1.837508291</v>
      </c>
      <c r="C8">
        <f ca="1">OFFSET(Baza!$BV6,0,C$2)</f>
        <v>1.4976950769999999</v>
      </c>
      <c r="D8">
        <f ca="1">OFFSET(Baza!$BV6,0,D$2)</f>
        <v>3.3352033680000002</v>
      </c>
      <c r="E8">
        <f ca="1">OFFSET(Baza!$BV6,0,E$2)</f>
        <v>1.176051798</v>
      </c>
      <c r="F8">
        <f ca="1">OFFSET(Baza!$BV6,0,F$2)</f>
        <v>3.3352033680000002</v>
      </c>
      <c r="G8">
        <f ca="1">OFFSET(Baza!$BV6,0,G$2)</f>
        <v>0.52197020520000004</v>
      </c>
      <c r="H8">
        <f ca="1">OFFSET(Baza!$BV6,0,H$2)</f>
        <v>0.64052551069999997</v>
      </c>
      <c r="I8">
        <f ca="1">OFFSET(Baza!$BV6,0,I$2)</f>
        <v>0.38619844580000001</v>
      </c>
      <c r="J8">
        <f ca="1">OFFSET(Baza!$BV6,0,J$2)</f>
        <v>2.8156882510000001</v>
      </c>
      <c r="K8">
        <f ca="1">OFFSET(Baza!$BV6,0,K$2)</f>
        <v>0.35833907659999997</v>
      </c>
      <c r="L8">
        <f ca="1">OFFSET(Baza!$BV6,0,L$2)</f>
        <v>1.68097162</v>
      </c>
      <c r="M8">
        <f ca="1">OFFSET(Baza!$BV6,0,M$2)</f>
        <v>13.20009265</v>
      </c>
      <c r="N8">
        <f ca="1">OFFSET(Baza!$BV6,0,N$2)</f>
        <v>1.1199825880000001</v>
      </c>
      <c r="O8">
        <f ca="1">OFFSET(Baza!$BV6,0,O$2)</f>
        <v>30.95583341</v>
      </c>
    </row>
    <row r="9" spans="1:16" x14ac:dyDescent="0.2">
      <c r="A9" s="1" t="s">
        <v>247</v>
      </c>
      <c r="B9">
        <f>Baza!BV7</f>
        <v>1.6736177489999999</v>
      </c>
      <c r="C9">
        <f ca="1">OFFSET(Baza!$BV7,0,C$2)</f>
        <v>1.431154094</v>
      </c>
      <c r="D9">
        <f ca="1">OFFSET(Baza!$BV7,0,D$2)</f>
        <v>3.1047718419999999</v>
      </c>
      <c r="E9">
        <f ca="1">OFFSET(Baza!$BV7,0,E$2)</f>
        <v>0.95621043989999999</v>
      </c>
      <c r="F9">
        <f ca="1">OFFSET(Baza!$BV7,0,F$2)</f>
        <v>3.1047718419999999</v>
      </c>
      <c r="G9">
        <f ca="1">OFFSET(Baza!$BV7,0,G$2)</f>
        <v>0.48225826290000001</v>
      </c>
      <c r="H9">
        <f ca="1">OFFSET(Baza!$BV7,0,H$2)</f>
        <v>0.59035911590000001</v>
      </c>
      <c r="I9">
        <f ca="1">OFFSET(Baza!$BV7,0,I$2)</f>
        <v>0.27582605869999999</v>
      </c>
      <c r="J9">
        <f ca="1">OFFSET(Baza!$BV7,0,J$2)</f>
        <v>2.719818488</v>
      </c>
      <c r="K9">
        <f ca="1">OFFSET(Baza!$BV7,0,K$2)</f>
        <v>0.2116865433</v>
      </c>
      <c r="L9">
        <f ca="1">OFFSET(Baza!$BV7,0,L$2)</f>
        <v>2.4508906480000001</v>
      </c>
      <c r="M9">
        <f ca="1">OFFSET(Baza!$BV7,0,M$2)</f>
        <v>16.09029511</v>
      </c>
      <c r="N9">
        <f ca="1">OFFSET(Baza!$BV7,0,N$2)</f>
        <v>1.0401712409999999</v>
      </c>
      <c r="O9">
        <f ca="1">OFFSET(Baza!$BV7,0,O$2)</f>
        <v>52.231052759999997</v>
      </c>
    </row>
    <row r="10" spans="1:16" x14ac:dyDescent="0.2">
      <c r="A10" s="1" t="s">
        <v>248</v>
      </c>
      <c r="B10">
        <f>Baza!BV8</f>
        <v>1.7785847859999999</v>
      </c>
      <c r="C10">
        <f ca="1">OFFSET(Baza!$BV8,0,C$2)</f>
        <v>1.5704685620000001</v>
      </c>
      <c r="D10">
        <f ca="1">OFFSET(Baza!$BV8,0,D$2)</f>
        <v>3.3490533469999999</v>
      </c>
      <c r="E10">
        <f ca="1">OFFSET(Baza!$BV8,0,E$2)</f>
        <v>1.136960156</v>
      </c>
      <c r="F10">
        <f ca="1">OFFSET(Baza!$BV8,0,F$2)</f>
        <v>3.3490533469999999</v>
      </c>
      <c r="G10">
        <f ca="1">OFFSET(Baza!$BV8,0,G$2)</f>
        <v>0.50502704460000003</v>
      </c>
      <c r="H10">
        <f ca="1">OFFSET(Baza!$BV8,0,H$2)</f>
        <v>0.62127185809999996</v>
      </c>
      <c r="I10">
        <f ca="1">OFFSET(Baza!$BV8,0,I$2)</f>
        <v>0.31396829929999998</v>
      </c>
      <c r="J10">
        <f ca="1">OFFSET(Baza!$BV8,0,J$2)</f>
        <v>2.802497335</v>
      </c>
      <c r="K10">
        <f ca="1">OFFSET(Baza!$BV8,0,K$2)</f>
        <v>0.2289672157</v>
      </c>
      <c r="L10">
        <f ca="1">OFFSET(Baza!$BV8,0,L$2)</f>
        <v>2.311871075</v>
      </c>
      <c r="M10">
        <f ca="1">OFFSET(Baza!$BV8,0,M$2)</f>
        <v>13.87998003</v>
      </c>
      <c r="N10">
        <f ca="1">OFFSET(Baza!$BV8,0,N$2)</f>
        <v>1.0828252819999999</v>
      </c>
      <c r="O10">
        <f ca="1">OFFSET(Baza!$BV8,0,O$2)</f>
        <v>46.952900040000003</v>
      </c>
    </row>
    <row r="11" spans="1:16" x14ac:dyDescent="0.2">
      <c r="A11" s="1" t="s">
        <v>249</v>
      </c>
      <c r="B11">
        <f>Baza!BV9</f>
        <v>1.965626112</v>
      </c>
      <c r="C11">
        <f ca="1">OFFSET(Baza!$BV9,0,C$2)</f>
        <v>1.7269638570000001</v>
      </c>
      <c r="D11">
        <f ca="1">OFFSET(Baza!$BV9,0,D$2)</f>
        <v>3.6925899680000001</v>
      </c>
      <c r="E11">
        <f ca="1">OFFSET(Baza!$BV9,0,E$2)</f>
        <v>1.2716695950000001</v>
      </c>
      <c r="F11">
        <f ca="1">OFFSET(Baza!$BV9,0,F$2)</f>
        <v>3.6925899680000001</v>
      </c>
      <c r="G11">
        <f ca="1">OFFSET(Baza!$BV9,0,G$2)</f>
        <v>0.54660792039999995</v>
      </c>
      <c r="H11">
        <f ca="1">OFFSET(Baza!$BV9,0,H$2)</f>
        <v>0.67396767199999996</v>
      </c>
      <c r="I11">
        <f ca="1">OFFSET(Baza!$BV9,0,I$2)</f>
        <v>0.3303857369</v>
      </c>
      <c r="J11">
        <f ca="1">OFFSET(Baza!$BV9,0,J$2)</f>
        <v>2.8637342280000002</v>
      </c>
      <c r="K11">
        <f ca="1">OFFSET(Baza!$BV9,0,K$2)</f>
        <v>0.25143531219999998</v>
      </c>
      <c r="L11">
        <f ca="1">OFFSET(Baza!$BV9,0,L$2)</f>
        <v>2.4173528389999999</v>
      </c>
      <c r="M11">
        <f ca="1">OFFSET(Baza!$BV9,0,M$2)</f>
        <v>10.787452500000001</v>
      </c>
      <c r="N11">
        <f ca="1">OFFSET(Baza!$BV9,0,N$2)</f>
        <v>1.164300903</v>
      </c>
      <c r="O11">
        <f ca="1">OFFSET(Baza!$BV9,0,O$2)</f>
        <v>42.255247480000001</v>
      </c>
    </row>
    <row r="12" spans="1:16" x14ac:dyDescent="0.2">
      <c r="A12" s="1" t="s">
        <v>250</v>
      </c>
      <c r="B12">
        <f>Baza!BV10</f>
        <v>1.7502723099999999</v>
      </c>
      <c r="C12">
        <f ca="1">OFFSET(Baza!$BV10,0,C$2)</f>
        <v>2.0488388579999999</v>
      </c>
      <c r="D12">
        <f ca="1">OFFSET(Baza!$BV10,0,D$2)</f>
        <v>3.799111168</v>
      </c>
      <c r="E12">
        <f ca="1">OFFSET(Baza!$BV10,0,E$2)</f>
        <v>1.0712479130000001</v>
      </c>
      <c r="F12">
        <f ca="1">OFFSET(Baza!$BV10,0,F$2)</f>
        <v>3.799111168</v>
      </c>
      <c r="G12">
        <f ca="1">OFFSET(Baza!$BV10,0,G$2)</f>
        <v>0.5874133788</v>
      </c>
      <c r="H12">
        <f ca="1">OFFSET(Baza!$BV10,0,H$2)</f>
        <v>0.72793650860000003</v>
      </c>
      <c r="I12">
        <f ca="1">OFFSET(Baza!$BV10,0,I$2)</f>
        <v>-0.13782389079999999</v>
      </c>
      <c r="J12">
        <f ca="1">OFFSET(Baza!$BV10,0,J$2)</f>
        <v>2.7895270499999998</v>
      </c>
      <c r="K12">
        <f ca="1">OFFSET(Baza!$BV10,0,K$2)</f>
        <v>0.19798517860000001</v>
      </c>
      <c r="L12">
        <f ca="1">OFFSET(Baza!$BV10,0,L$2)</f>
        <v>2.2040989880000001</v>
      </c>
      <c r="M12">
        <f ca="1">OFFSET(Baza!$BV10,0,M$2)</f>
        <v>17.119118459999999</v>
      </c>
      <c r="N12">
        <f ca="1">OFFSET(Baza!$BV10,0,N$2)</f>
        <v>1.259485687</v>
      </c>
      <c r="O12">
        <f ca="1">OFFSET(Baza!$BV10,0,O$2)</f>
        <v>56.135770809999997</v>
      </c>
    </row>
    <row r="13" spans="1:16" x14ac:dyDescent="0.2">
      <c r="A13" s="1" t="s">
        <v>251</v>
      </c>
      <c r="B13">
        <f>Baza!BV11</f>
        <v>1.559006618</v>
      </c>
      <c r="C13">
        <f ca="1">OFFSET(Baza!$BV11,0,C$2)</f>
        <v>1.2276652240000001</v>
      </c>
      <c r="D13">
        <f ca="1">OFFSET(Baza!$BV11,0,D$2)</f>
        <v>2.7866718420000001</v>
      </c>
      <c r="E13">
        <f ca="1">OFFSET(Baza!$BV11,0,E$2)</f>
        <v>0.85645622320000003</v>
      </c>
      <c r="F13">
        <f ca="1">OFFSET(Baza!$BV11,0,F$2)</f>
        <v>2.7866718420000001</v>
      </c>
      <c r="G13">
        <f ca="1">OFFSET(Baza!$BV11,0,G$2)</f>
        <v>0.46493697880000001</v>
      </c>
      <c r="H13">
        <f ca="1">OFFSET(Baza!$BV11,0,H$2)</f>
        <v>0.56719474550000004</v>
      </c>
      <c r="I13">
        <f ca="1">OFFSET(Baza!$BV11,0,I$2)</f>
        <v>0.33780618299999998</v>
      </c>
      <c r="J13">
        <f ca="1">OFFSET(Baza!$BV11,0,J$2)</f>
        <v>2.679327062</v>
      </c>
      <c r="K13">
        <f ca="1">OFFSET(Baza!$BV11,0,K$2)</f>
        <v>0.3380035354</v>
      </c>
      <c r="L13">
        <f ca="1">OFFSET(Baza!$BV11,0,L$2)</f>
        <v>1.241117469</v>
      </c>
      <c r="M13">
        <f ca="1">OFFSET(Baza!$BV11,0,M$2)</f>
        <v>19.74020295</v>
      </c>
      <c r="N13">
        <f ca="1">OFFSET(Baza!$BV11,0,N$2)</f>
        <v>1.0080605389999999</v>
      </c>
      <c r="O13">
        <f ca="1">OFFSET(Baza!$BV11,0,O$2)</f>
        <v>33.853238380000001</v>
      </c>
    </row>
    <row r="14" spans="1:16" x14ac:dyDescent="0.2">
      <c r="A14" s="1" t="s">
        <v>252</v>
      </c>
      <c r="B14">
        <f>Baza!BV12</f>
        <v>1.6806510189999999</v>
      </c>
      <c r="C14">
        <f ca="1">OFFSET(Baza!$BV12,0,C$2)</f>
        <v>1.258008934</v>
      </c>
      <c r="D14">
        <f ca="1">OFFSET(Baza!$BV12,0,D$2)</f>
        <v>2.9386599530000002</v>
      </c>
      <c r="E14">
        <f ca="1">OFFSET(Baza!$BV12,0,E$2)</f>
        <v>1.074468362</v>
      </c>
      <c r="F14">
        <f ca="1">OFFSET(Baza!$BV12,0,F$2)</f>
        <v>2.9386599530000002</v>
      </c>
      <c r="G14">
        <f ca="1">OFFSET(Baza!$BV12,0,G$2)</f>
        <v>0.49268211629999997</v>
      </c>
      <c r="H14">
        <f ca="1">OFFSET(Baza!$BV12,0,H$2)</f>
        <v>0.60200117949999998</v>
      </c>
      <c r="I14">
        <f ca="1">OFFSET(Baza!$BV12,0,I$2)</f>
        <v>0.3682093259</v>
      </c>
      <c r="J14">
        <f ca="1">OFFSET(Baza!$BV12,0,J$2)</f>
        <v>2.700356706</v>
      </c>
      <c r="K14">
        <f ca="1">OFFSET(Baza!$BV12,0,K$2)</f>
        <v>0.50119868599999995</v>
      </c>
      <c r="L14">
        <f ca="1">OFFSET(Baza!$BV12,0,L$2)</f>
        <v>1.020150957</v>
      </c>
      <c r="M14">
        <f ca="1">OFFSET(Baza!$BV12,0,M$2)</f>
        <v>17.310858400000001</v>
      </c>
      <c r="N14">
        <f ca="1">OFFSET(Baza!$BV12,0,N$2)</f>
        <v>1.073169045</v>
      </c>
      <c r="O14">
        <f ca="1">OFFSET(Baza!$BV12,0,O$2)</f>
        <v>23.169300069999998</v>
      </c>
    </row>
    <row r="15" spans="1:16" x14ac:dyDescent="0.2">
      <c r="A15" s="1" t="s">
        <v>253</v>
      </c>
      <c r="B15">
        <f>Baza!BV13</f>
        <v>1.4551686420000001</v>
      </c>
      <c r="C15">
        <f ca="1">OFFSET(Baza!$BV13,0,C$2)</f>
        <v>1.4778431480000001</v>
      </c>
      <c r="D15">
        <f ca="1">OFFSET(Baza!$BV13,0,D$2)</f>
        <v>2.933011789</v>
      </c>
      <c r="E15">
        <f ca="1">OFFSET(Baza!$BV13,0,E$2)</f>
        <v>1.0635760830000001</v>
      </c>
      <c r="F15">
        <f ca="1">OFFSET(Baza!$BV13,0,F$2)</f>
        <v>2.933011789</v>
      </c>
      <c r="G15">
        <f ca="1">OFFSET(Baza!$BV13,0,G$2)</f>
        <v>0.47274356540000001</v>
      </c>
      <c r="H15">
        <f ca="1">OFFSET(Baza!$BV13,0,H$2)</f>
        <v>0.57342992640000001</v>
      </c>
      <c r="I15">
        <f ca="1">OFFSET(Baza!$BV13,0,I$2)</f>
        <v>3.7100076629999999E-2</v>
      </c>
      <c r="J15">
        <f ca="1">OFFSET(Baza!$BV13,0,J$2)</f>
        <v>2.5411776210000001</v>
      </c>
      <c r="K15">
        <f ca="1">OFFSET(Baza!$BV13,0,K$2)</f>
        <v>0.30988825640000001</v>
      </c>
      <c r="L15">
        <f ca="1">OFFSET(Baza!$BV13,0,L$2)</f>
        <v>2.5515435750000002</v>
      </c>
      <c r="M15">
        <f ca="1">OFFSET(Baza!$BV13,0,M$2)</f>
        <v>25.170981319999999</v>
      </c>
      <c r="N15">
        <f ca="1">OFFSET(Baza!$BV13,0,N$2)</f>
        <v>1.032577018</v>
      </c>
      <c r="O15">
        <f ca="1">OFFSET(Baza!$BV13,0,O$2)</f>
        <v>36.003183730000003</v>
      </c>
    </row>
    <row r="16" spans="1:16" x14ac:dyDescent="0.2">
      <c r="A16" s="1" t="s">
        <v>254</v>
      </c>
      <c r="B16">
        <f>Baza!BV14</f>
        <v>1.3429557830000001</v>
      </c>
      <c r="C16">
        <f ca="1">OFFSET(Baza!$BV14,0,C$2)</f>
        <v>1.112717175</v>
      </c>
      <c r="D16">
        <f ca="1">OFFSET(Baza!$BV14,0,D$2)</f>
        <v>2.4556729580000001</v>
      </c>
      <c r="E16">
        <f ca="1">OFFSET(Baza!$BV14,0,E$2)</f>
        <v>1.3664631599999999</v>
      </c>
      <c r="F16">
        <f ca="1">OFFSET(Baza!$BV14,0,F$2)</f>
        <v>2.4556729580000001</v>
      </c>
      <c r="G16">
        <f ca="1">OFFSET(Baza!$BV14,0,G$2)</f>
        <v>0.43883323390000001</v>
      </c>
      <c r="H16">
        <f ca="1">OFFSET(Baza!$BV14,0,H$2)</f>
        <v>0.53178703439999997</v>
      </c>
      <c r="I16">
        <f ca="1">OFFSET(Baza!$BV14,0,I$2)</f>
        <v>0.33597477469999998</v>
      </c>
      <c r="J16">
        <f ca="1">OFFSET(Baza!$BV14,0,J$2)</f>
        <v>2.591432653</v>
      </c>
      <c r="K16">
        <f ca="1">OFFSET(Baza!$BV14,0,K$2)</f>
        <v>1.18019601</v>
      </c>
      <c r="L16">
        <f ca="1">OFFSET(Baza!$BV14,0,L$2)</f>
        <v>0.62354570919999996</v>
      </c>
      <c r="M16">
        <f ca="1">OFFSET(Baza!$BV14,0,M$2)</f>
        <v>28.66098092</v>
      </c>
      <c r="N16">
        <f ca="1">OFFSET(Baza!$BV14,0,N$2)</f>
        <v>0.96109305950000001</v>
      </c>
      <c r="O16">
        <f ca="1">OFFSET(Baza!$BV14,0,O$2)</f>
        <v>9.7943361489999994</v>
      </c>
    </row>
    <row r="17" spans="1:15" x14ac:dyDescent="0.2">
      <c r="A17" s="1" t="s">
        <v>255</v>
      </c>
      <c r="B17">
        <f>Baza!BV15</f>
        <v>1.527755089</v>
      </c>
      <c r="C17">
        <f ca="1">OFFSET(Baza!$BV15,0,C$2)</f>
        <v>1.2733402899999999</v>
      </c>
      <c r="D17">
        <f ca="1">OFFSET(Baza!$BV15,0,D$2)</f>
        <v>2.8010953789999999</v>
      </c>
      <c r="E17">
        <f ca="1">OFFSET(Baza!$BV15,0,E$2)</f>
        <v>0.83093818389999996</v>
      </c>
      <c r="F17">
        <f ca="1">OFFSET(Baza!$BV15,0,F$2)</f>
        <v>2.8010953789999999</v>
      </c>
      <c r="G17">
        <f ca="1">OFFSET(Baza!$BV15,0,G$2)</f>
        <v>0.46545502059999999</v>
      </c>
      <c r="H17">
        <f ca="1">OFFSET(Baza!$BV15,0,H$2)</f>
        <v>0.56853263610000004</v>
      </c>
      <c r="I17">
        <f ca="1">OFFSET(Baza!$BV15,0,I$2)</f>
        <v>0.30867841769999999</v>
      </c>
      <c r="J17">
        <f ca="1">OFFSET(Baza!$BV15,0,J$2)</f>
        <v>2.673076322</v>
      </c>
      <c r="K17">
        <f ca="1">OFFSET(Baza!$BV15,0,K$2)</f>
        <v>0.32735054530000002</v>
      </c>
      <c r="L17">
        <f ca="1">OFFSET(Baza!$BV15,0,L$2)</f>
        <v>2.1188997039999999</v>
      </c>
      <c r="M17">
        <f ca="1">OFFSET(Baza!$BV15,0,M$2)</f>
        <v>21.395343109999999</v>
      </c>
      <c r="N17">
        <f ca="1">OFFSET(Baza!$BV15,0,N$2)</f>
        <v>1.008097657</v>
      </c>
      <c r="O17">
        <f ca="1">OFFSET(Baza!$BV15,0,O$2)</f>
        <v>35.525805179999999</v>
      </c>
    </row>
    <row r="18" spans="1:15" x14ac:dyDescent="0.2">
      <c r="A18" s="1" t="s">
        <v>256</v>
      </c>
      <c r="B18">
        <f>Baza!BV16</f>
        <v>1.368279539</v>
      </c>
      <c r="C18">
        <f ca="1">OFFSET(Baza!$BV16,0,C$2)</f>
        <v>1.132639135</v>
      </c>
      <c r="D18">
        <f ca="1">OFFSET(Baza!$BV16,0,D$2)</f>
        <v>2.5009186739999998</v>
      </c>
      <c r="E18">
        <f ca="1">OFFSET(Baza!$BV16,0,E$2)</f>
        <v>1.423102597</v>
      </c>
      <c r="F18">
        <f ca="1">OFFSET(Baza!$BV16,0,F$2)</f>
        <v>2.5009186739999998</v>
      </c>
      <c r="G18">
        <f ca="1">OFFSET(Baza!$BV16,0,G$2)</f>
        <v>0.44167183529999998</v>
      </c>
      <c r="H18">
        <f ca="1">OFFSET(Baza!$BV16,0,H$2)</f>
        <v>0.5374731787</v>
      </c>
      <c r="I18">
        <f ca="1">OFFSET(Baza!$BV16,0,I$2)</f>
        <v>0.3232643456</v>
      </c>
      <c r="J18">
        <f ca="1">OFFSET(Baza!$BV16,0,J$2)</f>
        <v>2.6313391249999998</v>
      </c>
      <c r="K18">
        <f ca="1">OFFSET(Baza!$BV16,0,K$2)</f>
        <v>1.247034408</v>
      </c>
      <c r="L18">
        <f ca="1">OFFSET(Baza!$BV16,0,L$2)</f>
        <v>0.56061569200000005</v>
      </c>
      <c r="M18">
        <f ca="1">OFFSET(Baza!$BV16,0,M$2)</f>
        <v>27.53574927</v>
      </c>
      <c r="N18">
        <f ca="1">OFFSET(Baza!$BV16,0,N$2)</f>
        <v>0.96051467020000003</v>
      </c>
      <c r="O18">
        <f ca="1">OFFSET(Baza!$BV16,0,O$2)</f>
        <v>9.1797635700000004</v>
      </c>
    </row>
    <row r="19" spans="1:15" x14ac:dyDescent="0.2">
      <c r="A1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9"/>
  <sheetViews>
    <sheetView topLeftCell="O1" workbookViewId="0">
      <selection activeCell="U18" sqref="U18"/>
    </sheetView>
  </sheetViews>
  <sheetFormatPr baseColWidth="10" defaultColWidth="8.83203125" defaultRowHeight="15" x14ac:dyDescent="0.2"/>
  <cols>
    <col min="2" max="4" width="12" bestFit="1" customWidth="1"/>
    <col min="5" max="5" width="43.6640625" bestFit="1" customWidth="1"/>
    <col min="6" max="8" width="12" bestFit="1" customWidth="1"/>
    <col min="9" max="9" width="12.6640625" bestFit="1" customWidth="1"/>
    <col min="10" max="10" width="12" bestFit="1" customWidth="1"/>
    <col min="11" max="11" width="45.33203125" bestFit="1" customWidth="1"/>
    <col min="12" max="12" width="12" bestFit="1" customWidth="1"/>
    <col min="13" max="13" width="48.5" bestFit="1" customWidth="1"/>
    <col min="14" max="14" width="26.6640625" bestFit="1" customWidth="1"/>
    <col min="15" max="15" width="44.6640625" bestFit="1" customWidth="1"/>
    <col min="16" max="16" width="12" bestFit="1" customWidth="1"/>
    <col min="17" max="17" width="48.6640625" bestFit="1" customWidth="1"/>
    <col min="18" max="18" width="26.83203125" bestFit="1" customWidth="1"/>
    <col min="19" max="19" width="52.6640625" bestFit="1" customWidth="1"/>
    <col min="20" max="20" width="44.83203125" bestFit="1" customWidth="1"/>
    <col min="21" max="22" width="12" bestFit="1" customWidth="1"/>
  </cols>
  <sheetData>
    <row r="1" spans="1:23" x14ac:dyDescent="0.2">
      <c r="B1" t="str">
        <f>B4</f>
        <v>Rp[Średnia]</v>
      </c>
      <c r="C1" t="str">
        <f t="shared" ref="C1:T1" ca="1" si="0">C4</f>
        <v>Rv[Średnia]</v>
      </c>
      <c r="D1" t="str">
        <f t="shared" ca="1" si="0"/>
        <v>Rz[Średnia]</v>
      </c>
      <c r="E1" t="str">
        <f t="shared" ca="1" si="0"/>
        <v>Rc (Brak uśredniania (pojedyncza wartość))[Średnia]</v>
      </c>
      <c r="F1" t="str">
        <f t="shared" ca="1" si="0"/>
        <v>Rt[Średnia]</v>
      </c>
      <c r="G1" t="str">
        <f t="shared" ca="1" si="0"/>
        <v>Ra[Średnia]</v>
      </c>
      <c r="H1" t="str">
        <f t="shared" ca="1" si="0"/>
        <v>Rq[Średnia]</v>
      </c>
      <c r="I1" t="str">
        <f t="shared" ca="1" si="0"/>
        <v>Rsk[Średnia]</v>
      </c>
      <c r="J1" t="str">
        <f t="shared" ca="1" si="0"/>
        <v>Rku[Średnia]</v>
      </c>
      <c r="K1" t="str">
        <f t="shared" ca="1" si="0"/>
        <v>Rp1max[Średnia]</v>
      </c>
      <c r="L1" t="str">
        <f t="shared" ca="1" si="0"/>
        <v>Rv1max[Średnia]</v>
      </c>
      <c r="M1" t="str">
        <f t="shared" ca="1" si="0"/>
        <v>Rz1max[Średnia]</v>
      </c>
      <c r="N1" t="str">
        <f t="shared" ca="1" si="0"/>
        <v>Rz(n) (Wskaźnik λc = 1)[Średnia]</v>
      </c>
      <c r="O1" t="str">
        <f t="shared" ca="1" si="0"/>
        <v>RSm (Brak uśredniania (pojedyncza wartość))[Średnia]</v>
      </c>
      <c r="P1" t="str">
        <f t="shared" ca="1" si="0"/>
        <v>Rdq[Średnia]</v>
      </c>
      <c r="Q1" t="str">
        <f t="shared" ca="1" si="0"/>
        <v>Rmr (c = 1 µm poniżej najwyższego wypiętrzenia)[Średnia]</v>
      </c>
      <c r="R1" t="str">
        <f t="shared" ca="1" si="0"/>
        <v>Rdc (p = 20%, q = 80%)[Średnia]</v>
      </c>
      <c r="S1" t="str">
        <f t="shared" ca="1" si="0"/>
        <v>Rmr (Rz/4) (c = Rz/4 µm powyżej płaszczyzny średniej)[Średnia]</v>
      </c>
      <c r="T1" t="str">
        <f t="shared" ca="1" si="0"/>
        <v>RPc (Brak uśredniania (pojedyncza wartość))[Średnia]</v>
      </c>
      <c r="U1" t="s">
        <v>273</v>
      </c>
    </row>
    <row r="2" spans="1:23" x14ac:dyDescent="0.2">
      <c r="B2" s="3" t="s">
        <v>257</v>
      </c>
      <c r="C2" s="3">
        <v>4</v>
      </c>
      <c r="D2" s="3">
        <f>C2+4</f>
        <v>8</v>
      </c>
      <c r="E2" s="3">
        <f t="shared" ref="E2:W2" si="1">D2+4</f>
        <v>12</v>
      </c>
      <c r="F2" s="3">
        <f t="shared" si="1"/>
        <v>16</v>
      </c>
      <c r="G2" s="3">
        <f t="shared" si="1"/>
        <v>20</v>
      </c>
      <c r="H2" s="3">
        <f t="shared" si="1"/>
        <v>24</v>
      </c>
      <c r="I2" s="3">
        <f t="shared" si="1"/>
        <v>28</v>
      </c>
      <c r="J2" s="3">
        <f t="shared" si="1"/>
        <v>32</v>
      </c>
      <c r="K2" s="3">
        <f t="shared" si="1"/>
        <v>36</v>
      </c>
      <c r="L2" s="3">
        <f t="shared" si="1"/>
        <v>40</v>
      </c>
      <c r="M2" s="3">
        <f t="shared" si="1"/>
        <v>44</v>
      </c>
      <c r="N2" s="3">
        <f t="shared" si="1"/>
        <v>48</v>
      </c>
      <c r="O2" s="3">
        <f t="shared" si="1"/>
        <v>52</v>
      </c>
      <c r="P2" s="3">
        <f t="shared" si="1"/>
        <v>56</v>
      </c>
      <c r="Q2" s="3">
        <f t="shared" si="1"/>
        <v>60</v>
      </c>
      <c r="R2" s="3">
        <f t="shared" si="1"/>
        <v>64</v>
      </c>
      <c r="S2" s="3">
        <f t="shared" si="1"/>
        <v>68</v>
      </c>
      <c r="T2" s="3">
        <f t="shared" si="1"/>
        <v>72</v>
      </c>
      <c r="U2" s="3">
        <f t="shared" si="1"/>
        <v>76</v>
      </c>
      <c r="V2" s="3">
        <f t="shared" si="1"/>
        <v>80</v>
      </c>
      <c r="W2" s="3">
        <f t="shared" si="1"/>
        <v>84</v>
      </c>
    </row>
    <row r="3" spans="1:23" x14ac:dyDescent="0.2">
      <c r="B3">
        <f>Baza!DZ1</f>
        <v>50</v>
      </c>
      <c r="C3">
        <f ca="1">OFFSET(Baza!$DZ1,0,C$2)</f>
        <v>50</v>
      </c>
      <c r="D3">
        <f ca="1">OFFSET(Baza!$DZ1,0,D$2)</f>
        <v>50</v>
      </c>
      <c r="E3">
        <f ca="1">OFFSET(Baza!$DZ1,0,E$2)</f>
        <v>50</v>
      </c>
      <c r="F3">
        <f ca="1">OFFSET(Baza!$DZ1,0,F$2)</f>
        <v>50</v>
      </c>
      <c r="G3">
        <f ca="1">OFFSET(Baza!$DZ1,0,G$2)</f>
        <v>50</v>
      </c>
      <c r="H3">
        <f ca="1">OFFSET(Baza!$DZ1,0,H$2)</f>
        <v>50</v>
      </c>
      <c r="I3">
        <f ca="1">OFFSET(Baza!$DZ1,0,I$2)</f>
        <v>50</v>
      </c>
      <c r="J3">
        <f ca="1">OFFSET(Baza!$DZ1,0,J$2)</f>
        <v>50</v>
      </c>
      <c r="K3">
        <f ca="1">OFFSET(Baza!$DZ1,0,K$2)</f>
        <v>50</v>
      </c>
      <c r="L3">
        <f ca="1">OFFSET(Baza!$DZ1,0,L$2)</f>
        <v>50</v>
      </c>
      <c r="M3">
        <f ca="1">OFFSET(Baza!$DZ1,0,M$2)</f>
        <v>50</v>
      </c>
      <c r="N3">
        <f ca="1">OFFSET(Baza!$DZ1,0,N$2)</f>
        <v>50</v>
      </c>
      <c r="O3">
        <f ca="1">OFFSET(Baza!$DZ1,0,O$2)</f>
        <v>50</v>
      </c>
      <c r="P3">
        <f ca="1">OFFSET(Baza!$DZ1,0,P$2)</f>
        <v>50</v>
      </c>
      <c r="Q3">
        <f ca="1">OFFSET(Baza!$DZ1,0,Q$2)</f>
        <v>50</v>
      </c>
      <c r="R3">
        <f ca="1">OFFSET(Baza!$DZ1,0,R$2)</f>
        <v>50</v>
      </c>
      <c r="S3">
        <f ca="1">OFFSET(Baza!$DZ1,0,S$2)</f>
        <v>50</v>
      </c>
      <c r="T3">
        <f ca="1">OFFSET(Baza!$DZ1,0,T$2)</f>
        <v>50</v>
      </c>
    </row>
    <row r="4" spans="1:23" x14ac:dyDescent="0.2">
      <c r="B4" t="str">
        <f>Baza!DZ2</f>
        <v>Rp[Średnia]</v>
      </c>
      <c r="C4" t="str">
        <f ca="1">OFFSET(Baza!$DZ2,0,C$2)</f>
        <v>Rv[Średnia]</v>
      </c>
      <c r="D4" t="str">
        <f ca="1">OFFSET(Baza!$DZ2,0,D$2)</f>
        <v>Rz[Średnia]</v>
      </c>
      <c r="E4" t="str">
        <f ca="1">OFFSET(Baza!$DZ2,0,E$2)</f>
        <v>Rc (Brak uśredniania (pojedyncza wartość))[Średnia]</v>
      </c>
      <c r="F4" t="str">
        <f ca="1">OFFSET(Baza!$DZ2,0,F$2)</f>
        <v>Rt[Średnia]</v>
      </c>
      <c r="G4" t="str">
        <f ca="1">OFFSET(Baza!$DZ2,0,G$2)</f>
        <v>Ra[Średnia]</v>
      </c>
      <c r="H4" t="str">
        <f ca="1">OFFSET(Baza!$DZ2,0,H$2)</f>
        <v>Rq[Średnia]</v>
      </c>
      <c r="I4" t="str">
        <f ca="1">OFFSET(Baza!$DZ2,0,I$2)</f>
        <v>Rsk[Średnia]</v>
      </c>
      <c r="J4" t="str">
        <f ca="1">OFFSET(Baza!$DZ2,0,J$2)</f>
        <v>Rku[Średnia]</v>
      </c>
      <c r="K4" t="str">
        <f ca="1">OFFSET(Baza!$DZ2,0,K$2)</f>
        <v>Rp1max[Średnia]</v>
      </c>
      <c r="L4" t="str">
        <f ca="1">OFFSET(Baza!$DZ2,0,L$2)</f>
        <v>Rv1max[Średnia]</v>
      </c>
      <c r="M4" t="str">
        <f ca="1">OFFSET(Baza!$DZ2,0,M$2)</f>
        <v>Rz1max[Średnia]</v>
      </c>
      <c r="N4" t="str">
        <f ca="1">OFFSET(Baza!$DZ2,0,N$2)</f>
        <v>Rz(n) (Wskaźnik λc = 1)[Średnia]</v>
      </c>
      <c r="O4" t="str">
        <f ca="1">OFFSET(Baza!$DZ2,0,O$2)</f>
        <v>RSm (Brak uśredniania (pojedyncza wartość))[Średnia]</v>
      </c>
      <c r="P4" t="str">
        <f ca="1">OFFSET(Baza!$DZ2,0,P$2)</f>
        <v>Rdq[Średnia]</v>
      </c>
      <c r="Q4" t="str">
        <f ca="1">OFFSET(Baza!$DZ2,0,Q$2)</f>
        <v>Rmr (c = 1 µm poniżej najwyższego wypiętrzenia)[Średnia]</v>
      </c>
      <c r="R4" t="str">
        <f ca="1">OFFSET(Baza!$DZ2,0,R$2)</f>
        <v>Rdc (p = 20%, q = 80%)[Średnia]</v>
      </c>
      <c r="S4" t="str">
        <f ca="1">OFFSET(Baza!$DZ2,0,S$2)</f>
        <v>Rmr (Rz/4) (c = Rz/4 µm powyżej płaszczyzny średniej)[Średnia]</v>
      </c>
      <c r="T4" t="str">
        <f ca="1">OFFSET(Baza!$DZ2,0,T$2)</f>
        <v>RPc (Brak uśredniania (pojedyncza wartość))[Średnia]</v>
      </c>
    </row>
    <row r="5" spans="1:23" x14ac:dyDescent="0.2">
      <c r="B5" t="str">
        <f>Baza!DZ3</f>
        <v>µm</v>
      </c>
      <c r="C5" t="str">
        <f ca="1">OFFSET(Baza!$DZ3,0,C$2)</f>
        <v>µm</v>
      </c>
      <c r="D5" t="str">
        <f ca="1">OFFSET(Baza!$DZ3,0,D$2)</f>
        <v>µm</v>
      </c>
      <c r="E5" t="str">
        <f ca="1">OFFSET(Baza!$DZ3,0,E$2)</f>
        <v>µm</v>
      </c>
      <c r="F5" t="str">
        <f ca="1">OFFSET(Baza!$DZ3,0,F$2)</f>
        <v>µm</v>
      </c>
      <c r="G5" t="str">
        <f ca="1">OFFSET(Baza!$DZ3,0,G$2)</f>
        <v>µm</v>
      </c>
      <c r="H5" t="str">
        <f ca="1">OFFSET(Baza!$DZ3,0,H$2)</f>
        <v>µm</v>
      </c>
      <c r="I5" t="str">
        <f ca="1">OFFSET(Baza!$DZ3,0,I$2)</f>
        <v>&lt;no unit&gt;</v>
      </c>
      <c r="J5" t="str">
        <f ca="1">OFFSET(Baza!$DZ3,0,J$2)</f>
        <v>&lt;no unit&gt;</v>
      </c>
      <c r="K5" t="str">
        <f ca="1">OFFSET(Baza!$DZ3,0,K$2)</f>
        <v>µm</v>
      </c>
      <c r="L5" t="str">
        <f ca="1">OFFSET(Baza!$DZ3,0,L$2)</f>
        <v>µm</v>
      </c>
      <c r="M5" t="str">
        <f ca="1">OFFSET(Baza!$DZ3,0,M$2)</f>
        <v>µm</v>
      </c>
      <c r="N5" t="str">
        <f ca="1">OFFSET(Baza!$DZ3,0,N$2)</f>
        <v>µm</v>
      </c>
      <c r="O5" t="str">
        <f ca="1">OFFSET(Baza!$DZ3,0,O$2)</f>
        <v>mm</v>
      </c>
      <c r="P5" t="str">
        <f ca="1">OFFSET(Baza!$DZ3,0,P$2)</f>
        <v>°</v>
      </c>
      <c r="Q5" t="str">
        <f ca="1">OFFSET(Baza!$DZ3,0,Q$2)</f>
        <v>%</v>
      </c>
      <c r="R5" t="str">
        <f ca="1">OFFSET(Baza!$DZ3,0,R$2)</f>
        <v>µm</v>
      </c>
      <c r="S5" t="str">
        <f ca="1">OFFSET(Baza!$DZ3,0,S$2)</f>
        <v>%</v>
      </c>
      <c r="T5" t="str">
        <f ca="1">OFFSET(Baza!$DZ3,0,T$2)</f>
        <v>1/cm</v>
      </c>
    </row>
    <row r="6" spans="1:23" x14ac:dyDescent="0.2">
      <c r="A6" s="1" t="s">
        <v>244</v>
      </c>
      <c r="B6">
        <f>Baza!DZ4</f>
        <v>0.67739436539999998</v>
      </c>
      <c r="C6">
        <f ca="1">OFFSET(Baza!$DZ4,0,C$2)</f>
        <v>0.55734308050000003</v>
      </c>
      <c r="D6">
        <f ca="1">OFFSET(Baza!$DZ4,0,D$2)</f>
        <v>1.234737446</v>
      </c>
      <c r="E6">
        <f ca="1">OFFSET(Baza!$DZ4,0,E$2)</f>
        <v>0.48317226749999997</v>
      </c>
      <c r="F6">
        <f ca="1">OFFSET(Baza!$DZ4,0,F$2)</f>
        <v>2.1949251529999998</v>
      </c>
      <c r="G6">
        <f ca="1">OFFSET(Baza!$DZ4,0,G$2)</f>
        <v>0.16989926050000001</v>
      </c>
      <c r="H6">
        <f ca="1">OFFSET(Baza!$DZ4,0,H$2)</f>
        <v>0.2209969806</v>
      </c>
      <c r="I6">
        <f ca="1">OFFSET(Baza!$DZ4,0,I$2)</f>
        <v>0.25894461839999999</v>
      </c>
      <c r="J6">
        <f ca="1">OFFSET(Baza!$DZ4,0,J$2)</f>
        <v>3.8365537770000002</v>
      </c>
      <c r="K6">
        <f ca="1">OFFSET(Baza!$DZ4,0,K$2)</f>
        <v>1.247356159</v>
      </c>
      <c r="L6">
        <f ca="1">OFFSET(Baza!$DZ4,0,L$2)</f>
        <v>0.94671520379999996</v>
      </c>
      <c r="M6">
        <f ca="1">OFFSET(Baza!$DZ4,0,M$2)</f>
        <v>2.0735530369999999</v>
      </c>
      <c r="N6">
        <f ca="1">OFFSET(Baza!$DZ4,0,N$2)</f>
        <v>1.4309839790000001</v>
      </c>
      <c r="O6">
        <f ca="1">OFFSET(Baza!$DZ4,0,O$2)</f>
        <v>8.5865485709999995E-2</v>
      </c>
      <c r="P6">
        <f ca="1">OFFSET(Baza!$DZ4,0,P$2)</f>
        <v>1.6241258169999999</v>
      </c>
      <c r="Q6">
        <f ca="1">OFFSET(Baza!$DZ4,0,Q$2)</f>
        <v>40.326176140000001</v>
      </c>
      <c r="R6">
        <f ca="1">OFFSET(Baza!$DZ4,0,R$2)</f>
        <v>0.32487558630000002</v>
      </c>
      <c r="S6">
        <f ca="1">OFFSET(Baza!$DZ4,0,S$2)</f>
        <v>8.2739536769999997</v>
      </c>
      <c r="T6">
        <f ca="1">OFFSET(Baza!$DZ4,0,T$2)</f>
        <v>121.74576709999999</v>
      </c>
      <c r="U6" s="6">
        <f ca="1">B6/C6</f>
        <v>1.2153992560422573</v>
      </c>
    </row>
    <row r="7" spans="1:23" x14ac:dyDescent="0.2">
      <c r="A7" s="1" t="s">
        <v>245</v>
      </c>
      <c r="B7">
        <f>Baza!DZ5</f>
        <v>0.73958681520000003</v>
      </c>
      <c r="C7">
        <f ca="1">OFFSET(Baza!$DZ5,0,C$2)</f>
        <v>0.68225079529999999</v>
      </c>
      <c r="D7">
        <f ca="1">OFFSET(Baza!$DZ5,0,D$2)</f>
        <v>1.4218376109999999</v>
      </c>
      <c r="E7">
        <f ca="1">OFFSET(Baza!$DZ5,0,E$2)</f>
        <v>0.63822742399999999</v>
      </c>
      <c r="F7">
        <f ca="1">OFFSET(Baza!$DZ5,0,F$2)</f>
        <v>2.5271851789999999</v>
      </c>
      <c r="G7">
        <f ca="1">OFFSET(Baza!$DZ5,0,G$2)</f>
        <v>0.2081970937</v>
      </c>
      <c r="H7">
        <f ca="1">OFFSET(Baza!$DZ5,0,H$2)</f>
        <v>0.2690134233</v>
      </c>
      <c r="I7">
        <f ca="1">OFFSET(Baza!$DZ5,0,I$2)</f>
        <v>0.1362143435</v>
      </c>
      <c r="J7">
        <f ca="1">OFFSET(Baza!$DZ5,0,J$2)</f>
        <v>3.6461860829999999</v>
      </c>
      <c r="K7">
        <f ca="1">OFFSET(Baza!$DZ5,0,K$2)</f>
        <v>1.358067812</v>
      </c>
      <c r="L7">
        <f ca="1">OFFSET(Baza!$DZ5,0,L$2)</f>
        <v>1.168810546</v>
      </c>
      <c r="M7">
        <f ca="1">OFFSET(Baza!$DZ5,0,M$2)</f>
        <v>2.379879147</v>
      </c>
      <c r="N7">
        <f ca="1">OFFSET(Baza!$DZ5,0,N$2)</f>
        <v>1.6138414050000001</v>
      </c>
      <c r="O7">
        <f ca="1">OFFSET(Baza!$DZ5,0,O$2)</f>
        <v>0.1211286892</v>
      </c>
      <c r="P7">
        <f ca="1">OFFSET(Baza!$DZ5,0,P$2)</f>
        <v>1.513749786</v>
      </c>
      <c r="Q7">
        <f ca="1">OFFSET(Baza!$DZ5,0,Q$2)</f>
        <v>31.376443429999998</v>
      </c>
      <c r="R7">
        <f ca="1">OFFSET(Baza!$DZ5,0,R$2)</f>
        <v>0.39738186539999998</v>
      </c>
      <c r="S7">
        <f ca="1">OFFSET(Baza!$DZ5,0,S$2)</f>
        <v>9.008712053</v>
      </c>
      <c r="T7">
        <f ca="1">OFFSET(Baza!$DZ5,0,T$2)</f>
        <v>85.145209370000003</v>
      </c>
      <c r="U7" s="6">
        <f t="shared" ref="U7:U18" ca="1" si="2">B7/C7</f>
        <v>1.0840395061390704</v>
      </c>
    </row>
    <row r="8" spans="1:23" x14ac:dyDescent="0.2">
      <c r="A8" s="1" t="s">
        <v>246</v>
      </c>
      <c r="B8">
        <f>Baza!DZ6</f>
        <v>0.79752964820000005</v>
      </c>
      <c r="C8">
        <f ca="1">OFFSET(Baza!$DZ6,0,C$2)</f>
        <v>0.75266295480000001</v>
      </c>
      <c r="D8">
        <f ca="1">OFFSET(Baza!$DZ6,0,D$2)</f>
        <v>1.5501926029999999</v>
      </c>
      <c r="E8">
        <f ca="1">OFFSET(Baza!$DZ6,0,E$2)</f>
        <v>0.71675829879999997</v>
      </c>
      <c r="F8">
        <f ca="1">OFFSET(Baza!$DZ6,0,F$2)</f>
        <v>2.797591116</v>
      </c>
      <c r="G8">
        <f ca="1">OFFSET(Baza!$DZ6,0,G$2)</f>
        <v>0.2323843994</v>
      </c>
      <c r="H8">
        <f ca="1">OFFSET(Baza!$DZ6,0,H$2)</f>
        <v>0.29872029729999999</v>
      </c>
      <c r="I8">
        <f ca="1">OFFSET(Baza!$DZ6,0,I$2)</f>
        <v>0.1104746595</v>
      </c>
      <c r="J8">
        <f ca="1">OFFSET(Baza!$DZ6,0,J$2)</f>
        <v>3.597050104</v>
      </c>
      <c r="K8">
        <f ca="1">OFFSET(Baza!$DZ6,0,K$2)</f>
        <v>1.465612573</v>
      </c>
      <c r="L8">
        <f ca="1">OFFSET(Baza!$DZ6,0,L$2)</f>
        <v>1.331105406</v>
      </c>
      <c r="M8">
        <f ca="1">OFFSET(Baza!$DZ6,0,M$2)</f>
        <v>2.6398021630000001</v>
      </c>
      <c r="N8">
        <f ca="1">OFFSET(Baza!$DZ6,0,N$2)</f>
        <v>1.7738942630000001</v>
      </c>
      <c r="O8">
        <f ca="1">OFFSET(Baza!$DZ6,0,O$2)</f>
        <v>0.1339722203</v>
      </c>
      <c r="P8">
        <f ca="1">OFFSET(Baza!$DZ6,0,P$2)</f>
        <v>1.5916137349999999</v>
      </c>
      <c r="Q8">
        <f ca="1">OFFSET(Baza!$DZ6,0,Q$2)</f>
        <v>24.916117440000001</v>
      </c>
      <c r="R8">
        <f ca="1">OFFSET(Baza!$DZ6,0,R$2)</f>
        <v>0.44229775059999998</v>
      </c>
      <c r="S8">
        <f ca="1">OFFSET(Baza!$DZ6,0,S$2)</f>
        <v>9.3482903729999993</v>
      </c>
      <c r="T8">
        <f ca="1">OFFSET(Baza!$DZ6,0,T$2)</f>
        <v>78.708312680000006</v>
      </c>
      <c r="U8" s="6">
        <f t="shared" ca="1" si="2"/>
        <v>1.0596106040743325</v>
      </c>
    </row>
    <row r="9" spans="1:23" x14ac:dyDescent="0.2">
      <c r="A9" s="1" t="s">
        <v>247</v>
      </c>
      <c r="B9">
        <f>Baza!DZ7</f>
        <v>0.86111811220000001</v>
      </c>
      <c r="C9">
        <f ca="1">OFFSET(Baza!$DZ7,0,C$2)</f>
        <v>0.74730960209999997</v>
      </c>
      <c r="D9">
        <f ca="1">OFFSET(Baza!$DZ7,0,D$2)</f>
        <v>1.6084277140000001</v>
      </c>
      <c r="E9">
        <f ca="1">OFFSET(Baza!$DZ7,0,E$2)</f>
        <v>0.62774987199999999</v>
      </c>
      <c r="F9">
        <f ca="1">OFFSET(Baza!$DZ7,0,F$2)</f>
        <v>2.8629236320000002</v>
      </c>
      <c r="G9">
        <f ca="1">OFFSET(Baza!$DZ7,0,G$2)</f>
        <v>0.20820954329999999</v>
      </c>
      <c r="H9">
        <f ca="1">OFFSET(Baza!$DZ7,0,H$2)</f>
        <v>0.27307667749999998</v>
      </c>
      <c r="I9">
        <f ca="1">OFFSET(Baza!$DZ7,0,I$2)</f>
        <v>0.19532858559999999</v>
      </c>
      <c r="J9">
        <f ca="1">OFFSET(Baza!$DZ7,0,J$2)</f>
        <v>4.0262870939999997</v>
      </c>
      <c r="K9">
        <f ca="1">OFFSET(Baza!$DZ7,0,K$2)</f>
        <v>1.611818623</v>
      </c>
      <c r="L9">
        <f ca="1">OFFSET(Baza!$DZ7,0,L$2)</f>
        <v>1.25092085</v>
      </c>
      <c r="M9">
        <f ca="1">OFFSET(Baza!$DZ7,0,M$2)</f>
        <v>2.7144715260000001</v>
      </c>
      <c r="N9">
        <f ca="1">OFFSET(Baza!$DZ7,0,N$2)</f>
        <v>1.8455827890000001</v>
      </c>
      <c r="O9">
        <f ca="1">OFFSET(Baza!$DZ7,0,O$2)</f>
        <v>7.8368751289999997E-2</v>
      </c>
      <c r="P9">
        <f ca="1">OFFSET(Baza!$DZ7,0,P$2)</f>
        <v>2.3161636030000001</v>
      </c>
      <c r="Q9">
        <f ca="1">OFFSET(Baza!$DZ7,0,Q$2)</f>
        <v>18.760290999999999</v>
      </c>
      <c r="R9">
        <f ca="1">OFFSET(Baza!$DZ7,0,R$2)</f>
        <v>0.39410638980000001</v>
      </c>
      <c r="S9">
        <f ca="1">OFFSET(Baza!$DZ7,0,S$2)</f>
        <v>7.2662447029999999</v>
      </c>
      <c r="T9">
        <f ca="1">OFFSET(Baza!$DZ7,0,T$2)</f>
        <v>132.15590270000001</v>
      </c>
      <c r="U9" s="6">
        <f t="shared" ca="1" si="2"/>
        <v>1.1522909779028518</v>
      </c>
    </row>
    <row r="10" spans="1:23" x14ac:dyDescent="0.2">
      <c r="A10" s="1" t="s">
        <v>248</v>
      </c>
      <c r="B10">
        <f>Baza!DZ8</f>
        <v>0.91035985829999999</v>
      </c>
      <c r="C10">
        <f ca="1">OFFSET(Baza!$DZ8,0,C$2)</f>
        <v>0.89530767099999997</v>
      </c>
      <c r="D10">
        <f ca="1">OFFSET(Baza!$DZ8,0,D$2)</f>
        <v>1.8056675289999999</v>
      </c>
      <c r="E10">
        <f ca="1">OFFSET(Baza!$DZ8,0,E$2)</f>
        <v>0.80227740329999997</v>
      </c>
      <c r="F10">
        <f ca="1">OFFSET(Baza!$DZ8,0,F$2)</f>
        <v>3.0835648419999999</v>
      </c>
      <c r="G10">
        <f ca="1">OFFSET(Baza!$DZ8,0,G$2)</f>
        <v>0.25172520590000003</v>
      </c>
      <c r="H10">
        <f ca="1">OFFSET(Baza!$DZ8,0,H$2)</f>
        <v>0.32637455780000002</v>
      </c>
      <c r="I10">
        <f ca="1">OFFSET(Baza!$DZ8,0,I$2)</f>
        <v>5.7472861399999998E-2</v>
      </c>
      <c r="J10">
        <f ca="1">OFFSET(Baza!$DZ8,0,J$2)</f>
        <v>3.721671572</v>
      </c>
      <c r="K10">
        <f ca="1">OFFSET(Baza!$DZ8,0,K$2)</f>
        <v>1.5924129060000001</v>
      </c>
      <c r="L10">
        <f ca="1">OFFSET(Baza!$DZ8,0,L$2)</f>
        <v>1.4900316250000001</v>
      </c>
      <c r="M10">
        <f ca="1">OFFSET(Baza!$DZ8,0,M$2)</f>
        <v>2.9270091630000001</v>
      </c>
      <c r="N10">
        <f ca="1">OFFSET(Baza!$DZ8,0,N$2)</f>
        <v>2.0120341740000001</v>
      </c>
      <c r="O10">
        <f ca="1">OFFSET(Baza!$DZ8,0,O$2)</f>
        <v>0.1028606836</v>
      </c>
      <c r="P10">
        <f ca="1">OFFSET(Baza!$DZ8,0,P$2)</f>
        <v>2.1905333090000001</v>
      </c>
      <c r="Q10">
        <f ca="1">OFFSET(Baza!$DZ8,0,Q$2)</f>
        <v>18.833595280000001</v>
      </c>
      <c r="R10">
        <f ca="1">OFFSET(Baza!$DZ8,0,R$2)</f>
        <v>0.483051489</v>
      </c>
      <c r="S10">
        <f ca="1">OFFSET(Baza!$DZ8,0,S$2)</f>
        <v>8.1387000280000006</v>
      </c>
      <c r="T10">
        <f ca="1">OFFSET(Baza!$DZ8,0,T$2)</f>
        <v>99.481752090000001</v>
      </c>
      <c r="U10" s="6">
        <f t="shared" ca="1" si="2"/>
        <v>1.0168123068611572</v>
      </c>
    </row>
    <row r="11" spans="1:23" x14ac:dyDescent="0.2">
      <c r="A11" s="1" t="s">
        <v>249</v>
      </c>
      <c r="B11">
        <f>Baza!DZ9</f>
        <v>0.97130235200000004</v>
      </c>
      <c r="C11">
        <f ca="1">OFFSET(Baza!$DZ9,0,C$2)</f>
        <v>0.99235169840000004</v>
      </c>
      <c r="D11">
        <f ca="1">OFFSET(Baza!$DZ9,0,D$2)</f>
        <v>1.9636540499999999</v>
      </c>
      <c r="E11">
        <f ca="1">OFFSET(Baza!$DZ9,0,E$2)</f>
        <v>0.8969991651</v>
      </c>
      <c r="F11">
        <f ca="1">OFFSET(Baza!$DZ9,0,F$2)</f>
        <v>3.4738165529999998</v>
      </c>
      <c r="G11">
        <f ca="1">OFFSET(Baza!$DZ9,0,G$2)</f>
        <v>0.27420005809999998</v>
      </c>
      <c r="H11">
        <f ca="1">OFFSET(Baza!$DZ9,0,H$2)</f>
        <v>0.35571400920000001</v>
      </c>
      <c r="I11">
        <f ca="1">OFFSET(Baza!$DZ9,0,I$2)</f>
        <v>3.7556985309999999E-2</v>
      </c>
      <c r="J11">
        <f ca="1">OFFSET(Baza!$DZ9,0,J$2)</f>
        <v>3.8469544199999999</v>
      </c>
      <c r="K11">
        <f ca="1">OFFSET(Baza!$DZ9,0,K$2)</f>
        <v>1.7343511599999999</v>
      </c>
      <c r="L11">
        <f ca="1">OFFSET(Baza!$DZ9,0,L$2)</f>
        <v>1.7386988029999999</v>
      </c>
      <c r="M11">
        <f ca="1">OFFSET(Baza!$DZ9,0,M$2)</f>
        <v>3.2852603579999999</v>
      </c>
      <c r="N11">
        <f ca="1">OFFSET(Baza!$DZ9,0,N$2)</f>
        <v>2.259978684</v>
      </c>
      <c r="O11">
        <f ca="1">OFFSET(Baza!$DZ9,0,O$2)</f>
        <v>0.11611222440000001</v>
      </c>
      <c r="P11">
        <f ca="1">OFFSET(Baza!$DZ9,0,P$2)</f>
        <v>2.2799003240000002</v>
      </c>
      <c r="Q11">
        <f ca="1">OFFSET(Baza!$DZ9,0,Q$2)</f>
        <v>13.74582792</v>
      </c>
      <c r="R11">
        <f ca="1">OFFSET(Baza!$DZ9,0,R$2)</f>
        <v>0.52259754680000003</v>
      </c>
      <c r="S11">
        <f ca="1">OFFSET(Baza!$DZ9,0,S$2)</f>
        <v>8.3089935300000004</v>
      </c>
      <c r="T11">
        <f ca="1">OFFSET(Baza!$DZ9,0,T$2)</f>
        <v>89.045795889999994</v>
      </c>
      <c r="U11" s="6">
        <f t="shared" ca="1" si="2"/>
        <v>0.97878842104675334</v>
      </c>
    </row>
    <row r="12" spans="1:23" x14ac:dyDescent="0.2">
      <c r="A12" s="1" t="s">
        <v>250</v>
      </c>
      <c r="B12">
        <f>Baza!DZ10</f>
        <v>0.85697686360000003</v>
      </c>
      <c r="C12">
        <f ca="1">OFFSET(Baza!$DZ10,0,C$2)</f>
        <v>0.94981180180000002</v>
      </c>
      <c r="D12">
        <f ca="1">OFFSET(Baza!$DZ10,0,D$2)</f>
        <v>1.806788665</v>
      </c>
      <c r="E12">
        <f ca="1">OFFSET(Baza!$DZ10,0,E$2)</f>
        <v>0.75110112709999999</v>
      </c>
      <c r="F12">
        <f ca="1">OFFSET(Baza!$DZ10,0,F$2)</f>
        <v>2.8347463049999999</v>
      </c>
      <c r="G12">
        <f ca="1">OFFSET(Baza!$DZ10,0,G$2)</f>
        <v>0.27644533510000002</v>
      </c>
      <c r="H12">
        <f ca="1">OFFSET(Baza!$DZ10,0,H$2)</f>
        <v>0.35283358079999999</v>
      </c>
      <c r="I12">
        <f ca="1">OFFSET(Baza!$DZ10,0,I$2)</f>
        <v>-0.12881546299999999</v>
      </c>
      <c r="J12">
        <f ca="1">OFFSET(Baza!$DZ10,0,J$2)</f>
        <v>3.3341758650000002</v>
      </c>
      <c r="K12">
        <f ca="1">OFFSET(Baza!$DZ10,0,K$2)</f>
        <v>1.361369767</v>
      </c>
      <c r="L12">
        <f ca="1">OFFSET(Baza!$DZ10,0,L$2)</f>
        <v>1.4733765379999999</v>
      </c>
      <c r="M12">
        <f ca="1">OFFSET(Baza!$DZ10,0,M$2)</f>
        <v>2.654835684</v>
      </c>
      <c r="N12">
        <f ca="1">OFFSET(Baza!$DZ10,0,N$2)</f>
        <v>2.0980194320000001</v>
      </c>
      <c r="O12">
        <f ca="1">OFFSET(Baza!$DZ10,0,O$2)</f>
        <v>7.0976488259999998E-2</v>
      </c>
      <c r="P12">
        <f ca="1">OFFSET(Baza!$DZ10,0,P$2)</f>
        <v>2.1651172339999998</v>
      </c>
      <c r="Q12">
        <f ca="1">OFFSET(Baza!$DZ10,0,Q$2)</f>
        <v>27.158437110000001</v>
      </c>
      <c r="R12">
        <f ca="1">OFFSET(Baza!$DZ10,0,R$2)</f>
        <v>0.55077505550000005</v>
      </c>
      <c r="S12">
        <f ca="1">OFFSET(Baza!$DZ10,0,S$2)</f>
        <v>9.1805544549999993</v>
      </c>
      <c r="T12">
        <f ca="1">OFFSET(Baza!$DZ10,0,T$2)</f>
        <v>143.96026979999999</v>
      </c>
      <c r="U12" s="6">
        <f t="shared" ca="1" si="2"/>
        <v>0.9022596497284332</v>
      </c>
    </row>
    <row r="13" spans="1:23" x14ac:dyDescent="0.2">
      <c r="A13" s="1" t="s">
        <v>251</v>
      </c>
      <c r="B13">
        <f>Baza!DZ11</f>
        <v>0.62236799369999996</v>
      </c>
      <c r="C13">
        <f ca="1">OFFSET(Baza!$DZ11,0,C$2)</f>
        <v>0.53062529199999997</v>
      </c>
      <c r="D13">
        <f ca="1">OFFSET(Baza!$DZ11,0,D$2)</f>
        <v>1.1529932860000001</v>
      </c>
      <c r="E13">
        <f ca="1">OFFSET(Baza!$DZ11,0,E$2)</f>
        <v>0.50799501560000004</v>
      </c>
      <c r="F13">
        <f ca="1">OFFSET(Baza!$DZ11,0,F$2)</f>
        <v>1.9620795790000001</v>
      </c>
      <c r="G13">
        <f ca="1">OFFSET(Baza!$DZ11,0,G$2)</f>
        <v>0.185401435</v>
      </c>
      <c r="H13">
        <f ca="1">OFFSET(Baza!$DZ11,0,H$2)</f>
        <v>0.23476636419999999</v>
      </c>
      <c r="I13">
        <f ca="1">OFFSET(Baza!$DZ11,0,I$2)</f>
        <v>0.15697705519999999</v>
      </c>
      <c r="J13">
        <f ca="1">OFFSET(Baza!$DZ11,0,J$2)</f>
        <v>3.2066133969999999</v>
      </c>
      <c r="K13">
        <f ca="1">OFFSET(Baza!$DZ11,0,K$2)</f>
        <v>1.1350677010000001</v>
      </c>
      <c r="L13">
        <f ca="1">OFFSET(Baza!$DZ11,0,L$2)</f>
        <v>0.82700366790000002</v>
      </c>
      <c r="M13">
        <f ca="1">OFFSET(Baza!$DZ11,0,M$2)</f>
        <v>1.8465194739999999</v>
      </c>
      <c r="N13">
        <f ca="1">OFFSET(Baza!$DZ11,0,N$2)</f>
        <v>1.4339228420000001</v>
      </c>
      <c r="O13">
        <f ca="1">OFFSET(Baza!$DZ11,0,O$2)</f>
        <v>9.8063283759999995E-2</v>
      </c>
      <c r="P13">
        <f ca="1">OFFSET(Baza!$DZ11,0,P$2)</f>
        <v>1.198565643</v>
      </c>
      <c r="Q13">
        <f ca="1">OFFSET(Baza!$DZ11,0,Q$2)</f>
        <v>48.765176650000001</v>
      </c>
      <c r="R13">
        <f ca="1">OFFSET(Baza!$DZ11,0,R$2)</f>
        <v>0.37150381560000001</v>
      </c>
      <c r="S13">
        <f ca="1">OFFSET(Baza!$DZ11,0,S$2)</f>
        <v>10.662386400000001</v>
      </c>
      <c r="T13">
        <f ca="1">OFFSET(Baza!$DZ11,0,T$2)</f>
        <v>107.9452671</v>
      </c>
      <c r="U13" s="6">
        <f t="shared" ca="1" si="2"/>
        <v>1.1728954557635372</v>
      </c>
    </row>
    <row r="14" spans="1:23" x14ac:dyDescent="0.2">
      <c r="A14" s="1" t="s">
        <v>252</v>
      </c>
      <c r="B14">
        <f>Baza!DZ12</f>
        <v>0.657663683</v>
      </c>
      <c r="C14">
        <f ca="1">OFFSET(Baza!$DZ12,0,C$2)</f>
        <v>0.49436302380000002</v>
      </c>
      <c r="D14">
        <f ca="1">OFFSET(Baza!$DZ12,0,D$2)</f>
        <v>1.1520267070000001</v>
      </c>
      <c r="E14">
        <f ca="1">OFFSET(Baza!$DZ12,0,E$2)</f>
        <v>0.52649804990000004</v>
      </c>
      <c r="F14">
        <f ca="1">OFFSET(Baza!$DZ12,0,F$2)</f>
        <v>2.0799506999999999</v>
      </c>
      <c r="G14">
        <f ca="1">OFFSET(Baza!$DZ12,0,G$2)</f>
        <v>0.18660080109999999</v>
      </c>
      <c r="H14">
        <f ca="1">OFFSET(Baza!$DZ12,0,H$2)</f>
        <v>0.2380824298</v>
      </c>
      <c r="I14">
        <f ca="1">OFFSET(Baza!$DZ12,0,I$2)</f>
        <v>0.28325349589999999</v>
      </c>
      <c r="J14">
        <f ca="1">OFFSET(Baza!$DZ12,0,J$2)</f>
        <v>3.3775013610000002</v>
      </c>
      <c r="K14">
        <f ca="1">OFFSET(Baza!$DZ12,0,K$2)</f>
        <v>1.2864480359999999</v>
      </c>
      <c r="L14">
        <f ca="1">OFFSET(Baza!$DZ12,0,L$2)</f>
        <v>0.7935026637</v>
      </c>
      <c r="M14">
        <f ca="1">OFFSET(Baza!$DZ12,0,M$2)</f>
        <v>1.965333389</v>
      </c>
      <c r="N14">
        <f ca="1">OFFSET(Baza!$DZ12,0,N$2)</f>
        <v>1.4922039629999999</v>
      </c>
      <c r="O14">
        <f ca="1">OFFSET(Baza!$DZ12,0,O$2)</f>
        <v>0.13898798139999999</v>
      </c>
      <c r="P14">
        <f ca="1">OFFSET(Baza!$DZ12,0,P$2)</f>
        <v>0.96833020059999997</v>
      </c>
      <c r="Q14">
        <f ca="1">OFFSET(Baza!$DZ12,0,Q$2)</f>
        <v>39.840623299999997</v>
      </c>
      <c r="R14">
        <f ca="1">OFFSET(Baza!$DZ12,0,R$2)</f>
        <v>0.36347260850000002</v>
      </c>
      <c r="S14">
        <f ca="1">OFFSET(Baza!$DZ12,0,S$2)</f>
        <v>10.797900800000001</v>
      </c>
      <c r="T14">
        <f ca="1">OFFSET(Baza!$DZ12,0,T$2)</f>
        <v>76.602940329999996</v>
      </c>
      <c r="U14" s="6">
        <f t="shared" ca="1" si="2"/>
        <v>1.3303253911361805</v>
      </c>
    </row>
    <row r="15" spans="1:23" x14ac:dyDescent="0.2">
      <c r="A15" s="1" t="s">
        <v>253</v>
      </c>
      <c r="B15">
        <f>Baza!DZ13</f>
        <v>0.76431868150000004</v>
      </c>
      <c r="C15">
        <f ca="1">OFFSET(Baza!$DZ13,0,C$2)</f>
        <v>0.77078863050000002</v>
      </c>
      <c r="D15">
        <f ca="1">OFFSET(Baza!$DZ13,0,D$2)</f>
        <v>1.5351073120000001</v>
      </c>
      <c r="E15">
        <f ca="1">OFFSET(Baza!$DZ13,0,E$2)</f>
        <v>0.67590695030000003</v>
      </c>
      <c r="F15">
        <f ca="1">OFFSET(Baza!$DZ13,0,F$2)</f>
        <v>2.6151850680000002</v>
      </c>
      <c r="G15">
        <f ca="1">OFFSET(Baza!$DZ13,0,G$2)</f>
        <v>0.2004834274</v>
      </c>
      <c r="H15">
        <f ca="1">OFFSET(Baza!$DZ13,0,H$2)</f>
        <v>0.2620060125</v>
      </c>
      <c r="I15">
        <f ca="1">OFFSET(Baza!$DZ13,0,I$2)</f>
        <v>-0.1006326334</v>
      </c>
      <c r="J15">
        <f ca="1">OFFSET(Baza!$DZ13,0,J$2)</f>
        <v>4.1986848769999998</v>
      </c>
      <c r="K15">
        <f ca="1">OFFSET(Baza!$DZ13,0,K$2)</f>
        <v>1.389582326</v>
      </c>
      <c r="L15">
        <f ca="1">OFFSET(Baza!$DZ13,0,L$2)</f>
        <v>1.2246408790000001</v>
      </c>
      <c r="M15">
        <f ca="1">OFFSET(Baza!$DZ13,0,M$2)</f>
        <v>2.4538840579999999</v>
      </c>
      <c r="N15">
        <f ca="1">OFFSET(Baza!$DZ13,0,N$2)</f>
        <v>1.684890421</v>
      </c>
      <c r="O15">
        <f ca="1">OFFSET(Baza!$DZ13,0,O$2)</f>
        <v>0.1081195866</v>
      </c>
      <c r="P15">
        <f ca="1">OFFSET(Baza!$DZ13,0,P$2)</f>
        <v>2.5074966679999999</v>
      </c>
      <c r="Q15">
        <f ca="1">OFFSET(Baza!$DZ13,0,Q$2)</f>
        <v>24.448926149999998</v>
      </c>
      <c r="R15">
        <f ca="1">OFFSET(Baza!$DZ13,0,R$2)</f>
        <v>0.38344465960000002</v>
      </c>
      <c r="S15">
        <f ca="1">OFFSET(Baza!$DZ13,0,S$2)</f>
        <v>6.1599390590000001</v>
      </c>
      <c r="T15">
        <f ca="1">OFFSET(Baza!$DZ13,0,T$2)</f>
        <v>94.458300140000006</v>
      </c>
      <c r="U15" s="7">
        <f t="shared" ca="1" si="2"/>
        <v>0.99160606586036049</v>
      </c>
    </row>
    <row r="16" spans="1:23" x14ac:dyDescent="0.2">
      <c r="A16" s="1" t="s">
        <v>254</v>
      </c>
      <c r="B16">
        <f>Baza!DZ14</f>
        <v>0.42571427509999998</v>
      </c>
      <c r="C16">
        <f ca="1">OFFSET(Baza!$DZ14,0,C$2)</f>
        <v>0.36270969330000002</v>
      </c>
      <c r="D16">
        <f ca="1">OFFSET(Baza!$DZ14,0,D$2)</f>
        <v>0.78842396839999995</v>
      </c>
      <c r="E16">
        <f ca="1">OFFSET(Baza!$DZ14,0,E$2)</f>
        <v>0.52133460620000005</v>
      </c>
      <c r="F16">
        <f ca="1">OFFSET(Baza!$DZ14,0,F$2)</f>
        <v>1.675735805</v>
      </c>
      <c r="G16">
        <f ca="1">OFFSET(Baza!$DZ14,0,G$2)</f>
        <v>0.12597597159999999</v>
      </c>
      <c r="H16">
        <f ca="1">OFFSET(Baza!$DZ14,0,H$2)</f>
        <v>0.16673286749999999</v>
      </c>
      <c r="I16">
        <f ca="1">OFFSET(Baza!$DZ14,0,I$2)</f>
        <v>8.1587277459999996E-2</v>
      </c>
      <c r="J16">
        <f ca="1">OFFSET(Baza!$DZ14,0,J$2)</f>
        <v>3.941277312</v>
      </c>
      <c r="K16">
        <f ca="1">OFFSET(Baza!$DZ14,0,K$2)</f>
        <v>0.96301258489999997</v>
      </c>
      <c r="L16">
        <f ca="1">OFFSET(Baza!$DZ14,0,L$2)</f>
        <v>0.71272322040000002</v>
      </c>
      <c r="M16">
        <f ca="1">OFFSET(Baza!$DZ14,0,M$2)</f>
        <v>1.5748254580000001</v>
      </c>
      <c r="N16">
        <f ca="1">OFFSET(Baza!$DZ14,0,N$2)</f>
        <v>1.1205475739999999</v>
      </c>
      <c r="O16">
        <f ca="1">OFFSET(Baza!$DZ14,0,O$2)</f>
        <v>0.33140242040000001</v>
      </c>
      <c r="P16">
        <f ca="1">OFFSET(Baza!$DZ14,0,P$2)</f>
        <v>0.59769000189999999</v>
      </c>
      <c r="Q16">
        <f ca="1">OFFSET(Baza!$DZ14,0,Q$2)</f>
        <v>68.672307840000002</v>
      </c>
      <c r="R16">
        <f ca="1">OFFSET(Baza!$DZ14,0,R$2)</f>
        <v>0.21855972639999999</v>
      </c>
      <c r="S16">
        <f ca="1">OFFSET(Baza!$DZ14,0,S$2)</f>
        <v>10.037106229999999</v>
      </c>
      <c r="T16">
        <f ca="1">OFFSET(Baza!$DZ14,0,T$2)</f>
        <v>31.120198760000001</v>
      </c>
      <c r="U16" s="6">
        <f t="shared" ca="1" si="2"/>
        <v>1.1737052606087601</v>
      </c>
    </row>
    <row r="17" spans="1:21" x14ac:dyDescent="0.2">
      <c r="A17" s="1" t="s">
        <v>255</v>
      </c>
      <c r="B17">
        <f>Baza!DZ15</f>
        <v>0.6017847436</v>
      </c>
      <c r="C17">
        <f ca="1">OFFSET(Baza!$DZ15,0,C$2)</f>
        <v>0.56420917599999998</v>
      </c>
      <c r="D17">
        <f ca="1">OFFSET(Baza!$DZ15,0,D$2)</f>
        <v>1.16599392</v>
      </c>
      <c r="E17">
        <f ca="1">OFFSET(Baza!$DZ15,0,E$2)</f>
        <v>0.49736155450000002</v>
      </c>
      <c r="F17">
        <f ca="1">OFFSET(Baza!$DZ15,0,F$2)</f>
        <v>1.961497332</v>
      </c>
      <c r="G17">
        <f ca="1">OFFSET(Baza!$DZ15,0,G$2)</f>
        <v>0.18102593450000001</v>
      </c>
      <c r="H17">
        <f ca="1">OFFSET(Baza!$DZ15,0,H$2)</f>
        <v>0.23018540649999999</v>
      </c>
      <c r="I17">
        <f ca="1">OFFSET(Baza!$DZ15,0,I$2)</f>
        <v>4.1246994469999999E-2</v>
      </c>
      <c r="J17">
        <f ca="1">OFFSET(Baza!$DZ15,0,J$2)</f>
        <v>3.3106809209999999</v>
      </c>
      <c r="K17">
        <f ca="1">OFFSET(Baza!$DZ15,0,K$2)</f>
        <v>1.0849726310000001</v>
      </c>
      <c r="L17">
        <f ca="1">OFFSET(Baza!$DZ15,0,L$2)</f>
        <v>0.8765247008</v>
      </c>
      <c r="M17">
        <f ca="1">OFFSET(Baza!$DZ15,0,M$2)</f>
        <v>1.860241247</v>
      </c>
      <c r="N17">
        <f ca="1">OFFSET(Baza!$DZ15,0,N$2)</f>
        <v>1.4656535470000001</v>
      </c>
      <c r="O17">
        <f ca="1">OFFSET(Baza!$DZ15,0,O$2)</f>
        <v>9.0325366480000002E-2</v>
      </c>
      <c r="P17">
        <f ca="1">OFFSET(Baza!$DZ15,0,P$2)</f>
        <v>2.1194504109999999</v>
      </c>
      <c r="Q17">
        <f ca="1">OFFSET(Baza!$DZ15,0,Q$2)</f>
        <v>56.867705030000003</v>
      </c>
      <c r="R17">
        <f ca="1">OFFSET(Baza!$DZ15,0,R$2)</f>
        <v>0.36021517330000002</v>
      </c>
      <c r="S17">
        <f ca="1">OFFSET(Baza!$DZ15,0,S$2)</f>
        <v>9.7934707729999992</v>
      </c>
      <c r="T17">
        <f ca="1">OFFSET(Baza!$DZ15,0,T$2)</f>
        <v>115.8712766</v>
      </c>
      <c r="U17" s="6">
        <f t="shared" ca="1" si="2"/>
        <v>1.0665986467401942</v>
      </c>
    </row>
    <row r="18" spans="1:21" x14ac:dyDescent="0.2">
      <c r="A18" s="1" t="s">
        <v>256</v>
      </c>
      <c r="B18">
        <f>Baza!DZ16</f>
        <v>0.40732611489999998</v>
      </c>
      <c r="C18">
        <f ca="1">OFFSET(Baza!$DZ16,0,C$2)</f>
        <v>0.36193755729999999</v>
      </c>
      <c r="D18">
        <f ca="1">OFFSET(Baza!$DZ16,0,D$2)</f>
        <v>0.76926367220000003</v>
      </c>
      <c r="E18">
        <f ca="1">OFFSET(Baza!$DZ16,0,E$2)</f>
        <v>0.54411796040000004</v>
      </c>
      <c r="F18">
        <f ca="1">OFFSET(Baza!$DZ16,0,F$2)</f>
        <v>1.643978921</v>
      </c>
      <c r="G18">
        <f ca="1">OFFSET(Baza!$DZ16,0,G$2)</f>
        <v>0.12615515599999999</v>
      </c>
      <c r="H18">
        <f ca="1">OFFSET(Baza!$DZ16,0,H$2)</f>
        <v>0.1666897175</v>
      </c>
      <c r="I18">
        <f ca="1">OFFSET(Baza!$DZ16,0,I$2)</f>
        <v>1.9733268460000002E-2</v>
      </c>
      <c r="J18">
        <f ca="1">OFFSET(Baza!$DZ16,0,J$2)</f>
        <v>3.8729471379999998</v>
      </c>
      <c r="K18">
        <f ca="1">OFFSET(Baza!$DZ16,0,K$2)</f>
        <v>0.91412439909999998</v>
      </c>
      <c r="L18">
        <f ca="1">OFFSET(Baza!$DZ16,0,L$2)</f>
        <v>0.72949900089999997</v>
      </c>
      <c r="M18">
        <f ca="1">OFFSET(Baza!$DZ16,0,M$2)</f>
        <v>1.5350226579999999</v>
      </c>
      <c r="N18">
        <f ca="1">OFFSET(Baza!$DZ16,0,N$2)</f>
        <v>1.069091016</v>
      </c>
      <c r="O18">
        <f ca="1">OFFSET(Baza!$DZ16,0,O$2)</f>
        <v>0.36996263210000002</v>
      </c>
      <c r="P18">
        <f ca="1">OFFSET(Baza!$DZ16,0,P$2)</f>
        <v>0.53774042830000002</v>
      </c>
      <c r="Q18">
        <f ca="1">OFFSET(Baza!$DZ16,0,Q$2)</f>
        <v>70.720138340000005</v>
      </c>
      <c r="R18">
        <f ca="1">OFFSET(Baza!$DZ16,0,R$2)</f>
        <v>0.21697215489999999</v>
      </c>
      <c r="S18">
        <f ca="1">OFFSET(Baza!$DZ16,0,S$2)</f>
        <v>10.606533499999999</v>
      </c>
      <c r="T18">
        <f ca="1">OFFSET(Baza!$DZ16,0,T$2)</f>
        <v>27.899365339999999</v>
      </c>
      <c r="U18" s="6">
        <f t="shared" ca="1" si="2"/>
        <v>1.1254043872611392</v>
      </c>
    </row>
    <row r="19" spans="1:21" x14ac:dyDescent="0.2">
      <c r="A1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9"/>
  <sheetViews>
    <sheetView workbookViewId="0">
      <selection activeCell="A19" sqref="A19:XFD19"/>
    </sheetView>
  </sheetViews>
  <sheetFormatPr baseColWidth="10" defaultColWidth="8.83203125" defaultRowHeight="15" x14ac:dyDescent="0.2"/>
  <cols>
    <col min="2" max="4" width="12" bestFit="1" customWidth="1"/>
    <col min="5" max="5" width="43.6640625" bestFit="1" customWidth="1"/>
    <col min="6" max="8" width="12" bestFit="1" customWidth="1"/>
    <col min="9" max="9" width="12.6640625" bestFit="1" customWidth="1"/>
    <col min="10" max="10" width="12" bestFit="1" customWidth="1"/>
    <col min="11" max="11" width="45.33203125" bestFit="1" customWidth="1"/>
    <col min="12" max="12" width="12" bestFit="1" customWidth="1"/>
    <col min="13" max="13" width="48.5" bestFit="1" customWidth="1"/>
    <col min="14" max="14" width="26.6640625" bestFit="1" customWidth="1"/>
    <col min="15" max="15" width="44.6640625" bestFit="1" customWidth="1"/>
    <col min="16" max="16" width="12" bestFit="1" customWidth="1"/>
    <col min="17" max="17" width="48.6640625" bestFit="1" customWidth="1"/>
    <col min="18" max="18" width="26.83203125" bestFit="1" customWidth="1"/>
    <col min="19" max="19" width="52.6640625" bestFit="1" customWidth="1"/>
    <col min="20" max="20" width="44.83203125" bestFit="1" customWidth="1"/>
    <col min="21" max="22" width="12" bestFit="1" customWidth="1"/>
  </cols>
  <sheetData>
    <row r="1" spans="1:23" x14ac:dyDescent="0.2">
      <c r="B1" t="str">
        <f>B4</f>
        <v>Rp[Średnia]</v>
      </c>
      <c r="C1" t="str">
        <f t="shared" ref="C1:T1" ca="1" si="0">C4</f>
        <v>Rv[Średnia]</v>
      </c>
      <c r="D1" t="str">
        <f t="shared" ca="1" si="0"/>
        <v>Rz[Średnia]</v>
      </c>
      <c r="E1" t="str">
        <f t="shared" ca="1" si="0"/>
        <v>Rc (Brak uśredniania (pojedyncza wartość))[Średnia]</v>
      </c>
      <c r="F1" t="str">
        <f t="shared" ca="1" si="0"/>
        <v>Rt[Średnia]</v>
      </c>
      <c r="G1" t="str">
        <f t="shared" ca="1" si="0"/>
        <v>Ra[Średnia]</v>
      </c>
      <c r="H1" t="str">
        <f t="shared" ca="1" si="0"/>
        <v>Rq[Średnia]</v>
      </c>
      <c r="I1" t="str">
        <f t="shared" ca="1" si="0"/>
        <v>Rsk[Średnia]</v>
      </c>
      <c r="J1" t="str">
        <f t="shared" ca="1" si="0"/>
        <v>Rku[Średnia]</v>
      </c>
      <c r="K1" t="str">
        <f t="shared" ca="1" si="0"/>
        <v>Rp1max[Średnia]</v>
      </c>
      <c r="L1" t="str">
        <f t="shared" ca="1" si="0"/>
        <v>Rv1max[Średnia]</v>
      </c>
      <c r="M1" t="str">
        <f t="shared" ca="1" si="0"/>
        <v>Rz1max[Średnia]</v>
      </c>
      <c r="N1" t="str">
        <f t="shared" ca="1" si="0"/>
        <v>Rz(n) (Wskaźnik λc = 1)[Średnia]</v>
      </c>
      <c r="O1" t="str">
        <f t="shared" ca="1" si="0"/>
        <v>RSm (Brak uśredniania (pojedyncza wartość))[Średnia]</v>
      </c>
      <c r="P1" t="str">
        <f t="shared" ca="1" si="0"/>
        <v>Rdq[Średnia]</v>
      </c>
      <c r="Q1" t="str">
        <f t="shared" ca="1" si="0"/>
        <v>Rmr (c = 1 µm poniżej najwyższego wypiętrzenia)[Średnia]</v>
      </c>
      <c r="R1" t="str">
        <f t="shared" ca="1" si="0"/>
        <v>Rdc (p = 20%, q = 80%)[Średnia]</v>
      </c>
      <c r="S1" t="str">
        <f t="shared" ca="1" si="0"/>
        <v>Rmr (Rz/4) (c = Rz/4 µm powyżej płaszczyzny średniej)[Średnia]</v>
      </c>
      <c r="T1" t="str">
        <f t="shared" ca="1" si="0"/>
        <v>RPc (Brak uśredniania (pojedyncza wartość))[Średnia]</v>
      </c>
    </row>
    <row r="2" spans="1:23" x14ac:dyDescent="0.2">
      <c r="B2" s="3" t="s">
        <v>257</v>
      </c>
      <c r="C2" s="3">
        <v>4</v>
      </c>
      <c r="D2" s="3">
        <f>C2+4</f>
        <v>8</v>
      </c>
      <c r="E2" s="3">
        <f t="shared" ref="E2:W2" si="1">D2+4</f>
        <v>12</v>
      </c>
      <c r="F2" s="3">
        <f t="shared" si="1"/>
        <v>16</v>
      </c>
      <c r="G2" s="3">
        <f t="shared" si="1"/>
        <v>20</v>
      </c>
      <c r="H2" s="3">
        <f t="shared" si="1"/>
        <v>24</v>
      </c>
      <c r="I2" s="3">
        <f t="shared" si="1"/>
        <v>28</v>
      </c>
      <c r="J2" s="3">
        <f t="shared" si="1"/>
        <v>32</v>
      </c>
      <c r="K2" s="3">
        <f t="shared" si="1"/>
        <v>36</v>
      </c>
      <c r="L2" s="3">
        <f t="shared" si="1"/>
        <v>40</v>
      </c>
      <c r="M2" s="3">
        <f t="shared" si="1"/>
        <v>44</v>
      </c>
      <c r="N2" s="3">
        <f t="shared" si="1"/>
        <v>48</v>
      </c>
      <c r="O2" s="3">
        <f t="shared" si="1"/>
        <v>52</v>
      </c>
      <c r="P2" s="3">
        <f t="shared" si="1"/>
        <v>56</v>
      </c>
      <c r="Q2" s="3">
        <f t="shared" si="1"/>
        <v>60</v>
      </c>
      <c r="R2" s="3">
        <f t="shared" si="1"/>
        <v>64</v>
      </c>
      <c r="S2" s="3">
        <f t="shared" si="1"/>
        <v>68</v>
      </c>
      <c r="T2" s="3">
        <f t="shared" si="1"/>
        <v>72</v>
      </c>
      <c r="U2" s="3">
        <f t="shared" si="1"/>
        <v>76</v>
      </c>
      <c r="V2" s="3">
        <f t="shared" si="1"/>
        <v>80</v>
      </c>
      <c r="W2" s="3">
        <f t="shared" si="1"/>
        <v>84</v>
      </c>
    </row>
    <row r="3" spans="1:23" x14ac:dyDescent="0.2">
      <c r="B3">
        <f>Baza!GX1</f>
        <v>51</v>
      </c>
      <c r="C3">
        <f ca="1">OFFSET(Baza!$GX1,0,C$2)</f>
        <v>51</v>
      </c>
      <c r="D3">
        <f ca="1">OFFSET(Baza!$GX1,0,D$2)</f>
        <v>51</v>
      </c>
      <c r="E3">
        <f ca="1">OFFSET(Baza!$GX1,0,E$2)</f>
        <v>51</v>
      </c>
      <c r="F3">
        <f ca="1">OFFSET(Baza!$GX1,0,F$2)</f>
        <v>51</v>
      </c>
      <c r="G3">
        <f ca="1">OFFSET(Baza!$GX1,0,G$2)</f>
        <v>51</v>
      </c>
      <c r="H3">
        <f ca="1">OFFSET(Baza!$GX1,0,H$2)</f>
        <v>51</v>
      </c>
      <c r="I3">
        <f ca="1">OFFSET(Baza!$GX1,0,I$2)</f>
        <v>51</v>
      </c>
      <c r="J3">
        <f ca="1">OFFSET(Baza!$GX1,0,J$2)</f>
        <v>51</v>
      </c>
      <c r="K3">
        <f ca="1">OFFSET(Baza!$GX1,0,K$2)</f>
        <v>51</v>
      </c>
      <c r="L3">
        <f ca="1">OFFSET(Baza!$GX1,0,L$2)</f>
        <v>51</v>
      </c>
      <c r="M3">
        <f ca="1">OFFSET(Baza!$GX1,0,M$2)</f>
        <v>51</v>
      </c>
      <c r="N3">
        <f ca="1">OFFSET(Baza!$GX1,0,N$2)</f>
        <v>51</v>
      </c>
      <c r="O3">
        <f ca="1">OFFSET(Baza!$GX1,0,O$2)</f>
        <v>51</v>
      </c>
      <c r="P3">
        <f ca="1">OFFSET(Baza!$GX1,0,P$2)</f>
        <v>51</v>
      </c>
      <c r="Q3">
        <f ca="1">OFFSET(Baza!$GX1,0,Q$2)</f>
        <v>51</v>
      </c>
      <c r="R3">
        <f ca="1">OFFSET(Baza!$GX1,0,R$2)</f>
        <v>51</v>
      </c>
      <c r="S3">
        <f ca="1">OFFSET(Baza!$GX1,0,S$2)</f>
        <v>51</v>
      </c>
      <c r="T3">
        <f ca="1">OFFSET(Baza!$GX1,0,T$2)</f>
        <v>51</v>
      </c>
    </row>
    <row r="4" spans="1:23" x14ac:dyDescent="0.2">
      <c r="B4" t="str">
        <f>Baza!GX2</f>
        <v>Rp[Średnia]</v>
      </c>
      <c r="C4" t="str">
        <f ca="1">OFFSET(Baza!$GX2,0,C$2)</f>
        <v>Rv[Średnia]</v>
      </c>
      <c r="D4" t="str">
        <f ca="1">OFFSET(Baza!$GX2,0,D$2)</f>
        <v>Rz[Średnia]</v>
      </c>
      <c r="E4" t="str">
        <f ca="1">OFFSET(Baza!$GX2,0,E$2)</f>
        <v>Rc (Brak uśredniania (pojedyncza wartość))[Średnia]</v>
      </c>
      <c r="F4" t="str">
        <f ca="1">OFFSET(Baza!$GX2,0,F$2)</f>
        <v>Rt[Średnia]</v>
      </c>
      <c r="G4" t="str">
        <f ca="1">OFFSET(Baza!$GX2,0,G$2)</f>
        <v>Ra[Średnia]</v>
      </c>
      <c r="H4" t="str">
        <f ca="1">OFFSET(Baza!$GX2,0,H$2)</f>
        <v>Rq[Średnia]</v>
      </c>
      <c r="I4" t="str">
        <f ca="1">OFFSET(Baza!$GX2,0,I$2)</f>
        <v>Rsk[Średnia]</v>
      </c>
      <c r="J4" t="str">
        <f ca="1">OFFSET(Baza!$GX2,0,J$2)</f>
        <v>Rku[Średnia]</v>
      </c>
      <c r="K4" t="str">
        <f ca="1">OFFSET(Baza!$GX2,0,K$2)</f>
        <v>Rp1max[Średnia]</v>
      </c>
      <c r="L4" t="str">
        <f ca="1">OFFSET(Baza!$GX2,0,L$2)</f>
        <v>Rv1max[Średnia]</v>
      </c>
      <c r="M4" t="str">
        <f ca="1">OFFSET(Baza!$GX2,0,M$2)</f>
        <v>Rz1max[Średnia]</v>
      </c>
      <c r="N4" t="str">
        <f ca="1">OFFSET(Baza!$GX2,0,N$2)</f>
        <v>Rz(n) (Wskaźnik λc = 1)[Średnia]</v>
      </c>
      <c r="O4" t="str">
        <f ca="1">OFFSET(Baza!$GX2,0,O$2)</f>
        <v>RSm (Brak uśredniania (pojedyncza wartość))[Średnia]</v>
      </c>
      <c r="P4" t="str">
        <f ca="1">OFFSET(Baza!$GX2,0,P$2)</f>
        <v>Rdq[Średnia]</v>
      </c>
      <c r="Q4" t="str">
        <f ca="1">OFFSET(Baza!$GX2,0,Q$2)</f>
        <v>Rmr (c = 1 µm poniżej najwyższego wypiętrzenia)[Średnia]</v>
      </c>
      <c r="R4" t="str">
        <f ca="1">OFFSET(Baza!$GX2,0,R$2)</f>
        <v>Rdc (p = 20%, q = 80%)[Średnia]</v>
      </c>
      <c r="S4" t="str">
        <f ca="1">OFFSET(Baza!$GX2,0,S$2)</f>
        <v>Rmr (Rz/4) (c = Rz/4 µm powyżej płaszczyzny średniej)[Średnia]</v>
      </c>
      <c r="T4" t="str">
        <f ca="1">OFFSET(Baza!$GX2,0,T$2)</f>
        <v>RPc (Brak uśredniania (pojedyncza wartość))[Średnia]</v>
      </c>
    </row>
    <row r="5" spans="1:23" x14ac:dyDescent="0.2">
      <c r="B5" t="str">
        <f>Baza!GX3</f>
        <v>µm</v>
      </c>
      <c r="C5" t="str">
        <f ca="1">OFFSET(Baza!$GX3,0,C$2)</f>
        <v>µm</v>
      </c>
      <c r="D5" t="str">
        <f ca="1">OFFSET(Baza!$GX3,0,D$2)</f>
        <v>µm</v>
      </c>
      <c r="E5" t="str">
        <f ca="1">OFFSET(Baza!$GX3,0,E$2)</f>
        <v>µm</v>
      </c>
      <c r="F5" t="str">
        <f ca="1">OFFSET(Baza!$GX3,0,F$2)</f>
        <v>µm</v>
      </c>
      <c r="G5" t="str">
        <f ca="1">OFFSET(Baza!$GX3,0,G$2)</f>
        <v>µm</v>
      </c>
      <c r="H5" t="str">
        <f ca="1">OFFSET(Baza!$GX3,0,H$2)</f>
        <v>µm</v>
      </c>
      <c r="I5" t="str">
        <f ca="1">OFFSET(Baza!$GX3,0,I$2)</f>
        <v>&lt;no unit&gt;</v>
      </c>
      <c r="J5" t="str">
        <f ca="1">OFFSET(Baza!$GX3,0,J$2)</f>
        <v>&lt;no unit&gt;</v>
      </c>
      <c r="K5" t="str">
        <f ca="1">OFFSET(Baza!$GX3,0,K$2)</f>
        <v>µm</v>
      </c>
      <c r="L5" t="str">
        <f ca="1">OFFSET(Baza!$GX3,0,L$2)</f>
        <v>µm</v>
      </c>
      <c r="M5" t="str">
        <f ca="1">OFFSET(Baza!$GX3,0,M$2)</f>
        <v>µm</v>
      </c>
      <c r="N5" t="str">
        <f ca="1">OFFSET(Baza!$GX3,0,N$2)</f>
        <v>µm</v>
      </c>
      <c r="O5" t="str">
        <f ca="1">OFFSET(Baza!$GX3,0,O$2)</f>
        <v>mm</v>
      </c>
      <c r="P5" t="str">
        <f ca="1">OFFSET(Baza!$GX3,0,P$2)</f>
        <v>°</v>
      </c>
      <c r="Q5" t="str">
        <f ca="1">OFFSET(Baza!$GX3,0,Q$2)</f>
        <v>%</v>
      </c>
      <c r="R5" t="str">
        <f ca="1">OFFSET(Baza!$GX3,0,R$2)</f>
        <v>µm</v>
      </c>
      <c r="S5" t="str">
        <f ca="1">OFFSET(Baza!$GX3,0,S$2)</f>
        <v>%</v>
      </c>
      <c r="T5" t="str">
        <f ca="1">OFFSET(Baza!$GX3,0,T$2)</f>
        <v>1/cm</v>
      </c>
    </row>
    <row r="6" spans="1:23" x14ac:dyDescent="0.2">
      <c r="A6" s="1" t="s">
        <v>244</v>
      </c>
      <c r="B6">
        <f>Baza!GX4</f>
        <v>0.62588703189999995</v>
      </c>
      <c r="C6">
        <f ca="1">OFFSET(Baza!$GX4,0,C$2)</f>
        <v>0.53592076430000002</v>
      </c>
      <c r="D6">
        <f ca="1">OFFSET(Baza!$GX4,0,D$2)</f>
        <v>1.1618077959999999</v>
      </c>
      <c r="E6">
        <f ca="1">OFFSET(Baza!$GX4,0,E$2)</f>
        <v>0.45112369159999999</v>
      </c>
      <c r="F6">
        <f ca="1">OFFSET(Baza!$GX4,0,F$2)</f>
        <v>1.916690979</v>
      </c>
      <c r="G6">
        <f ca="1">OFFSET(Baza!$GX4,0,G$2)</f>
        <v>0.16664656429999999</v>
      </c>
      <c r="H6">
        <f ca="1">OFFSET(Baza!$GX4,0,H$2)</f>
        <v>0.2137338406</v>
      </c>
      <c r="I6">
        <f ca="1">OFFSET(Baza!$GX4,0,I$2)</f>
        <v>0.2214563031</v>
      </c>
      <c r="J6">
        <f ca="1">OFFSET(Baza!$GX4,0,J$2)</f>
        <v>3.5626334050000001</v>
      </c>
      <c r="K6">
        <f ca="1">OFFSET(Baza!$GX4,0,K$2)</f>
        <v>1.028317887</v>
      </c>
      <c r="L6">
        <f ca="1">OFFSET(Baza!$GX4,0,L$2)</f>
        <v>0.88811895529999996</v>
      </c>
      <c r="M6">
        <f ca="1">OFFSET(Baza!$GX4,0,M$2)</f>
        <v>1.8083501740000001</v>
      </c>
      <c r="N6">
        <f ca="1">OFFSET(Baza!$GX4,0,N$2)</f>
        <v>1.3680715320000001</v>
      </c>
      <c r="O6">
        <f ca="1">OFFSET(Baza!$GX4,0,O$2)</f>
        <v>8.0030255199999997E-2</v>
      </c>
      <c r="P6">
        <f ca="1">OFFSET(Baza!$GX4,0,P$2)</f>
        <v>1.594686898</v>
      </c>
      <c r="Q6">
        <f ca="1">OFFSET(Baza!$GX4,0,Q$2)</f>
        <v>54.552008280000003</v>
      </c>
      <c r="R6">
        <f ca="1">OFFSET(Baza!$GX4,0,R$2)</f>
        <v>0.32382392100000001</v>
      </c>
      <c r="S6">
        <f ca="1">OFFSET(Baza!$GX4,0,S$2)</f>
        <v>8.9987195549999992</v>
      </c>
      <c r="T6">
        <f ca="1">OFFSET(Baza!$GX4,0,T$2)</f>
        <v>128.61213040000001</v>
      </c>
    </row>
    <row r="7" spans="1:23" x14ac:dyDescent="0.2">
      <c r="A7" s="1" t="s">
        <v>245</v>
      </c>
      <c r="B7">
        <f>Baza!GX5</f>
        <v>0.69460860869999996</v>
      </c>
      <c r="C7">
        <f ca="1">OFFSET(Baza!$GX5,0,C$2)</f>
        <v>0.64486310930000001</v>
      </c>
      <c r="D7">
        <f ca="1">OFFSET(Baza!$GX5,0,D$2)</f>
        <v>1.339471718</v>
      </c>
      <c r="E7">
        <f ca="1">OFFSET(Baza!$GX5,0,E$2)</f>
        <v>0.59590659589999995</v>
      </c>
      <c r="F7">
        <f ca="1">OFFSET(Baza!$GX5,0,F$2)</f>
        <v>2.2141661890000002</v>
      </c>
      <c r="G7">
        <f ca="1">OFFSET(Baza!$GX5,0,G$2)</f>
        <v>0.20392972270000001</v>
      </c>
      <c r="H7">
        <f ca="1">OFFSET(Baza!$GX5,0,H$2)</f>
        <v>0.26036752260000001</v>
      </c>
      <c r="I7">
        <f ca="1">OFFSET(Baza!$GX5,0,I$2)</f>
        <v>0.12912355280000001</v>
      </c>
      <c r="J7">
        <f ca="1">OFFSET(Baza!$GX5,0,J$2)</f>
        <v>3.3979463019999998</v>
      </c>
      <c r="K7">
        <f ca="1">OFFSET(Baza!$GX5,0,K$2)</f>
        <v>1.160206667</v>
      </c>
      <c r="L7">
        <f ca="1">OFFSET(Baza!$GX5,0,L$2)</f>
        <v>1.053654401</v>
      </c>
      <c r="M7">
        <f ca="1">OFFSET(Baza!$GX5,0,M$2)</f>
        <v>2.089117763</v>
      </c>
      <c r="N7">
        <f ca="1">OFFSET(Baza!$GX5,0,N$2)</f>
        <v>1.554553063</v>
      </c>
      <c r="O7">
        <f ca="1">OFFSET(Baza!$GX5,0,O$2)</f>
        <v>0.114437362</v>
      </c>
      <c r="P7">
        <f ca="1">OFFSET(Baza!$GX5,0,P$2)</f>
        <v>1.4828449189999999</v>
      </c>
      <c r="Q7">
        <f ca="1">OFFSET(Baza!$GX5,0,Q$2)</f>
        <v>38.625516580000003</v>
      </c>
      <c r="R7">
        <f ca="1">OFFSET(Baza!$GX5,0,R$2)</f>
        <v>0.39492988899999998</v>
      </c>
      <c r="S7">
        <f ca="1">OFFSET(Baza!$GX5,0,S$2)</f>
        <v>9.7125309699999995</v>
      </c>
      <c r="T7">
        <f ca="1">OFFSET(Baza!$GX5,0,T$2)</f>
        <v>89.575083179999993</v>
      </c>
    </row>
    <row r="8" spans="1:23" x14ac:dyDescent="0.2">
      <c r="A8" s="1" t="s">
        <v>246</v>
      </c>
      <c r="B8">
        <f>Baza!GX6</f>
        <v>0.75509134850000004</v>
      </c>
      <c r="C8">
        <f ca="1">OFFSET(Baza!$GX6,0,C$2)</f>
        <v>0.7101924463</v>
      </c>
      <c r="D8">
        <f ca="1">OFFSET(Baza!$GX6,0,D$2)</f>
        <v>1.4652837949999999</v>
      </c>
      <c r="E8">
        <f ca="1">OFFSET(Baza!$GX6,0,E$2)</f>
        <v>0.66707203969999995</v>
      </c>
      <c r="F8">
        <f ca="1">OFFSET(Baza!$GX6,0,F$2)</f>
        <v>2.4746753789999998</v>
      </c>
      <c r="G8">
        <f ca="1">OFFSET(Baza!$GX6,0,G$2)</f>
        <v>0.22767662699999999</v>
      </c>
      <c r="H8">
        <f ca="1">OFFSET(Baza!$GX6,0,H$2)</f>
        <v>0.28956526599999999</v>
      </c>
      <c r="I8">
        <f ca="1">OFFSET(Baza!$GX6,0,I$2)</f>
        <v>0.1134684658</v>
      </c>
      <c r="J8">
        <f ca="1">OFFSET(Baza!$GX6,0,J$2)</f>
        <v>3.3599777500000001</v>
      </c>
      <c r="K8">
        <f ca="1">OFFSET(Baza!$GX6,0,K$2)</f>
        <v>1.281065715</v>
      </c>
      <c r="L8">
        <f ca="1">OFFSET(Baza!$GX6,0,L$2)</f>
        <v>1.1927365270000001</v>
      </c>
      <c r="M8">
        <f ca="1">OFFSET(Baza!$GX6,0,M$2)</f>
        <v>2.3382993320000001</v>
      </c>
      <c r="N8">
        <f ca="1">OFFSET(Baza!$GX6,0,N$2)</f>
        <v>1.7071151680000001</v>
      </c>
      <c r="O8">
        <f ca="1">OFFSET(Baza!$GX6,0,O$2)</f>
        <v>0.12611235230000001</v>
      </c>
      <c r="P8">
        <f ca="1">OFFSET(Baza!$GX6,0,P$2)</f>
        <v>1.5610475850000001</v>
      </c>
      <c r="Q8">
        <f ca="1">OFFSET(Baza!$GX6,0,Q$2)</f>
        <v>29.06729717</v>
      </c>
      <c r="R8">
        <f ca="1">OFFSET(Baza!$GX6,0,R$2)</f>
        <v>0.43897250609999999</v>
      </c>
      <c r="S8">
        <f ca="1">OFFSET(Baza!$GX6,0,S$2)</f>
        <v>9.9491167039999997</v>
      </c>
      <c r="T8">
        <f ca="1">OFFSET(Baza!$GX6,0,T$2)</f>
        <v>82.832021620000006</v>
      </c>
    </row>
    <row r="9" spans="1:23" x14ac:dyDescent="0.2">
      <c r="A9" s="1" t="s">
        <v>247</v>
      </c>
      <c r="B9">
        <f>Baza!GX7</f>
        <v>0.78763396230000005</v>
      </c>
      <c r="C9">
        <f ca="1">OFFSET(Baza!$GX7,0,C$2)</f>
        <v>0.71271297759999996</v>
      </c>
      <c r="D9">
        <f ca="1">OFFSET(Baza!$GX7,0,D$2)</f>
        <v>1.50034694</v>
      </c>
      <c r="E9">
        <f ca="1">OFFSET(Baza!$GX7,0,E$2)</f>
        <v>0.58159378070000001</v>
      </c>
      <c r="F9">
        <f ca="1">OFFSET(Baza!$GX7,0,F$2)</f>
        <v>2.4506265790000001</v>
      </c>
      <c r="G9">
        <f ca="1">OFFSET(Baza!$GX7,0,G$2)</f>
        <v>0.20408029429999999</v>
      </c>
      <c r="H9">
        <f ca="1">OFFSET(Baza!$GX7,0,H$2)</f>
        <v>0.26353669079999997</v>
      </c>
      <c r="I9">
        <f ca="1">OFFSET(Baza!$GX7,0,I$2)</f>
        <v>0.1514928039</v>
      </c>
      <c r="J9">
        <f ca="1">OFFSET(Baza!$GX7,0,J$2)</f>
        <v>3.673023675</v>
      </c>
      <c r="K9">
        <f ca="1">OFFSET(Baza!$GX7,0,K$2)</f>
        <v>1.3027653159999999</v>
      </c>
      <c r="L9">
        <f ca="1">OFFSET(Baza!$GX7,0,L$2)</f>
        <v>1.146922158</v>
      </c>
      <c r="M9">
        <f ca="1">OFFSET(Baza!$GX7,0,M$2)</f>
        <v>2.3226936839999999</v>
      </c>
      <c r="N9">
        <f ca="1">OFFSET(Baza!$GX7,0,N$2)</f>
        <v>1.741433526</v>
      </c>
      <c r="O9">
        <f ca="1">OFFSET(Baza!$GX7,0,O$2)</f>
        <v>7.2308130319999997E-2</v>
      </c>
      <c r="P9">
        <f ca="1">OFFSET(Baza!$GX7,0,P$2)</f>
        <v>2.266077079</v>
      </c>
      <c r="Q9">
        <f ca="1">OFFSET(Baza!$GX7,0,Q$2)</f>
        <v>26.129353829999999</v>
      </c>
      <c r="R9">
        <f ca="1">OFFSET(Baza!$GX7,0,R$2)</f>
        <v>0.39319715290000001</v>
      </c>
      <c r="S9">
        <f ca="1">OFFSET(Baza!$GX7,0,S$2)</f>
        <v>8.0443155149999992</v>
      </c>
      <c r="T9">
        <f ca="1">OFFSET(Baza!$GX7,0,T$2)</f>
        <v>141.49502419999999</v>
      </c>
    </row>
    <row r="10" spans="1:23" x14ac:dyDescent="0.2">
      <c r="A10" s="1" t="s">
        <v>248</v>
      </c>
      <c r="B10">
        <f>Baza!GX8</f>
        <v>0.84683763879999996</v>
      </c>
      <c r="C10">
        <f ca="1">OFFSET(Baza!$GX8,0,C$2)</f>
        <v>0.83448878520000003</v>
      </c>
      <c r="D10">
        <f ca="1">OFFSET(Baza!$GX8,0,D$2)</f>
        <v>1.6813264240000001</v>
      </c>
      <c r="E10">
        <f ca="1">OFFSET(Baza!$GX8,0,E$2)</f>
        <v>0.74522903370000004</v>
      </c>
      <c r="F10">
        <f ca="1">OFFSET(Baza!$GX8,0,F$2)</f>
        <v>2.6512579949999999</v>
      </c>
      <c r="G10">
        <f ca="1">OFFSET(Baza!$GX8,0,G$2)</f>
        <v>0.24635738269999999</v>
      </c>
      <c r="H10">
        <f ca="1">OFFSET(Baza!$GX8,0,H$2)</f>
        <v>0.31525363839999998</v>
      </c>
      <c r="I10">
        <f ca="1">OFFSET(Baza!$GX8,0,I$2)</f>
        <v>5.6775794290000001E-2</v>
      </c>
      <c r="J10">
        <f ca="1">OFFSET(Baza!$GX8,0,J$2)</f>
        <v>3.4055391930000001</v>
      </c>
      <c r="K10">
        <f ca="1">OFFSET(Baza!$GX8,0,K$2)</f>
        <v>1.335704531</v>
      </c>
      <c r="L10">
        <f ca="1">OFFSET(Baza!$GX8,0,L$2)</f>
        <v>1.3144333159999999</v>
      </c>
      <c r="M10">
        <f ca="1">OFFSET(Baza!$GX8,0,M$2)</f>
        <v>2.5120354680000001</v>
      </c>
      <c r="N10">
        <f ca="1">OFFSET(Baza!$GX8,0,N$2)</f>
        <v>1.9114469949999999</v>
      </c>
      <c r="O10">
        <f ca="1">OFFSET(Baza!$GX8,0,O$2)</f>
        <v>9.6633624979999999E-2</v>
      </c>
      <c r="P10">
        <f ca="1">OFFSET(Baza!$GX8,0,P$2)</f>
        <v>2.1439497279999999</v>
      </c>
      <c r="Q10">
        <f ca="1">OFFSET(Baza!$GX8,0,Q$2)</f>
        <v>24.558674419999999</v>
      </c>
      <c r="R10">
        <f ca="1">OFFSET(Baza!$GX8,0,R$2)</f>
        <v>0.47979219239999998</v>
      </c>
      <c r="S10">
        <f ca="1">OFFSET(Baza!$GX8,0,S$2)</f>
        <v>8.9924153790000005</v>
      </c>
      <c r="T10">
        <f ca="1">OFFSET(Baza!$GX8,0,T$2)</f>
        <v>105.3840814</v>
      </c>
    </row>
    <row r="11" spans="1:23" x14ac:dyDescent="0.2">
      <c r="A11" s="1" t="s">
        <v>249</v>
      </c>
      <c r="B11">
        <f>Baza!GX9</f>
        <v>0.91367301840000004</v>
      </c>
      <c r="C11">
        <f ca="1">OFFSET(Baza!$GX9,0,C$2)</f>
        <v>0.90665702969999995</v>
      </c>
      <c r="D11">
        <f ca="1">OFFSET(Baza!$GX9,0,D$2)</f>
        <v>1.820330048</v>
      </c>
      <c r="E11">
        <f ca="1">OFFSET(Baza!$GX9,0,E$2)</f>
        <v>0.82297863699999996</v>
      </c>
      <c r="F11">
        <f ca="1">OFFSET(Baza!$GX9,0,F$2)</f>
        <v>2.9526313530000001</v>
      </c>
      <c r="G11">
        <f ca="1">OFFSET(Baza!$GX9,0,G$2)</f>
        <v>0.26812303129999998</v>
      </c>
      <c r="H11">
        <f ca="1">OFFSET(Baza!$GX9,0,H$2)</f>
        <v>0.3431085948</v>
      </c>
      <c r="I11">
        <f ca="1">OFFSET(Baza!$GX9,0,I$2)</f>
        <v>6.3682186089999995E-2</v>
      </c>
      <c r="J11">
        <f ca="1">OFFSET(Baza!$GX9,0,J$2)</f>
        <v>3.4584282059999998</v>
      </c>
      <c r="K11">
        <f ca="1">OFFSET(Baza!$GX9,0,K$2)</f>
        <v>1.484461295</v>
      </c>
      <c r="L11">
        <f ca="1">OFFSET(Baza!$GX9,0,L$2)</f>
        <v>1.4673950680000001</v>
      </c>
      <c r="M11">
        <f ca="1">OFFSET(Baza!$GX9,0,M$2)</f>
        <v>2.8017718739999999</v>
      </c>
      <c r="N11">
        <f ca="1">OFFSET(Baza!$GX9,0,N$2)</f>
        <v>2.1232143159999999</v>
      </c>
      <c r="O11">
        <f ca="1">OFFSET(Baza!$GX9,0,O$2)</f>
        <v>0.10813334149999999</v>
      </c>
      <c r="P11">
        <f ca="1">OFFSET(Baza!$GX9,0,P$2)</f>
        <v>2.2238328279999999</v>
      </c>
      <c r="Q11">
        <f ca="1">OFFSET(Baza!$GX9,0,Q$2)</f>
        <v>17.19849799</v>
      </c>
      <c r="R11">
        <f ca="1">OFFSET(Baza!$GX9,0,R$2)</f>
        <v>0.51889084860000001</v>
      </c>
      <c r="S11">
        <f ca="1">OFFSET(Baza!$GX9,0,S$2)</f>
        <v>9.1471760250000003</v>
      </c>
      <c r="T11">
        <f ca="1">OFFSET(Baza!$GX9,0,T$2)</f>
        <v>95.066939779999998</v>
      </c>
    </row>
    <row r="12" spans="1:23" x14ac:dyDescent="0.2">
      <c r="A12" s="1" t="s">
        <v>250</v>
      </c>
      <c r="B12">
        <f>Baza!GX10</f>
        <v>0.82660509189999998</v>
      </c>
      <c r="C12">
        <f ca="1">OFFSET(Baza!$GX10,0,C$2)</f>
        <v>0.9158375299</v>
      </c>
      <c r="D12">
        <f ca="1">OFFSET(Baza!$GX10,0,D$2)</f>
        <v>1.742442622</v>
      </c>
      <c r="E12">
        <f ca="1">OFFSET(Baza!$GX10,0,E$2)</f>
        <v>0.73413034560000001</v>
      </c>
      <c r="F12">
        <f ca="1">OFFSET(Baza!$GX10,0,F$2)</f>
        <v>2.6413510260000002</v>
      </c>
      <c r="G12">
        <f ca="1">OFFSET(Baza!$GX10,0,G$2)</f>
        <v>0.273540699</v>
      </c>
      <c r="H12">
        <f ca="1">OFFSET(Baza!$GX10,0,H$2)</f>
        <v>0.34672801419999999</v>
      </c>
      <c r="I12">
        <f ca="1">OFFSET(Baza!$GX10,0,I$2)</f>
        <v>-0.1317276228</v>
      </c>
      <c r="J12">
        <f ca="1">OFFSET(Baza!$GX10,0,J$2)</f>
        <v>3.2042885239999999</v>
      </c>
      <c r="K12">
        <f ca="1">OFFSET(Baza!$GX10,0,K$2)</f>
        <v>1.2696504959999999</v>
      </c>
      <c r="L12">
        <f ca="1">OFFSET(Baza!$GX10,0,L$2)</f>
        <v>1.37170053</v>
      </c>
      <c r="M12">
        <f ca="1">OFFSET(Baza!$GX10,0,M$2)</f>
        <v>2.4885912000000001</v>
      </c>
      <c r="N12">
        <f ca="1">OFFSET(Baza!$GX10,0,N$2)</f>
        <v>1.9981710109999999</v>
      </c>
      <c r="O12">
        <f ca="1">OFFSET(Baza!$GX10,0,O$2)</f>
        <v>6.9716750999999993E-2</v>
      </c>
      <c r="P12">
        <f ca="1">OFFSET(Baza!$GX10,0,P$2)</f>
        <v>2.1450590209999998</v>
      </c>
      <c r="Q12">
        <f ca="1">OFFSET(Baza!$GX10,0,Q$2)</f>
        <v>31.650462770000001</v>
      </c>
      <c r="R12">
        <f ca="1">OFFSET(Baza!$GX10,0,R$2)</f>
        <v>0.55048020149999999</v>
      </c>
      <c r="S12">
        <f ca="1">OFFSET(Baza!$GX10,0,S$2)</f>
        <v>9.7252469549999994</v>
      </c>
      <c r="T12">
        <f ca="1">OFFSET(Baza!$GX10,0,T$2)</f>
        <v>146.24931219999999</v>
      </c>
    </row>
    <row r="13" spans="1:23" x14ac:dyDescent="0.2">
      <c r="A13" s="1" t="s">
        <v>251</v>
      </c>
      <c r="B13">
        <f>Baza!GX11</f>
        <v>0.58659366560000004</v>
      </c>
      <c r="C13">
        <f ca="1">OFFSET(Baza!$GX11,0,C$2)</f>
        <v>0.51895077050000005</v>
      </c>
      <c r="D13">
        <f ca="1">OFFSET(Baza!$GX11,0,D$2)</f>
        <v>1.105544436</v>
      </c>
      <c r="E13">
        <f ca="1">OFFSET(Baza!$GX11,0,E$2)</f>
        <v>0.48855291220000002</v>
      </c>
      <c r="F13">
        <f ca="1">OFFSET(Baza!$GX11,0,F$2)</f>
        <v>1.769033053</v>
      </c>
      <c r="G13">
        <f ca="1">OFFSET(Baza!$GX11,0,G$2)</f>
        <v>0.1830405671</v>
      </c>
      <c r="H13">
        <f ca="1">OFFSET(Baza!$GX11,0,H$2)</f>
        <v>0.2295824843</v>
      </c>
      <c r="I13">
        <f ca="1">OFFSET(Baza!$GX11,0,I$2)</f>
        <v>0.12800785749999999</v>
      </c>
      <c r="J13">
        <f ca="1">OFFSET(Baza!$GX11,0,J$2)</f>
        <v>3.0483969740000001</v>
      </c>
      <c r="K13">
        <f ca="1">OFFSET(Baza!$GX11,0,K$2)</f>
        <v>0.97531580839999998</v>
      </c>
      <c r="L13">
        <f ca="1">OFFSET(Baza!$GX11,0,L$2)</f>
        <v>0.7937172442</v>
      </c>
      <c r="M13">
        <f ca="1">OFFSET(Baza!$GX11,0,M$2)</f>
        <v>1.669775684</v>
      </c>
      <c r="N13">
        <f ca="1">OFFSET(Baza!$GX11,0,N$2)</f>
        <v>1.3955926839999999</v>
      </c>
      <c r="O13">
        <f ca="1">OFFSET(Baza!$GX11,0,O$2)</f>
        <v>9.4735819230000004E-2</v>
      </c>
      <c r="P13">
        <f ca="1">OFFSET(Baza!$GX11,0,P$2)</f>
        <v>1.184171187</v>
      </c>
      <c r="Q13">
        <f ca="1">OFFSET(Baza!$GX11,0,Q$2)</f>
        <v>58.191393310000002</v>
      </c>
      <c r="R13">
        <f ca="1">OFFSET(Baza!$GX11,0,R$2)</f>
        <v>0.3707555535</v>
      </c>
      <c r="S13">
        <f ca="1">OFFSET(Baza!$GX11,0,S$2)</f>
        <v>11.29211381</v>
      </c>
      <c r="T13">
        <f ca="1">OFFSET(Baza!$GX11,0,T$2)</f>
        <v>110.3254185</v>
      </c>
    </row>
    <row r="14" spans="1:23" x14ac:dyDescent="0.2">
      <c r="A14" s="1" t="s">
        <v>252</v>
      </c>
      <c r="B14">
        <f>Baza!GX12</f>
        <v>0.61889354370000005</v>
      </c>
      <c r="C14">
        <f ca="1">OFFSET(Baza!$GX12,0,C$2)</f>
        <v>0.48612959459999999</v>
      </c>
      <c r="D14">
        <f ca="1">OFFSET(Baza!$GX12,0,D$2)</f>
        <v>1.105023138</v>
      </c>
      <c r="E14">
        <f ca="1">OFFSET(Baza!$GX12,0,E$2)</f>
        <v>0.50051455079999996</v>
      </c>
      <c r="F14">
        <f ca="1">OFFSET(Baza!$GX12,0,F$2)</f>
        <v>1.8760317369999999</v>
      </c>
      <c r="G14">
        <f ca="1">OFFSET(Baza!$GX12,0,G$2)</f>
        <v>0.18428864079999999</v>
      </c>
      <c r="H14">
        <f ca="1">OFFSET(Baza!$GX12,0,H$2)</f>
        <v>0.2328882344</v>
      </c>
      <c r="I14">
        <f ca="1">OFFSET(Baza!$GX12,0,I$2)</f>
        <v>0.25098841669999999</v>
      </c>
      <c r="J14">
        <f ca="1">OFFSET(Baza!$GX12,0,J$2)</f>
        <v>3.2021403350000002</v>
      </c>
      <c r="K14">
        <f ca="1">OFFSET(Baza!$GX12,0,K$2)</f>
        <v>1.107941654</v>
      </c>
      <c r="L14">
        <f ca="1">OFFSET(Baza!$GX12,0,L$2)</f>
        <v>0.7680900826</v>
      </c>
      <c r="M14">
        <f ca="1">OFFSET(Baza!$GX12,0,M$2)</f>
        <v>1.773412532</v>
      </c>
      <c r="N14">
        <f ca="1">OFFSET(Baza!$GX12,0,N$2)</f>
        <v>1.457929805</v>
      </c>
      <c r="O14">
        <f ca="1">OFFSET(Baza!$GX12,0,O$2)</f>
        <v>0.13353577599999999</v>
      </c>
      <c r="P14">
        <f ca="1">OFFSET(Baza!$GX12,0,P$2)</f>
        <v>0.95032378490000002</v>
      </c>
      <c r="Q14">
        <f ca="1">OFFSET(Baza!$GX12,0,Q$2)</f>
        <v>46.676635900000001</v>
      </c>
      <c r="R14">
        <f ca="1">OFFSET(Baza!$GX12,0,R$2)</f>
        <v>0.362975518</v>
      </c>
      <c r="S14">
        <f ca="1">OFFSET(Baza!$GX12,0,S$2)</f>
        <v>11.399760540000001</v>
      </c>
      <c r="T14">
        <f ca="1">OFFSET(Baza!$GX12,0,T$2)</f>
        <v>78.768439029999996</v>
      </c>
    </row>
    <row r="15" spans="1:23" x14ac:dyDescent="0.2">
      <c r="A15" s="1" t="s">
        <v>253</v>
      </c>
      <c r="B15">
        <f>Baza!GX13</f>
        <v>0.69387858219999998</v>
      </c>
      <c r="C15">
        <f ca="1">OFFSET(Baza!$GX13,0,C$2)</f>
        <v>0.73307896370000003</v>
      </c>
      <c r="D15">
        <f ca="1">OFFSET(Baza!$GX13,0,D$2)</f>
        <v>1.4269575459999999</v>
      </c>
      <c r="E15">
        <f ca="1">OFFSET(Baza!$GX13,0,E$2)</f>
        <v>0.62647356580000002</v>
      </c>
      <c r="F15">
        <f ca="1">OFFSET(Baza!$GX13,0,F$2)</f>
        <v>2.3160747050000001</v>
      </c>
      <c r="G15">
        <f ca="1">OFFSET(Baza!$GX13,0,G$2)</f>
        <v>0.19545763259999999</v>
      </c>
      <c r="H15">
        <f ca="1">OFFSET(Baza!$GX13,0,H$2)</f>
        <v>0.251804421</v>
      </c>
      <c r="I15">
        <f ca="1">OFFSET(Baza!$GX13,0,I$2)</f>
        <v>-0.14107180220000001</v>
      </c>
      <c r="J15">
        <f ca="1">OFFSET(Baza!$GX13,0,J$2)</f>
        <v>3.863773718</v>
      </c>
      <c r="K15">
        <f ca="1">OFFSET(Baza!$GX13,0,K$2)</f>
        <v>1.1882563020000001</v>
      </c>
      <c r="L15">
        <f ca="1">OFFSET(Baza!$GX13,0,L$2)</f>
        <v>1.1278184040000001</v>
      </c>
      <c r="M15">
        <f ca="1">OFFSET(Baza!$GX13,0,M$2)</f>
        <v>2.1793441950000001</v>
      </c>
      <c r="N15">
        <f ca="1">OFFSET(Baza!$GX13,0,N$2)</f>
        <v>1.5970623370000001</v>
      </c>
      <c r="O15">
        <f ca="1">OFFSET(Baza!$GX13,0,O$2)</f>
        <v>0.1022471211</v>
      </c>
      <c r="P15">
        <f ca="1">OFFSET(Baza!$GX13,0,P$2)</f>
        <v>2.345498171</v>
      </c>
      <c r="Q15">
        <f ca="1">OFFSET(Baza!$GX13,0,Q$2)</f>
        <v>33.72097608</v>
      </c>
      <c r="R15">
        <f ca="1">OFFSET(Baza!$GX13,0,R$2)</f>
        <v>0.38066991620000001</v>
      </c>
      <c r="S15">
        <f ca="1">OFFSET(Baza!$GX13,0,S$2)</f>
        <v>7.0352665459999999</v>
      </c>
      <c r="T15">
        <f ca="1">OFFSET(Baza!$GX13,0,T$2)</f>
        <v>99.453119009999995</v>
      </c>
    </row>
    <row r="16" spans="1:23" x14ac:dyDescent="0.2">
      <c r="A16" s="1" t="s">
        <v>254</v>
      </c>
      <c r="B16">
        <f>Baza!GX14</f>
        <v>0.37188964660000001</v>
      </c>
      <c r="C16">
        <f ca="1">OFFSET(Baza!$GX14,0,C$2)</f>
        <v>0.35029116399999999</v>
      </c>
      <c r="D16">
        <f ca="1">OFFSET(Baza!$GX14,0,D$2)</f>
        <v>0.72218081050000005</v>
      </c>
      <c r="E16">
        <f ca="1">OFFSET(Baza!$GX14,0,E$2)</f>
        <v>0.45806809780000002</v>
      </c>
      <c r="F16">
        <f ca="1">OFFSET(Baza!$GX14,0,F$2)</f>
        <v>1.388318495</v>
      </c>
      <c r="G16">
        <f ca="1">OFFSET(Baza!$GX14,0,G$2)</f>
        <v>0.12190222489999999</v>
      </c>
      <c r="H16">
        <f ca="1">OFFSET(Baza!$GX14,0,H$2)</f>
        <v>0.15748484979999999</v>
      </c>
      <c r="I16">
        <f ca="1">OFFSET(Baza!$GX14,0,I$2)</f>
        <v>-1.1357010129999999E-2</v>
      </c>
      <c r="J16">
        <f ca="1">OFFSET(Baza!$GX14,0,J$2)</f>
        <v>3.488054467</v>
      </c>
      <c r="K16">
        <f ca="1">OFFSET(Baza!$GX14,0,K$2)</f>
        <v>0.72187360519999999</v>
      </c>
      <c r="L16">
        <f ca="1">OFFSET(Baza!$GX14,0,L$2)</f>
        <v>0.66644488950000003</v>
      </c>
      <c r="M16">
        <f ca="1">OFFSET(Baza!$GX14,0,M$2)</f>
        <v>1.2965944890000001</v>
      </c>
      <c r="N16">
        <f ca="1">OFFSET(Baza!$GX14,0,N$2)</f>
        <v>1.082776468</v>
      </c>
      <c r="O16">
        <f ca="1">OFFSET(Baza!$GX14,0,O$2)</f>
        <v>0.31297210390000002</v>
      </c>
      <c r="P16">
        <f ca="1">OFFSET(Baza!$GX14,0,P$2)</f>
        <v>0.48881241660000002</v>
      </c>
      <c r="Q16">
        <f ca="1">OFFSET(Baza!$GX14,0,Q$2)</f>
        <v>86.512900389999999</v>
      </c>
      <c r="R16">
        <f ca="1">OFFSET(Baza!$GX14,0,R$2)</f>
        <v>0.21677004650000001</v>
      </c>
      <c r="S16">
        <f ca="1">OFFSET(Baza!$GX14,0,S$2)</f>
        <v>10.87981497</v>
      </c>
      <c r="T16">
        <f ca="1">OFFSET(Baza!$GX14,0,T$2)</f>
        <v>32.726144069999997</v>
      </c>
    </row>
    <row r="17" spans="1:20" x14ac:dyDescent="0.2">
      <c r="A17" s="1" t="s">
        <v>255</v>
      </c>
      <c r="B17">
        <f>Baza!GX15</f>
        <v>0.55295250539999996</v>
      </c>
      <c r="C17">
        <f ca="1">OFFSET(Baza!$GX15,0,C$2)</f>
        <v>0.54970174039999997</v>
      </c>
      <c r="D17">
        <f ca="1">OFFSET(Baza!$GX15,0,D$2)</f>
        <v>1.1026542459999999</v>
      </c>
      <c r="E17">
        <f ca="1">OFFSET(Baza!$GX15,0,E$2)</f>
        <v>0.47358705249999999</v>
      </c>
      <c r="F17">
        <f ca="1">OFFSET(Baza!$GX15,0,F$2)</f>
        <v>1.7036163369999999</v>
      </c>
      <c r="G17">
        <f ca="1">OFFSET(Baza!$GX15,0,G$2)</f>
        <v>0.17737957069999999</v>
      </c>
      <c r="H17">
        <f ca="1">OFFSET(Baza!$GX15,0,H$2)</f>
        <v>0.22242400200000001</v>
      </c>
      <c r="I17">
        <f ca="1">OFFSET(Baza!$GX15,0,I$2)</f>
        <v>-6.5497552750000002E-3</v>
      </c>
      <c r="J17">
        <f ca="1">OFFSET(Baza!$GX15,0,J$2)</f>
        <v>3.048073118</v>
      </c>
      <c r="K17">
        <f ca="1">OFFSET(Baza!$GX15,0,K$2)</f>
        <v>0.86367142200000002</v>
      </c>
      <c r="L17">
        <f ca="1">OFFSET(Baza!$GX15,0,L$2)</f>
        <v>0.83994491490000001</v>
      </c>
      <c r="M17">
        <f ca="1">OFFSET(Baza!$GX15,0,M$2)</f>
        <v>1.6138501839999999</v>
      </c>
      <c r="N17">
        <f ca="1">OFFSET(Baza!$GX15,0,N$2)</f>
        <v>1.403034047</v>
      </c>
      <c r="O17">
        <f ca="1">OFFSET(Baza!$GX15,0,O$2)</f>
        <v>8.6570705040000001E-2</v>
      </c>
      <c r="P17">
        <f ca="1">OFFSET(Baza!$GX15,0,P$2)</f>
        <v>2.0708020390000001</v>
      </c>
      <c r="Q17">
        <f ca="1">OFFSET(Baza!$GX15,0,Q$2)</f>
        <v>71.02434968</v>
      </c>
      <c r="R17">
        <f ca="1">OFFSET(Baza!$GX15,0,R$2)</f>
        <v>0.35829594259999997</v>
      </c>
      <c r="S17">
        <f ca="1">OFFSET(Baza!$GX15,0,S$2)</f>
        <v>10.634752990000001</v>
      </c>
      <c r="T17">
        <f ca="1">OFFSET(Baza!$GX15,0,T$2)</f>
        <v>119.7076872</v>
      </c>
    </row>
    <row r="18" spans="1:20" x14ac:dyDescent="0.2">
      <c r="A18" s="1" t="s">
        <v>256</v>
      </c>
      <c r="B18">
        <f>Baza!GX16</f>
        <v>0.35277987570000002</v>
      </c>
      <c r="C18">
        <f ca="1">OFFSET(Baza!$GX16,0,C$2)</f>
        <v>0.34921242730000002</v>
      </c>
      <c r="D18">
        <f ca="1">OFFSET(Baza!$GX16,0,D$2)</f>
        <v>0.70199230300000004</v>
      </c>
      <c r="E18">
        <f ca="1">OFFSET(Baza!$GX16,0,E$2)</f>
        <v>0.474431875</v>
      </c>
      <c r="F18">
        <f ca="1">OFFSET(Baza!$GX16,0,F$2)</f>
        <v>1.3469201529999999</v>
      </c>
      <c r="G18">
        <f ca="1">OFFSET(Baza!$GX16,0,G$2)</f>
        <v>0.12179644320000001</v>
      </c>
      <c r="H18">
        <f ca="1">OFFSET(Baza!$GX16,0,H$2)</f>
        <v>0.1571102644</v>
      </c>
      <c r="I18">
        <f ca="1">OFFSET(Baza!$GX16,0,I$2)</f>
        <v>-6.833296623E-2</v>
      </c>
      <c r="J18">
        <f ca="1">OFFSET(Baza!$GX16,0,J$2)</f>
        <v>3.429021702</v>
      </c>
      <c r="K18">
        <f ca="1">OFFSET(Baza!$GX16,0,K$2)</f>
        <v>0.6675704817</v>
      </c>
      <c r="L18">
        <f ca="1">OFFSET(Baza!$GX16,0,L$2)</f>
        <v>0.67934967089999998</v>
      </c>
      <c r="M18">
        <f ca="1">OFFSET(Baza!$GX16,0,M$2)</f>
        <v>1.2480681419999999</v>
      </c>
      <c r="N18">
        <f ca="1">OFFSET(Baza!$GX16,0,N$2)</f>
        <v>1.023195879</v>
      </c>
      <c r="O18">
        <f ca="1">OFFSET(Baza!$GX16,0,O$2)</f>
        <v>0.35078277569999999</v>
      </c>
      <c r="P18">
        <f ca="1">OFFSET(Baza!$GX16,0,P$2)</f>
        <v>0.42361841500000003</v>
      </c>
      <c r="Q18">
        <f ca="1">OFFSET(Baza!$GX16,0,Q$2)</f>
        <v>88.744514949999996</v>
      </c>
      <c r="R18">
        <f ca="1">OFFSET(Baza!$GX16,0,R$2)</f>
        <v>0.215171631</v>
      </c>
      <c r="S18">
        <f ca="1">OFFSET(Baza!$GX16,0,S$2)</f>
        <v>11.47920161</v>
      </c>
      <c r="T18">
        <f ca="1">OFFSET(Baza!$GX16,0,T$2)</f>
        <v>29.209049220000001</v>
      </c>
    </row>
    <row r="19" spans="1:20" x14ac:dyDescent="0.2">
      <c r="A1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2"/>
  <sheetViews>
    <sheetView workbookViewId="0">
      <selection activeCell="N20" sqref="N20"/>
    </sheetView>
  </sheetViews>
  <sheetFormatPr baseColWidth="10" defaultColWidth="8.83203125" defaultRowHeight="15" x14ac:dyDescent="0.2"/>
  <cols>
    <col min="1" max="1" width="11.33203125" bestFit="1" customWidth="1"/>
    <col min="4" max="4" width="18.6640625" bestFit="1" customWidth="1"/>
    <col min="10" max="10" width="5.5" bestFit="1" customWidth="1"/>
    <col min="11" max="11" width="12.5" bestFit="1" customWidth="1"/>
    <col min="12" max="12" width="11.5" bestFit="1" customWidth="1"/>
    <col min="13" max="13" width="7" bestFit="1" customWidth="1"/>
    <col min="14" max="14" width="14" bestFit="1" customWidth="1"/>
    <col min="15" max="15" width="12.83203125" bestFit="1" customWidth="1"/>
  </cols>
  <sheetData>
    <row r="1" spans="1:15" x14ac:dyDescent="0.2">
      <c r="B1" t="s">
        <v>258</v>
      </c>
      <c r="C1" t="s">
        <v>259</v>
      </c>
      <c r="D1" t="s">
        <v>260</v>
      </c>
      <c r="E1" t="s">
        <v>259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</row>
    <row r="2" spans="1:15" x14ac:dyDescent="0.2">
      <c r="B2">
        <f>Baza!J1</f>
        <v>5</v>
      </c>
      <c r="C2">
        <f>Baza!K1</f>
        <v>5</v>
      </c>
      <c r="D2">
        <f>Baza!L1</f>
        <v>6</v>
      </c>
      <c r="E2">
        <f>Baza!M1</f>
        <v>6</v>
      </c>
      <c r="F2">
        <f>Baza!N1</f>
        <v>13</v>
      </c>
      <c r="G2">
        <f>Baza!O1</f>
        <v>13</v>
      </c>
      <c r="H2">
        <f>Baza!P1</f>
        <v>14</v>
      </c>
      <c r="I2">
        <f>Baza!Q1</f>
        <v>14</v>
      </c>
    </row>
    <row r="3" spans="1:15" x14ac:dyDescent="0.2">
      <c r="B3" t="str">
        <f>Baza!J2</f>
        <v>Amp</v>
      </c>
      <c r="C3" t="str">
        <f>Baza!K2</f>
        <v>Aev</v>
      </c>
      <c r="D3" t="str">
        <f>Baza!L2</f>
        <v>Amp</v>
      </c>
      <c r="E3" t="str">
        <f>Baza!M2</f>
        <v>Aev</v>
      </c>
      <c r="F3" t="str">
        <f>Baza!N2</f>
        <v>Amp</v>
      </c>
      <c r="G3" t="str">
        <f>Baza!O2</f>
        <v>Aev</v>
      </c>
      <c r="H3" t="str">
        <f>Baza!P2</f>
        <v>Amp</v>
      </c>
      <c r="I3" t="str">
        <f>Baza!Q2</f>
        <v>Aev</v>
      </c>
    </row>
    <row r="4" spans="1:15" x14ac:dyDescent="0.2">
      <c r="B4" t="str">
        <f>Baza!J3</f>
        <v>mm²</v>
      </c>
      <c r="C4" t="str">
        <f>Baza!K3</f>
        <v>mm²</v>
      </c>
      <c r="D4" t="str">
        <f>Baza!L3</f>
        <v>mm²</v>
      </c>
      <c r="E4" t="str">
        <f>Baza!M3</f>
        <v>mm²</v>
      </c>
      <c r="F4" t="str">
        <f>Baza!N3</f>
        <v>mm²</v>
      </c>
      <c r="G4" t="str">
        <f>Baza!O3</f>
        <v>mm²</v>
      </c>
      <c r="H4" t="str">
        <f>Baza!P3</f>
        <v>mm²</v>
      </c>
      <c r="I4" t="str">
        <f>Baza!Q3</f>
        <v>mm²</v>
      </c>
    </row>
    <row r="5" spans="1:15" x14ac:dyDescent="0.2">
      <c r="A5" s="1" t="s">
        <v>244</v>
      </c>
      <c r="B5">
        <f>Baza!J4</f>
        <v>32.53025976</v>
      </c>
      <c r="C5">
        <f>Baza!K4</f>
        <v>32.553624839999998</v>
      </c>
      <c r="D5">
        <f>Baza!L4</f>
        <v>32.553624839999998</v>
      </c>
      <c r="E5">
        <f>Baza!M4</f>
        <v>32.553624839999998</v>
      </c>
      <c r="F5">
        <f>Baza!N4</f>
        <v>32.482781160000002</v>
      </c>
      <c r="G5">
        <f>Baza!O4</f>
        <v>32.553624839999998</v>
      </c>
      <c r="H5">
        <f>Baza!P4</f>
        <v>32.083573219999998</v>
      </c>
      <c r="I5">
        <f>Baza!Q4</f>
        <v>32.553624839999998</v>
      </c>
      <c r="J5" s="4">
        <f>C5-B5</f>
        <v>2.3365079999997818E-2</v>
      </c>
      <c r="K5" s="4">
        <f>G5-F5</f>
        <v>7.0843679999995857E-2</v>
      </c>
      <c r="L5" s="4">
        <f>I5-H5</f>
        <v>0.47005161999999956</v>
      </c>
      <c r="M5" s="5">
        <f>(J5/C5)</f>
        <v>7.1774126890127975E-4</v>
      </c>
      <c r="N5" s="5">
        <f t="shared" ref="N5:O17" si="0">(K5/D5)</f>
        <v>2.1762147947637237E-3</v>
      </c>
      <c r="O5" s="5">
        <f t="shared" si="0"/>
        <v>1.4439301992029701E-2</v>
      </c>
    </row>
    <row r="6" spans="1:15" x14ac:dyDescent="0.2">
      <c r="A6" s="1" t="s">
        <v>245</v>
      </c>
      <c r="B6">
        <f>Baza!J5</f>
        <v>32.529916960000001</v>
      </c>
      <c r="C6">
        <f>Baza!K5</f>
        <v>32.553624839999998</v>
      </c>
      <c r="D6">
        <f>Baza!L5</f>
        <v>32.553624839999998</v>
      </c>
      <c r="E6">
        <f>Baza!M5</f>
        <v>32.553624839999998</v>
      </c>
      <c r="F6">
        <f>Baza!N5</f>
        <v>32.48343818</v>
      </c>
      <c r="G6">
        <f>Baza!O5</f>
        <v>32.553624839999998</v>
      </c>
      <c r="H6">
        <f>Baza!P5</f>
        <v>32.087951429999997</v>
      </c>
      <c r="I6">
        <f>Baza!Q5</f>
        <v>32.553624839999998</v>
      </c>
      <c r="J6" s="4">
        <f t="shared" ref="J6:J17" si="1">C6-B6</f>
        <v>2.3707879999996351E-2</v>
      </c>
      <c r="K6" s="4">
        <f t="shared" ref="K6:K17" si="2">G6-F6</f>
        <v>7.0186659999997403E-2</v>
      </c>
      <c r="L6" s="4">
        <f t="shared" ref="L6:L17" si="3">I6-H6</f>
        <v>0.46567341000000084</v>
      </c>
      <c r="M6" s="5">
        <f t="shared" ref="M6:M17" si="4">(J6/C6)</f>
        <v>7.2827158623716423E-4</v>
      </c>
      <c r="N6" s="5">
        <f t="shared" si="0"/>
        <v>2.1560320961171772E-3</v>
      </c>
      <c r="O6" s="5">
        <f t="shared" si="0"/>
        <v>1.4304809749721282E-2</v>
      </c>
    </row>
    <row r="7" spans="1:15" x14ac:dyDescent="0.2">
      <c r="A7" s="1" t="s">
        <v>246</v>
      </c>
      <c r="B7">
        <f>Baza!J6</f>
        <v>32.52779546</v>
      </c>
      <c r="C7">
        <f>Baza!K6</f>
        <v>32.553624839999998</v>
      </c>
      <c r="D7">
        <f>Baza!L6</f>
        <v>32.553624839999998</v>
      </c>
      <c r="E7">
        <f>Baza!M6</f>
        <v>32.553624839999998</v>
      </c>
      <c r="F7">
        <f>Baza!N6</f>
        <v>32.48190323</v>
      </c>
      <c r="G7">
        <f>Baza!O6</f>
        <v>32.553624839999998</v>
      </c>
      <c r="H7">
        <f>Baza!P6</f>
        <v>32.092655299999997</v>
      </c>
      <c r="I7">
        <f>Baza!Q6</f>
        <v>32.553624839999998</v>
      </c>
      <c r="J7" s="4">
        <f t="shared" si="1"/>
        <v>2.582937999999757E-2</v>
      </c>
      <c r="K7" s="4">
        <f t="shared" si="2"/>
        <v>7.1721609999997327E-2</v>
      </c>
      <c r="L7" s="4">
        <f t="shared" si="3"/>
        <v>0.46096954000000068</v>
      </c>
      <c r="M7" s="5">
        <f t="shared" si="4"/>
        <v>7.9344098013502736E-4</v>
      </c>
      <c r="N7" s="5">
        <f t="shared" si="0"/>
        <v>2.2031835272571547E-3</v>
      </c>
      <c r="O7" s="5">
        <f t="shared" si="0"/>
        <v>1.4160313705943683E-2</v>
      </c>
    </row>
    <row r="8" spans="1:15" x14ac:dyDescent="0.2">
      <c r="A8" s="1" t="s">
        <v>247</v>
      </c>
      <c r="B8">
        <f>Baza!J7</f>
        <v>32.54023119</v>
      </c>
      <c r="C8">
        <f>Baza!K7</f>
        <v>32.553624839999998</v>
      </c>
      <c r="D8">
        <f>Baza!L7</f>
        <v>32.553624839999998</v>
      </c>
      <c r="E8">
        <f>Baza!M7</f>
        <v>32.553624839999998</v>
      </c>
      <c r="F8">
        <f>Baza!N7</f>
        <v>32.487886860000003</v>
      </c>
      <c r="G8">
        <f>Baza!O7</f>
        <v>32.553624839999998</v>
      </c>
      <c r="H8">
        <f>Baza!P7</f>
        <v>32.055012929999997</v>
      </c>
      <c r="I8">
        <f>Baza!Q7</f>
        <v>32.553624839999998</v>
      </c>
      <c r="J8" s="4">
        <f t="shared" si="1"/>
        <v>1.3393649999997592E-2</v>
      </c>
      <c r="K8" s="4">
        <f t="shared" si="2"/>
        <v>6.5737979999994423E-2</v>
      </c>
      <c r="L8" s="4">
        <f t="shared" si="3"/>
        <v>0.49861191000000105</v>
      </c>
      <c r="M8" s="5">
        <f t="shared" si="4"/>
        <v>4.1143344453427056E-4</v>
      </c>
      <c r="N8" s="5">
        <f t="shared" si="0"/>
        <v>2.0193751179198769E-3</v>
      </c>
      <c r="O8" s="5">
        <f t="shared" si="0"/>
        <v>1.5316632554766552E-2</v>
      </c>
    </row>
    <row r="9" spans="1:15" x14ac:dyDescent="0.2">
      <c r="A9" s="1" t="s">
        <v>248</v>
      </c>
      <c r="B9">
        <f>Baza!J8</f>
        <v>32.540975809999999</v>
      </c>
      <c r="C9">
        <f>Baza!K8</f>
        <v>32.553624839999998</v>
      </c>
      <c r="D9">
        <f>Baza!L8</f>
        <v>32.553624839999998</v>
      </c>
      <c r="E9">
        <f>Baza!M8</f>
        <v>32.553624839999998</v>
      </c>
      <c r="F9">
        <f>Baza!N8</f>
        <v>32.490311159999997</v>
      </c>
      <c r="G9">
        <f>Baza!O8</f>
        <v>32.553624839999998</v>
      </c>
      <c r="H9">
        <f>Baza!P8</f>
        <v>32.056159379999997</v>
      </c>
      <c r="I9">
        <f>Baza!Q8</f>
        <v>32.553624839999998</v>
      </c>
      <c r="J9" s="4">
        <f t="shared" si="1"/>
        <v>1.2649029999998618E-2</v>
      </c>
      <c r="K9" s="4">
        <f t="shared" si="2"/>
        <v>6.3313680000000261E-2</v>
      </c>
      <c r="L9" s="4">
        <f t="shared" si="3"/>
        <v>0.4974654600000008</v>
      </c>
      <c r="M9" s="5">
        <f t="shared" si="4"/>
        <v>3.8855980131761628E-4</v>
      </c>
      <c r="N9" s="5">
        <f t="shared" si="0"/>
        <v>1.944904148499128E-3</v>
      </c>
      <c r="O9" s="5">
        <f t="shared" si="0"/>
        <v>1.5281415278483649E-2</v>
      </c>
    </row>
    <row r="10" spans="1:15" x14ac:dyDescent="0.2">
      <c r="A10" s="1" t="s">
        <v>249</v>
      </c>
      <c r="B10">
        <f>Baza!J9</f>
        <v>32.541189109999998</v>
      </c>
      <c r="C10">
        <f>Baza!K9</f>
        <v>32.553624839999998</v>
      </c>
      <c r="D10">
        <f>Baza!L9</f>
        <v>32.553624839999998</v>
      </c>
      <c r="E10">
        <f>Baza!M9</f>
        <v>32.553624839999998</v>
      </c>
      <c r="F10">
        <f>Baza!N9</f>
        <v>32.490836770000001</v>
      </c>
      <c r="G10">
        <f>Baza!O9</f>
        <v>32.553624839999998</v>
      </c>
      <c r="H10">
        <f>Baza!P9</f>
        <v>32.061539310000001</v>
      </c>
      <c r="I10">
        <f>Baza!Q9</f>
        <v>32.553624839999998</v>
      </c>
      <c r="J10" s="4">
        <f t="shared" si="1"/>
        <v>1.2435729999999978E-2</v>
      </c>
      <c r="K10" s="4">
        <f t="shared" si="2"/>
        <v>6.278806999999631E-2</v>
      </c>
      <c r="L10" s="4">
        <f t="shared" si="3"/>
        <v>0.49208552999999711</v>
      </c>
      <c r="M10" s="5">
        <f t="shared" si="4"/>
        <v>3.8200753560075674E-4</v>
      </c>
      <c r="N10" s="5">
        <f t="shared" si="0"/>
        <v>1.9287581738930033E-3</v>
      </c>
      <c r="O10" s="5">
        <f t="shared" si="0"/>
        <v>1.5116151654956443E-2</v>
      </c>
    </row>
    <row r="11" spans="1:15" x14ac:dyDescent="0.2">
      <c r="A11" s="1" t="s">
        <v>250</v>
      </c>
      <c r="B11">
        <f>Baza!J10</f>
        <v>32.604792260000004</v>
      </c>
      <c r="C11">
        <f>Baza!K10</f>
        <v>32.616896619999999</v>
      </c>
      <c r="D11">
        <f>Baza!L10</f>
        <v>32.616896619999999</v>
      </c>
      <c r="E11">
        <f>Baza!M10</f>
        <v>32.616896619999999</v>
      </c>
      <c r="F11">
        <f>Baza!N10</f>
        <v>32.563735299999998</v>
      </c>
      <c r="G11">
        <f>Baza!O10</f>
        <v>32.616896619999999</v>
      </c>
      <c r="H11">
        <f>Baza!P10</f>
        <v>32.19565858</v>
      </c>
      <c r="I11">
        <f>Baza!Q10</f>
        <v>32.616896619999999</v>
      </c>
      <c r="J11" s="4">
        <f t="shared" si="1"/>
        <v>1.210435999999504E-2</v>
      </c>
      <c r="K11" s="4">
        <f t="shared" si="2"/>
        <v>5.3161320000000956E-2</v>
      </c>
      <c r="L11" s="4">
        <f t="shared" si="3"/>
        <v>0.42123803999999865</v>
      </c>
      <c r="M11" s="5">
        <f t="shared" si="4"/>
        <v>3.7110704126808007E-4</v>
      </c>
      <c r="N11" s="5">
        <f t="shared" si="0"/>
        <v>1.6298705735052533E-3</v>
      </c>
      <c r="O11" s="5">
        <f t="shared" si="0"/>
        <v>1.2914718555465032E-2</v>
      </c>
    </row>
    <row r="12" spans="1:15" x14ac:dyDescent="0.2">
      <c r="A12" s="1" t="s">
        <v>251</v>
      </c>
      <c r="B12">
        <f>Baza!J11</f>
        <v>32.605470220000001</v>
      </c>
      <c r="C12">
        <f>Baza!K11</f>
        <v>32.616896619999999</v>
      </c>
      <c r="D12">
        <f>Baza!L11</f>
        <v>32.616896619999999</v>
      </c>
      <c r="E12">
        <f>Baza!M11</f>
        <v>32.616896619999999</v>
      </c>
      <c r="F12">
        <f>Baza!N11</f>
        <v>32.56381528</v>
      </c>
      <c r="G12">
        <f>Baza!O11</f>
        <v>32.616896619999999</v>
      </c>
      <c r="H12">
        <f>Baza!P11</f>
        <v>32.205658589999999</v>
      </c>
      <c r="I12">
        <f>Baza!Q11</f>
        <v>32.616896619999999</v>
      </c>
      <c r="J12" s="4">
        <f t="shared" si="1"/>
        <v>1.1426399999997727E-2</v>
      </c>
      <c r="K12" s="4">
        <f t="shared" si="2"/>
        <v>5.3081339999998534E-2</v>
      </c>
      <c r="L12" s="4">
        <f t="shared" si="3"/>
        <v>0.41123802999999981</v>
      </c>
      <c r="M12" s="5">
        <f t="shared" si="4"/>
        <v>3.5032149542367247E-4</v>
      </c>
      <c r="N12" s="5">
        <f t="shared" si="0"/>
        <v>1.627418470200202E-3</v>
      </c>
      <c r="O12" s="5">
        <f t="shared" si="0"/>
        <v>1.2608128688363234E-2</v>
      </c>
    </row>
    <row r="13" spans="1:15" x14ac:dyDescent="0.2">
      <c r="A13" s="1" t="s">
        <v>252</v>
      </c>
      <c r="B13">
        <f>Baza!J12</f>
        <v>32.605361670000001</v>
      </c>
      <c r="C13">
        <f>Baza!K12</f>
        <v>32.616896619999999</v>
      </c>
      <c r="D13">
        <f>Baza!L12</f>
        <v>32.616896619999999</v>
      </c>
      <c r="E13">
        <f>Baza!M12</f>
        <v>32.616896619999999</v>
      </c>
      <c r="F13">
        <f>Baza!N12</f>
        <v>32.564967449999997</v>
      </c>
      <c r="G13">
        <f>Baza!O12</f>
        <v>32.616896619999999</v>
      </c>
      <c r="H13">
        <f>Baza!P12</f>
        <v>32.22015107</v>
      </c>
      <c r="I13">
        <f>Baza!Q12</f>
        <v>32.616896619999999</v>
      </c>
      <c r="J13" s="4">
        <f t="shared" si="1"/>
        <v>1.1534949999997934E-2</v>
      </c>
      <c r="K13" s="4">
        <f t="shared" si="2"/>
        <v>5.1929170000001079E-2</v>
      </c>
      <c r="L13" s="4">
        <f t="shared" si="3"/>
        <v>0.39674554999999856</v>
      </c>
      <c r="M13" s="5">
        <f t="shared" si="4"/>
        <v>3.5364952510303954E-4</v>
      </c>
      <c r="N13" s="5">
        <f t="shared" si="0"/>
        <v>1.5920941408067374E-3</v>
      </c>
      <c r="O13" s="5">
        <f t="shared" si="0"/>
        <v>1.2163804380969907E-2</v>
      </c>
    </row>
    <row r="14" spans="1:15" x14ac:dyDescent="0.2">
      <c r="A14" s="1" t="s">
        <v>253</v>
      </c>
      <c r="B14">
        <f>Baza!J13</f>
        <v>32.604186660000003</v>
      </c>
      <c r="C14">
        <f>Baza!K13</f>
        <v>32.616896619999999</v>
      </c>
      <c r="D14">
        <f>Baza!L13</f>
        <v>32.616896619999999</v>
      </c>
      <c r="E14">
        <f>Baza!M13</f>
        <v>32.616896619999999</v>
      </c>
      <c r="F14">
        <f>Baza!N13</f>
        <v>32.557085129999997</v>
      </c>
      <c r="G14">
        <f>Baza!O13</f>
        <v>32.616896619999999</v>
      </c>
      <c r="H14">
        <f>Baza!P13</f>
        <v>32.152129709999997</v>
      </c>
      <c r="I14">
        <f>Baza!Q13</f>
        <v>32.616896619999999</v>
      </c>
      <c r="J14" s="4">
        <f t="shared" si="1"/>
        <v>1.2709959999995135E-2</v>
      </c>
      <c r="K14" s="4">
        <f t="shared" si="2"/>
        <v>5.9811490000001299E-2</v>
      </c>
      <c r="L14" s="4">
        <f t="shared" si="3"/>
        <v>0.46476691000000159</v>
      </c>
      <c r="M14" s="5">
        <f t="shared" si="4"/>
        <v>3.8967410505270613E-4</v>
      </c>
      <c r="N14" s="5">
        <f t="shared" si="0"/>
        <v>1.8337578432684532E-3</v>
      </c>
      <c r="O14" s="5">
        <f t="shared" si="0"/>
        <v>1.4249268267754703E-2</v>
      </c>
    </row>
    <row r="15" spans="1:15" x14ac:dyDescent="0.2">
      <c r="A15" s="1" t="s">
        <v>254</v>
      </c>
      <c r="B15">
        <f>Baza!J14</f>
        <v>32.605464509999997</v>
      </c>
      <c r="C15">
        <f>Baza!K14</f>
        <v>32.616896619999999</v>
      </c>
      <c r="D15">
        <f>Baza!L14</f>
        <v>32.616896619999999</v>
      </c>
      <c r="E15">
        <f>Baza!M14</f>
        <v>32.616896619999999</v>
      </c>
      <c r="F15">
        <f>Baza!N14</f>
        <v>32.567092760000001</v>
      </c>
      <c r="G15">
        <f>Baza!O14</f>
        <v>32.616896619999999</v>
      </c>
      <c r="H15">
        <f>Baza!P14</f>
        <v>32.215279619999997</v>
      </c>
      <c r="I15">
        <f>Baza!Q14</f>
        <v>32.616896619999999</v>
      </c>
      <c r="J15" s="4">
        <f t="shared" si="1"/>
        <v>1.1432110000001217E-2</v>
      </c>
      <c r="K15" s="4">
        <f t="shared" si="2"/>
        <v>4.9803859999997258E-2</v>
      </c>
      <c r="L15" s="4">
        <f t="shared" si="3"/>
        <v>0.40161700000000167</v>
      </c>
      <c r="M15" s="5">
        <f t="shared" si="4"/>
        <v>3.5049655806283195E-4</v>
      </c>
      <c r="N15" s="5">
        <f t="shared" si="0"/>
        <v>1.5269343549213867E-3</v>
      </c>
      <c r="O15" s="5">
        <f t="shared" si="0"/>
        <v>1.2313157952425755E-2</v>
      </c>
    </row>
    <row r="16" spans="1:15" x14ac:dyDescent="0.2">
      <c r="A16" s="1" t="s">
        <v>255</v>
      </c>
      <c r="B16">
        <f>Baza!J15</f>
        <v>32.608003080000003</v>
      </c>
      <c r="C16">
        <f>Baza!K15</f>
        <v>32.616896619999999</v>
      </c>
      <c r="D16">
        <f>Baza!L15</f>
        <v>32.616896619999999</v>
      </c>
      <c r="E16">
        <f>Baza!M15</f>
        <v>32.616896619999999</v>
      </c>
      <c r="F16">
        <f>Baza!N15</f>
        <v>32.569088569999998</v>
      </c>
      <c r="G16">
        <f>Baza!O15</f>
        <v>32.616896619999999</v>
      </c>
      <c r="H16">
        <f>Baza!P15</f>
        <v>32.20106517</v>
      </c>
      <c r="I16">
        <f>Baza!Q15</f>
        <v>32.616896619999999</v>
      </c>
      <c r="J16" s="4">
        <f t="shared" si="1"/>
        <v>8.8935399999954257E-3</v>
      </c>
      <c r="K16" s="4">
        <f t="shared" si="2"/>
        <v>4.7808050000000435E-2</v>
      </c>
      <c r="L16" s="4">
        <f t="shared" si="3"/>
        <v>0.41583144999999888</v>
      </c>
      <c r="M16" s="5">
        <f t="shared" si="4"/>
        <v>2.7266665199969064E-4</v>
      </c>
      <c r="N16" s="5">
        <f t="shared" si="0"/>
        <v>1.4657449038448845E-3</v>
      </c>
      <c r="O16" s="5">
        <f t="shared" si="0"/>
        <v>1.2748958150268034E-2</v>
      </c>
    </row>
    <row r="17" spans="1:15" x14ac:dyDescent="0.2">
      <c r="A17" s="1" t="s">
        <v>256</v>
      </c>
      <c r="B17">
        <f>Baza!J16</f>
        <v>32.603247789999998</v>
      </c>
      <c r="C17">
        <f>Baza!K16</f>
        <v>32.616896619999999</v>
      </c>
      <c r="D17">
        <f>Baza!L16</f>
        <v>32.616896619999999</v>
      </c>
      <c r="E17">
        <f>Baza!M16</f>
        <v>32.616896619999999</v>
      </c>
      <c r="F17">
        <f>Baza!N16</f>
        <v>32.563874319999996</v>
      </c>
      <c r="G17">
        <f>Baza!O16</f>
        <v>32.616896619999999</v>
      </c>
      <c r="H17">
        <f>Baza!P16</f>
        <v>32.213474239999996</v>
      </c>
      <c r="I17">
        <f>Baza!Q16</f>
        <v>32.616896619999999</v>
      </c>
      <c r="J17" s="4">
        <f t="shared" si="1"/>
        <v>1.3648830000001055E-2</v>
      </c>
      <c r="K17" s="4">
        <f t="shared" si="2"/>
        <v>5.3022300000002076E-2</v>
      </c>
      <c r="L17" s="4">
        <f t="shared" si="3"/>
        <v>0.40342238000000208</v>
      </c>
      <c r="M17" s="5">
        <f t="shared" si="4"/>
        <v>4.1845887912070329E-4</v>
      </c>
      <c r="N17" s="5">
        <f t="shared" si="0"/>
        <v>1.6256083654350461E-3</v>
      </c>
      <c r="O17" s="5">
        <f t="shared" si="0"/>
        <v>1.236850901850153E-2</v>
      </c>
    </row>
    <row r="18" spans="1:15" x14ac:dyDescent="0.2">
      <c r="J18" s="4"/>
      <c r="K18" s="4"/>
      <c r="L18" s="4"/>
      <c r="M18" s="5"/>
      <c r="N18" s="5"/>
      <c r="O18" s="5"/>
    </row>
    <row r="19" spans="1:15" x14ac:dyDescent="0.2">
      <c r="A19" s="1"/>
    </row>
    <row r="21" spans="1:15" x14ac:dyDescent="0.2">
      <c r="B21" t="s">
        <v>271</v>
      </c>
    </row>
    <row r="22" spans="1:15" x14ac:dyDescent="0.2">
      <c r="B22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Baza</vt:lpstr>
      <vt:lpstr>Par_S_005</vt:lpstr>
      <vt:lpstr>Par_S_05</vt:lpstr>
      <vt:lpstr>Par_P_005</vt:lpstr>
      <vt:lpstr>Par_P_05</vt:lpstr>
      <vt:lpstr>Par_R_005</vt:lpstr>
      <vt:lpstr>Par_R_05</vt:lpstr>
      <vt:lpstr>Punty 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Dawid Kucharski</cp:lastModifiedBy>
  <dcterms:created xsi:type="dcterms:W3CDTF">2025-02-17T10:03:57Z</dcterms:created>
  <dcterms:modified xsi:type="dcterms:W3CDTF">2025-09-02T12:22:27Z</dcterms:modified>
</cp:coreProperties>
</file>