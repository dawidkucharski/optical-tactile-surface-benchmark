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wid/Library/Mobile Documents/com~apple~CloudDocs/Dokumenty/Projekty/NSMT/AI_GUM/2024/Opole/analizy_vs_opole/optics/"/>
    </mc:Choice>
  </mc:AlternateContent>
  <xr:revisionPtr revIDLastSave="0" documentId="13_ncr:1_{E7B956CB-7198-6443-95D5-105E1E60DD1D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Baza" sheetId="1" r:id="rId1"/>
    <sheet name="Par_S_005" sheetId="2" r:id="rId2"/>
    <sheet name="Par_S_05" sheetId="3" r:id="rId3"/>
    <sheet name="Par_P_005" sheetId="4" r:id="rId4"/>
    <sheet name="Par_P_05" sheetId="5" r:id="rId5"/>
    <sheet name="Par_R_005" sheetId="6" r:id="rId6"/>
    <sheet name="Par_R_05" sheetId="7" r:id="rId7"/>
    <sheet name="Punty NM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I17" i="8" l="1"/>
  <c r="H17" i="8"/>
  <c r="G17" i="8"/>
  <c r="F17" i="8"/>
  <c r="E17" i="8"/>
  <c r="D17" i="8"/>
  <c r="C17" i="8"/>
  <c r="B17" i="8"/>
  <c r="I16" i="8"/>
  <c r="H16" i="8"/>
  <c r="G16" i="8"/>
  <c r="F16" i="8"/>
  <c r="E16" i="8"/>
  <c r="D16" i="8"/>
  <c r="C16" i="8"/>
  <c r="B16" i="8"/>
  <c r="I15" i="8"/>
  <c r="H15" i="8"/>
  <c r="G15" i="8"/>
  <c r="F15" i="8"/>
  <c r="E15" i="8"/>
  <c r="D15" i="8"/>
  <c r="C15" i="8"/>
  <c r="B15" i="8"/>
  <c r="I14" i="8"/>
  <c r="H14" i="8"/>
  <c r="G14" i="8"/>
  <c r="F14" i="8"/>
  <c r="E14" i="8"/>
  <c r="D14" i="8"/>
  <c r="C14" i="8"/>
  <c r="B14" i="8"/>
  <c r="I13" i="8"/>
  <c r="H13" i="8"/>
  <c r="G13" i="8"/>
  <c r="F13" i="8"/>
  <c r="E13" i="8"/>
  <c r="D13" i="8"/>
  <c r="C13" i="8"/>
  <c r="B13" i="8"/>
  <c r="I12" i="8"/>
  <c r="H12" i="8"/>
  <c r="G12" i="8"/>
  <c r="F12" i="8"/>
  <c r="E12" i="8"/>
  <c r="D12" i="8"/>
  <c r="C12" i="8"/>
  <c r="B12" i="8"/>
  <c r="I11" i="8"/>
  <c r="H11" i="8"/>
  <c r="G11" i="8"/>
  <c r="F11" i="8"/>
  <c r="E11" i="8"/>
  <c r="D11" i="8"/>
  <c r="C11" i="8"/>
  <c r="B11" i="8"/>
  <c r="I10" i="8"/>
  <c r="H10" i="8"/>
  <c r="G10" i="8"/>
  <c r="F10" i="8"/>
  <c r="E10" i="8"/>
  <c r="D10" i="8"/>
  <c r="C10" i="8"/>
  <c r="B10" i="8"/>
  <c r="I9" i="8"/>
  <c r="H9" i="8"/>
  <c r="G9" i="8"/>
  <c r="F9" i="8"/>
  <c r="E9" i="8"/>
  <c r="D9" i="8"/>
  <c r="C9" i="8"/>
  <c r="B9" i="8"/>
  <c r="I8" i="8"/>
  <c r="H8" i="8"/>
  <c r="G8" i="8"/>
  <c r="F8" i="8"/>
  <c r="E8" i="8"/>
  <c r="D8" i="8"/>
  <c r="C8" i="8"/>
  <c r="B8" i="8"/>
  <c r="I7" i="8"/>
  <c r="H7" i="8"/>
  <c r="G7" i="8"/>
  <c r="F7" i="8"/>
  <c r="E7" i="8"/>
  <c r="D7" i="8"/>
  <c r="C7" i="8"/>
  <c r="B7" i="8"/>
  <c r="I6" i="8"/>
  <c r="H6" i="8"/>
  <c r="G6" i="8"/>
  <c r="F6" i="8"/>
  <c r="E6" i="8"/>
  <c r="D6" i="8"/>
  <c r="C6" i="8"/>
  <c r="B6" i="8"/>
  <c r="I5" i="8"/>
  <c r="H5" i="8"/>
  <c r="G5" i="8"/>
  <c r="F5" i="8"/>
  <c r="E5" i="8"/>
  <c r="D5" i="8"/>
  <c r="C5" i="8"/>
  <c r="B5" i="8"/>
  <c r="I4" i="8"/>
  <c r="H4" i="8"/>
  <c r="G4" i="8"/>
  <c r="F4" i="8"/>
  <c r="E4" i="8"/>
  <c r="D4" i="8"/>
  <c r="C4" i="8"/>
  <c r="B4" i="8"/>
  <c r="I3" i="8"/>
  <c r="H3" i="8"/>
  <c r="G3" i="8"/>
  <c r="F3" i="8"/>
  <c r="E3" i="8"/>
  <c r="D3" i="8"/>
  <c r="C3" i="8"/>
  <c r="B3" i="8"/>
  <c r="I2" i="8"/>
  <c r="H2" i="8"/>
  <c r="G2" i="8"/>
  <c r="F2" i="8"/>
  <c r="E2" i="8"/>
  <c r="D2" i="8"/>
  <c r="C2" i="8"/>
  <c r="B2" i="8"/>
  <c r="C18" i="7"/>
  <c r="B18" i="7"/>
  <c r="C17" i="7"/>
  <c r="B17" i="7"/>
  <c r="C16" i="7"/>
  <c r="B16" i="7"/>
  <c r="C15" i="7"/>
  <c r="B15" i="7"/>
  <c r="C14" i="7"/>
  <c r="B14" i="7"/>
  <c r="D13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C1" i="7" s="1"/>
  <c r="B4" i="7"/>
  <c r="B1" i="7" s="1"/>
  <c r="C3" i="7"/>
  <c r="B3" i="7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C1" i="6" s="1"/>
  <c r="B4" i="6"/>
  <c r="B1" i="6" s="1"/>
  <c r="C3" i="6"/>
  <c r="B3" i="6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C1" i="5" s="1"/>
  <c r="B4" i="5"/>
  <c r="B1" i="5" s="1"/>
  <c r="C3" i="5"/>
  <c r="B3" i="5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C1" i="4" s="1"/>
  <c r="B4" i="4"/>
  <c r="B1" i="4" s="1"/>
  <c r="C3" i="4"/>
  <c r="B3" i="4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S4" i="3"/>
  <c r="S1" i="3" s="1"/>
  <c r="R4" i="3"/>
  <c r="R1" i="3" s="1"/>
  <c r="Q4" i="3"/>
  <c r="Q1" i="3" s="1"/>
  <c r="P4" i="3"/>
  <c r="P1" i="3" s="1"/>
  <c r="O4" i="3"/>
  <c r="O1" i="3" s="1"/>
  <c r="N4" i="3"/>
  <c r="N1" i="3" s="1"/>
  <c r="M4" i="3"/>
  <c r="M1" i="3" s="1"/>
  <c r="L4" i="3"/>
  <c r="L1" i="3" s="1"/>
  <c r="K4" i="3"/>
  <c r="K1" i="3" s="1"/>
  <c r="J4" i="3"/>
  <c r="J1" i="3" s="1"/>
  <c r="I4" i="3"/>
  <c r="I1" i="3" s="1"/>
  <c r="H4" i="3"/>
  <c r="H1" i="3" s="1"/>
  <c r="G4" i="3"/>
  <c r="G1" i="3" s="1"/>
  <c r="F4" i="3"/>
  <c r="F1" i="3" s="1"/>
  <c r="E4" i="3"/>
  <c r="E1" i="3" s="1"/>
  <c r="D4" i="3"/>
  <c r="D1" i="3" s="1"/>
  <c r="C4" i="3"/>
  <c r="C1" i="3" s="1"/>
  <c r="B4" i="3"/>
  <c r="B1" i="3" s="1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L17" i="8"/>
  <c r="O17" i="8" s="1"/>
  <c r="L12" i="8"/>
  <c r="J8" i="8"/>
  <c r="M8" i="8" s="1"/>
  <c r="D2" i="7"/>
  <c r="D17" i="7" s="1"/>
  <c r="D2" i="6"/>
  <c r="D2" i="5"/>
  <c r="D2" i="4"/>
  <c r="D13" i="4" s="1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S4" i="2"/>
  <c r="S1" i="2" s="1"/>
  <c r="R4" i="2"/>
  <c r="R1" i="2" s="1"/>
  <c r="Q4" i="2"/>
  <c r="Q1" i="2" s="1"/>
  <c r="P4" i="2"/>
  <c r="P1" i="2" s="1"/>
  <c r="O4" i="2"/>
  <c r="O1" i="2" s="1"/>
  <c r="N4" i="2"/>
  <c r="N1" i="2" s="1"/>
  <c r="M4" i="2"/>
  <c r="M1" i="2" s="1"/>
  <c r="L4" i="2"/>
  <c r="L1" i="2" s="1"/>
  <c r="K4" i="2"/>
  <c r="K1" i="2" s="1"/>
  <c r="J4" i="2"/>
  <c r="J1" i="2" s="1"/>
  <c r="I4" i="2"/>
  <c r="I1" i="2" s="1"/>
  <c r="H4" i="2"/>
  <c r="H1" i="2" s="1"/>
  <c r="G4" i="2"/>
  <c r="G1" i="2" s="1"/>
  <c r="F4" i="2"/>
  <c r="F1" i="2" s="1"/>
  <c r="E4" i="2"/>
  <c r="E1" i="2" s="1"/>
  <c r="D4" i="2"/>
  <c r="D1" i="2" s="1"/>
  <c r="C4" i="2"/>
  <c r="C1" i="2" s="1"/>
  <c r="B4" i="2"/>
  <c r="B1" i="2" s="1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U6" i="6" l="1"/>
  <c r="U8" i="6"/>
  <c r="U10" i="6"/>
  <c r="U12" i="6"/>
  <c r="U14" i="6"/>
  <c r="U16" i="6"/>
  <c r="U18" i="6"/>
  <c r="D6" i="4"/>
  <c r="D18" i="4"/>
  <c r="D3" i="4"/>
  <c r="D15" i="4"/>
  <c r="D12" i="4"/>
  <c r="U7" i="6"/>
  <c r="U9" i="6"/>
  <c r="U11" i="6"/>
  <c r="U13" i="6"/>
  <c r="U15" i="6"/>
  <c r="U17" i="6"/>
  <c r="D9" i="4"/>
  <c r="D5" i="7"/>
  <c r="D14" i="7"/>
  <c r="L6" i="8"/>
  <c r="O6" i="8" s="1"/>
  <c r="L7" i="8"/>
  <c r="O7" i="8" s="1"/>
  <c r="L16" i="8"/>
  <c r="O16" i="8" s="1"/>
  <c r="K9" i="8"/>
  <c r="N9" i="8" s="1"/>
  <c r="L5" i="8"/>
  <c r="O5" i="8" s="1"/>
  <c r="L11" i="8"/>
  <c r="O11" i="8" s="1"/>
  <c r="K16" i="8"/>
  <c r="N16" i="8" s="1"/>
  <c r="J17" i="8"/>
  <c r="M17" i="8" s="1"/>
  <c r="K6" i="8"/>
  <c r="N6" i="8" s="1"/>
  <c r="K12" i="8"/>
  <c r="N12" i="8" s="1"/>
  <c r="J14" i="8"/>
  <c r="M14" i="8" s="1"/>
  <c r="J6" i="8"/>
  <c r="M6" i="8" s="1"/>
  <c r="K7" i="8"/>
  <c r="N7" i="8" s="1"/>
  <c r="J9" i="8"/>
  <c r="M9" i="8" s="1"/>
  <c r="K10" i="8"/>
  <c r="N10" i="8" s="1"/>
  <c r="J12" i="8"/>
  <c r="M12" i="8" s="1"/>
  <c r="K13" i="8"/>
  <c r="N13" i="8" s="1"/>
  <c r="J15" i="8"/>
  <c r="M15" i="8" s="1"/>
  <c r="L10" i="8"/>
  <c r="O10" i="8" s="1"/>
  <c r="L13" i="8"/>
  <c r="O13" i="8" s="1"/>
  <c r="K5" i="8"/>
  <c r="N5" i="8" s="1"/>
  <c r="J7" i="8"/>
  <c r="M7" i="8" s="1"/>
  <c r="K8" i="8"/>
  <c r="N8" i="8" s="1"/>
  <c r="J10" i="8"/>
  <c r="M10" i="8" s="1"/>
  <c r="K11" i="8"/>
  <c r="N11" i="8" s="1"/>
  <c r="J13" i="8"/>
  <c r="M13" i="8" s="1"/>
  <c r="K14" i="8"/>
  <c r="N14" i="8" s="1"/>
  <c r="J16" i="8"/>
  <c r="M16" i="8" s="1"/>
  <c r="K17" i="8"/>
  <c r="N17" i="8" s="1"/>
  <c r="D10" i="6"/>
  <c r="D15" i="6"/>
  <c r="D3" i="6"/>
  <c r="D8" i="6"/>
  <c r="D13" i="6"/>
  <c r="D18" i="6"/>
  <c r="D5" i="6"/>
  <c r="D9" i="6"/>
  <c r="D17" i="6"/>
  <c r="D7" i="6"/>
  <c r="D16" i="6"/>
  <c r="D6" i="6"/>
  <c r="D14" i="6"/>
  <c r="D4" i="6"/>
  <c r="D1" i="6" s="1"/>
  <c r="D12" i="6"/>
  <c r="D11" i="6"/>
  <c r="D13" i="5"/>
  <c r="D7" i="5"/>
  <c r="D18" i="5"/>
  <c r="D12" i="5"/>
  <c r="D6" i="5"/>
  <c r="D15" i="5"/>
  <c r="D9" i="5"/>
  <c r="D3" i="5"/>
  <c r="D16" i="5"/>
  <c r="D10" i="5"/>
  <c r="D4" i="5"/>
  <c r="D1" i="5" s="1"/>
  <c r="D11" i="5"/>
  <c r="D5" i="5"/>
  <c r="D17" i="5"/>
  <c r="D14" i="5"/>
  <c r="D8" i="5"/>
  <c r="D15" i="7"/>
  <c r="D18" i="7"/>
  <c r="D6" i="7"/>
  <c r="D11" i="7"/>
  <c r="D16" i="7"/>
  <c r="D4" i="7"/>
  <c r="D1" i="7" s="1"/>
  <c r="D9" i="7"/>
  <c r="D7" i="7"/>
  <c r="D8" i="7"/>
  <c r="J5" i="8"/>
  <c r="M5" i="8" s="1"/>
  <c r="K15" i="8"/>
  <c r="N15" i="8" s="1"/>
  <c r="D10" i="7"/>
  <c r="L9" i="8"/>
  <c r="O9" i="8" s="1"/>
  <c r="L15" i="8"/>
  <c r="O15" i="8" s="1"/>
  <c r="D8" i="4"/>
  <c r="D14" i="4"/>
  <c r="D7" i="4"/>
  <c r="D3" i="7"/>
  <c r="D17" i="4"/>
  <c r="D11" i="4"/>
  <c r="D5" i="4"/>
  <c r="D16" i="4"/>
  <c r="D10" i="4"/>
  <c r="D4" i="4"/>
  <c r="D1" i="4" s="1"/>
  <c r="D12" i="7"/>
  <c r="E2" i="7"/>
  <c r="L8" i="8"/>
  <c r="O8" i="8" s="1"/>
  <c r="J11" i="8"/>
  <c r="M11" i="8" s="1"/>
  <c r="L14" i="8"/>
  <c r="O14" i="8" s="1"/>
  <c r="E2" i="4"/>
  <c r="O12" i="8"/>
  <c r="E2" i="6"/>
  <c r="E2" i="5"/>
  <c r="E17" i="4" l="1"/>
  <c r="E11" i="4"/>
  <c r="E5" i="4"/>
  <c r="E16" i="4"/>
  <c r="E10" i="4"/>
  <c r="E4" i="4"/>
  <c r="E1" i="4" s="1"/>
  <c r="E13" i="4"/>
  <c r="E7" i="4"/>
  <c r="E14" i="4"/>
  <c r="E8" i="4"/>
  <c r="E15" i="4"/>
  <c r="E9" i="4"/>
  <c r="E3" i="4"/>
  <c r="E12" i="4"/>
  <c r="E18" i="4"/>
  <c r="E6" i="4"/>
  <c r="E13" i="5"/>
  <c r="E7" i="5"/>
  <c r="E18" i="5"/>
  <c r="E12" i="5"/>
  <c r="E6" i="5"/>
  <c r="E15" i="5"/>
  <c r="E9" i="5"/>
  <c r="E3" i="5"/>
  <c r="E16" i="5"/>
  <c r="E10" i="5"/>
  <c r="E4" i="5"/>
  <c r="E1" i="5" s="1"/>
  <c r="E17" i="5"/>
  <c r="E11" i="5"/>
  <c r="E5" i="5"/>
  <c r="E14" i="5"/>
  <c r="E8" i="5"/>
  <c r="E11" i="7"/>
  <c r="E16" i="7"/>
  <c r="E4" i="7"/>
  <c r="E1" i="7" s="1"/>
  <c r="E9" i="7"/>
  <c r="E14" i="7"/>
  <c r="E3" i="7"/>
  <c r="E7" i="7"/>
  <c r="E10" i="7"/>
  <c r="E8" i="7"/>
  <c r="E18" i="7"/>
  <c r="E17" i="7"/>
  <c r="E15" i="7"/>
  <c r="E6" i="7"/>
  <c r="E5" i="7"/>
  <c r="E13" i="7"/>
  <c r="E12" i="7"/>
  <c r="E15" i="6"/>
  <c r="E3" i="6"/>
  <c r="E8" i="6"/>
  <c r="E13" i="6"/>
  <c r="E18" i="6"/>
  <c r="E6" i="6"/>
  <c r="E10" i="6"/>
  <c r="E9" i="6"/>
  <c r="E17" i="6"/>
  <c r="E16" i="6"/>
  <c r="E7" i="6"/>
  <c r="E4" i="6"/>
  <c r="E1" i="6" s="1"/>
  <c r="E5" i="6"/>
  <c r="E14" i="6"/>
  <c r="E12" i="6"/>
  <c r="E11" i="6"/>
  <c r="F2" i="7"/>
  <c r="F2" i="5"/>
  <c r="F2" i="6"/>
  <c r="F2" i="4"/>
  <c r="F18" i="5" l="1"/>
  <c r="F12" i="5"/>
  <c r="F6" i="5"/>
  <c r="F17" i="5"/>
  <c r="F11" i="5"/>
  <c r="F5" i="5"/>
  <c r="F16" i="5"/>
  <c r="F10" i="5"/>
  <c r="F4" i="5"/>
  <c r="F1" i="5" s="1"/>
  <c r="F14" i="5"/>
  <c r="F13" i="5"/>
  <c r="F8" i="5"/>
  <c r="F7" i="5"/>
  <c r="F15" i="5"/>
  <c r="F9" i="5"/>
  <c r="F3" i="5"/>
  <c r="F16" i="7"/>
  <c r="F4" i="7"/>
  <c r="F1" i="7" s="1"/>
  <c r="F9" i="7"/>
  <c r="F14" i="7"/>
  <c r="F7" i="7"/>
  <c r="F15" i="7"/>
  <c r="F11" i="7"/>
  <c r="F10" i="7"/>
  <c r="F8" i="7"/>
  <c r="F18" i="7"/>
  <c r="F17" i="7"/>
  <c r="F6" i="7"/>
  <c r="F5" i="7"/>
  <c r="F13" i="7"/>
  <c r="F12" i="7"/>
  <c r="F3" i="7"/>
  <c r="F16" i="4"/>
  <c r="F10" i="4"/>
  <c r="F4" i="4"/>
  <c r="F1" i="4" s="1"/>
  <c r="F15" i="4"/>
  <c r="F9" i="4"/>
  <c r="F3" i="4"/>
  <c r="F14" i="4"/>
  <c r="F8" i="4"/>
  <c r="F18" i="4"/>
  <c r="F17" i="4"/>
  <c r="F12" i="4"/>
  <c r="F11" i="4"/>
  <c r="F6" i="4"/>
  <c r="F5" i="4"/>
  <c r="F13" i="4"/>
  <c r="F7" i="4"/>
  <c r="F8" i="6"/>
  <c r="F13" i="6"/>
  <c r="F18" i="6"/>
  <c r="F6" i="6"/>
  <c r="F11" i="6"/>
  <c r="F9" i="6"/>
  <c r="F17" i="6"/>
  <c r="F16" i="6"/>
  <c r="F5" i="6"/>
  <c r="F7" i="6"/>
  <c r="F15" i="6"/>
  <c r="F14" i="6"/>
  <c r="F4" i="6"/>
  <c r="F1" i="6" s="1"/>
  <c r="F12" i="6"/>
  <c r="F3" i="6"/>
  <c r="F10" i="6"/>
  <c r="G2" i="5"/>
  <c r="G2" i="4"/>
  <c r="G2" i="6"/>
  <c r="G2" i="7"/>
  <c r="G9" i="7" l="1"/>
  <c r="G14" i="7"/>
  <c r="G7" i="7"/>
  <c r="G12" i="7"/>
  <c r="G17" i="7"/>
  <c r="G11" i="7"/>
  <c r="G10" i="7"/>
  <c r="G5" i="7"/>
  <c r="G8" i="7"/>
  <c r="G18" i="7"/>
  <c r="G16" i="7"/>
  <c r="G15" i="7"/>
  <c r="G6" i="7"/>
  <c r="G13" i="7"/>
  <c r="G4" i="7"/>
  <c r="G1" i="7" s="1"/>
  <c r="G3" i="7"/>
  <c r="G13" i="6"/>
  <c r="G18" i="6"/>
  <c r="G6" i="6"/>
  <c r="G11" i="6"/>
  <c r="G16" i="6"/>
  <c r="G4" i="6"/>
  <c r="G1" i="6" s="1"/>
  <c r="G17" i="6"/>
  <c r="G8" i="6"/>
  <c r="G7" i="6"/>
  <c r="G14" i="6"/>
  <c r="G15" i="6"/>
  <c r="G5" i="6"/>
  <c r="G12" i="6"/>
  <c r="G3" i="6"/>
  <c r="G10" i="6"/>
  <c r="G9" i="6"/>
  <c r="G18" i="5"/>
  <c r="G12" i="5"/>
  <c r="G6" i="5"/>
  <c r="G17" i="5"/>
  <c r="G11" i="5"/>
  <c r="G5" i="5"/>
  <c r="G16" i="5"/>
  <c r="G10" i="5"/>
  <c r="G4" i="5"/>
  <c r="G1" i="5" s="1"/>
  <c r="G14" i="5"/>
  <c r="G13" i="5"/>
  <c r="G8" i="5"/>
  <c r="G7" i="5"/>
  <c r="G15" i="5"/>
  <c r="G3" i="5"/>
  <c r="G9" i="5"/>
  <c r="G16" i="4"/>
  <c r="G10" i="4"/>
  <c r="G4" i="4"/>
  <c r="G1" i="4" s="1"/>
  <c r="G15" i="4"/>
  <c r="G9" i="4"/>
  <c r="G3" i="4"/>
  <c r="G14" i="4"/>
  <c r="G8" i="4"/>
  <c r="G5" i="4"/>
  <c r="G12" i="4"/>
  <c r="G18" i="4"/>
  <c r="G17" i="4"/>
  <c r="G11" i="4"/>
  <c r="G6" i="4"/>
  <c r="G7" i="4"/>
  <c r="G13" i="4"/>
  <c r="H2" i="4"/>
  <c r="H2" i="6"/>
  <c r="H2" i="5"/>
  <c r="H2" i="7"/>
  <c r="H14" i="7" l="1"/>
  <c r="H7" i="7"/>
  <c r="H12" i="7"/>
  <c r="H17" i="7"/>
  <c r="H5" i="7"/>
  <c r="H10" i="7"/>
  <c r="H8" i="7"/>
  <c r="H18" i="7"/>
  <c r="H9" i="7"/>
  <c r="H6" i="7"/>
  <c r="H13" i="7"/>
  <c r="H16" i="7"/>
  <c r="H15" i="7"/>
  <c r="H4" i="7"/>
  <c r="H1" i="7" s="1"/>
  <c r="H3" i="7"/>
  <c r="H11" i="7"/>
  <c r="H17" i="5"/>
  <c r="H11" i="5"/>
  <c r="H5" i="5"/>
  <c r="H16" i="5"/>
  <c r="H10" i="5"/>
  <c r="H4" i="5"/>
  <c r="H1" i="5" s="1"/>
  <c r="H12" i="5"/>
  <c r="H13" i="5"/>
  <c r="H6" i="5"/>
  <c r="H7" i="5"/>
  <c r="H14" i="5"/>
  <c r="H8" i="5"/>
  <c r="H18" i="5"/>
  <c r="H15" i="5"/>
  <c r="H9" i="5"/>
  <c r="H3" i="5"/>
  <c r="H18" i="6"/>
  <c r="H6" i="6"/>
  <c r="H11" i="6"/>
  <c r="H16" i="6"/>
  <c r="H4" i="6"/>
  <c r="H1" i="6" s="1"/>
  <c r="H9" i="6"/>
  <c r="H8" i="6"/>
  <c r="H7" i="6"/>
  <c r="H3" i="6"/>
  <c r="H13" i="6"/>
  <c r="H15" i="6"/>
  <c r="H5" i="6"/>
  <c r="H14" i="6"/>
  <c r="H12" i="6"/>
  <c r="H10" i="6"/>
  <c r="H17" i="6"/>
  <c r="H15" i="4"/>
  <c r="H9" i="4"/>
  <c r="H3" i="4"/>
  <c r="H14" i="4"/>
  <c r="H8" i="4"/>
  <c r="H6" i="4"/>
  <c r="H4" i="4"/>
  <c r="H1" i="4" s="1"/>
  <c r="H12" i="4"/>
  <c r="H10" i="4"/>
  <c r="H5" i="4"/>
  <c r="H11" i="4"/>
  <c r="H18" i="4"/>
  <c r="H16" i="4"/>
  <c r="H17" i="4"/>
  <c r="H13" i="4"/>
  <c r="H7" i="4"/>
  <c r="I2" i="6"/>
  <c r="I2" i="7"/>
  <c r="I2" i="5"/>
  <c r="I2" i="4"/>
  <c r="I17" i="5" l="1"/>
  <c r="I11" i="5"/>
  <c r="I5" i="5"/>
  <c r="I16" i="5"/>
  <c r="I10" i="5"/>
  <c r="I4" i="5"/>
  <c r="I1" i="5" s="1"/>
  <c r="I15" i="5"/>
  <c r="I18" i="5"/>
  <c r="I14" i="5"/>
  <c r="I13" i="5"/>
  <c r="I12" i="5"/>
  <c r="I8" i="5"/>
  <c r="I7" i="5"/>
  <c r="I6" i="5"/>
  <c r="I9" i="5"/>
  <c r="I3" i="5"/>
  <c r="I15" i="4"/>
  <c r="I9" i="4"/>
  <c r="I3" i="4"/>
  <c r="I14" i="4"/>
  <c r="I8" i="4"/>
  <c r="I13" i="4"/>
  <c r="I7" i="4"/>
  <c r="I18" i="4"/>
  <c r="I17" i="4"/>
  <c r="I16" i="4"/>
  <c r="I12" i="4"/>
  <c r="I11" i="4"/>
  <c r="I10" i="4"/>
  <c r="I6" i="4"/>
  <c r="I5" i="4"/>
  <c r="I4" i="4"/>
  <c r="I1" i="4" s="1"/>
  <c r="I11" i="6"/>
  <c r="I16" i="6"/>
  <c r="I4" i="6"/>
  <c r="I1" i="6" s="1"/>
  <c r="I9" i="6"/>
  <c r="I14" i="6"/>
  <c r="I8" i="6"/>
  <c r="I7" i="6"/>
  <c r="I12" i="6"/>
  <c r="I15" i="6"/>
  <c r="I5" i="6"/>
  <c r="I6" i="6"/>
  <c r="I13" i="6"/>
  <c r="I3" i="6"/>
  <c r="I10" i="6"/>
  <c r="I17" i="6"/>
  <c r="I18" i="6"/>
  <c r="I7" i="7"/>
  <c r="I12" i="7"/>
  <c r="I17" i="7"/>
  <c r="I5" i="7"/>
  <c r="I10" i="7"/>
  <c r="I8" i="7"/>
  <c r="I14" i="7"/>
  <c r="I18" i="7"/>
  <c r="I9" i="7"/>
  <c r="I16" i="7"/>
  <c r="I15" i="7"/>
  <c r="I6" i="7"/>
  <c r="I13" i="7"/>
  <c r="I4" i="7"/>
  <c r="I1" i="7" s="1"/>
  <c r="I3" i="7"/>
  <c r="I11" i="7"/>
  <c r="J2" i="4"/>
  <c r="J2" i="6"/>
  <c r="J2" i="5"/>
  <c r="J2" i="7"/>
  <c r="J16" i="5" l="1"/>
  <c r="J10" i="5"/>
  <c r="J4" i="5"/>
  <c r="J1" i="5" s="1"/>
  <c r="J15" i="5"/>
  <c r="J9" i="5"/>
  <c r="J3" i="5"/>
  <c r="J8" i="5"/>
  <c r="J18" i="5"/>
  <c r="J12" i="5"/>
  <c r="J6" i="5"/>
  <c r="J17" i="5"/>
  <c r="J11" i="5"/>
  <c r="J5" i="5"/>
  <c r="J14" i="5"/>
  <c r="J7" i="5"/>
  <c r="J13" i="5"/>
  <c r="J12" i="7"/>
  <c r="J17" i="7"/>
  <c r="J5" i="7"/>
  <c r="J10" i="7"/>
  <c r="J15" i="7"/>
  <c r="J3" i="7"/>
  <c r="J8" i="7"/>
  <c r="J4" i="7"/>
  <c r="J1" i="7" s="1"/>
  <c r="J18" i="7"/>
  <c r="J9" i="7"/>
  <c r="J16" i="7"/>
  <c r="J6" i="7"/>
  <c r="J7" i="7"/>
  <c r="J13" i="7"/>
  <c r="J14" i="7"/>
  <c r="J11" i="7"/>
  <c r="J16" i="6"/>
  <c r="J4" i="6"/>
  <c r="J1" i="6" s="1"/>
  <c r="J9" i="6"/>
  <c r="J14" i="6"/>
  <c r="J7" i="6"/>
  <c r="J10" i="6"/>
  <c r="J15" i="6"/>
  <c r="J5" i="6"/>
  <c r="J3" i="6"/>
  <c r="J6" i="6"/>
  <c r="J12" i="6"/>
  <c r="J13" i="6"/>
  <c r="J11" i="6"/>
  <c r="J17" i="6"/>
  <c r="J18" i="6"/>
  <c r="J8" i="6"/>
  <c r="J14" i="4"/>
  <c r="J8" i="4"/>
  <c r="J13" i="4"/>
  <c r="J7" i="4"/>
  <c r="J12" i="4"/>
  <c r="J5" i="4"/>
  <c r="J16" i="4"/>
  <c r="J15" i="4"/>
  <c r="J9" i="4"/>
  <c r="J3" i="4"/>
  <c r="J18" i="4"/>
  <c r="J4" i="4"/>
  <c r="J1" i="4" s="1"/>
  <c r="J17" i="4"/>
  <c r="J11" i="4"/>
  <c r="J6" i="4"/>
  <c r="J10" i="4"/>
  <c r="K2" i="7"/>
  <c r="K2" i="4"/>
  <c r="K2" i="5"/>
  <c r="K2" i="6"/>
  <c r="K9" i="6" l="1"/>
  <c r="K14" i="6"/>
  <c r="K7" i="6"/>
  <c r="K12" i="6"/>
  <c r="K15" i="6"/>
  <c r="K5" i="6"/>
  <c r="K16" i="6"/>
  <c r="K6" i="6"/>
  <c r="K4" i="6"/>
  <c r="K1" i="6" s="1"/>
  <c r="K13" i="6"/>
  <c r="K3" i="6"/>
  <c r="K11" i="6"/>
  <c r="K10" i="6"/>
  <c r="K17" i="6"/>
  <c r="K18" i="6"/>
  <c r="K8" i="6"/>
  <c r="K16" i="5"/>
  <c r="K10" i="5"/>
  <c r="K4" i="5"/>
  <c r="K1" i="5" s="1"/>
  <c r="K15" i="5"/>
  <c r="K9" i="5"/>
  <c r="K3" i="5"/>
  <c r="K17" i="5"/>
  <c r="K11" i="5"/>
  <c r="K5" i="5"/>
  <c r="K18" i="5"/>
  <c r="K14" i="5"/>
  <c r="K13" i="5"/>
  <c r="K12" i="5"/>
  <c r="K8" i="5"/>
  <c r="K7" i="5"/>
  <c r="K6" i="5"/>
  <c r="K14" i="4"/>
  <c r="K8" i="4"/>
  <c r="K13" i="4"/>
  <c r="K7" i="4"/>
  <c r="K15" i="4"/>
  <c r="K9" i="4"/>
  <c r="K3" i="4"/>
  <c r="K18" i="4"/>
  <c r="K17" i="4"/>
  <c r="K16" i="4"/>
  <c r="K12" i="4"/>
  <c r="K11" i="4"/>
  <c r="K10" i="4"/>
  <c r="K6" i="4"/>
  <c r="K5" i="4"/>
  <c r="K4" i="4"/>
  <c r="K1" i="4" s="1"/>
  <c r="K17" i="7"/>
  <c r="K5" i="7"/>
  <c r="K10" i="7"/>
  <c r="K15" i="7"/>
  <c r="K3" i="7"/>
  <c r="K8" i="7"/>
  <c r="K18" i="7"/>
  <c r="K9" i="7"/>
  <c r="K16" i="7"/>
  <c r="K6" i="7"/>
  <c r="K7" i="7"/>
  <c r="K13" i="7"/>
  <c r="K14" i="7"/>
  <c r="K4" i="7"/>
  <c r="K1" i="7" s="1"/>
  <c r="K11" i="7"/>
  <c r="K12" i="7"/>
  <c r="L2" i="4"/>
  <c r="L2" i="7"/>
  <c r="L2" i="5"/>
  <c r="L2" i="6"/>
  <c r="L10" i="7" l="1"/>
  <c r="L15" i="7"/>
  <c r="L3" i="7"/>
  <c r="L8" i="7"/>
  <c r="L13" i="7"/>
  <c r="L18" i="7"/>
  <c r="L16" i="7"/>
  <c r="L6" i="7"/>
  <c r="L7" i="7"/>
  <c r="L11" i="7"/>
  <c r="L17" i="7"/>
  <c r="L14" i="7"/>
  <c r="L4" i="7"/>
  <c r="L1" i="7" s="1"/>
  <c r="L5" i="7"/>
  <c r="L12" i="7"/>
  <c r="L9" i="7"/>
  <c r="L15" i="5"/>
  <c r="L9" i="5"/>
  <c r="L3" i="5"/>
  <c r="L14" i="5"/>
  <c r="L8" i="5"/>
  <c r="L17" i="5"/>
  <c r="L11" i="5"/>
  <c r="L5" i="5"/>
  <c r="L18" i="5"/>
  <c r="L13" i="5"/>
  <c r="L12" i="5"/>
  <c r="L7" i="5"/>
  <c r="L6" i="5"/>
  <c r="L16" i="5"/>
  <c r="L10" i="5"/>
  <c r="L4" i="5"/>
  <c r="L1" i="5" s="1"/>
  <c r="L14" i="6"/>
  <c r="L7" i="6"/>
  <c r="L12" i="6"/>
  <c r="L17" i="6"/>
  <c r="L5" i="6"/>
  <c r="L16" i="6"/>
  <c r="L6" i="6"/>
  <c r="L13" i="6"/>
  <c r="L3" i="6"/>
  <c r="L4" i="6"/>
  <c r="L1" i="6" s="1"/>
  <c r="L10" i="6"/>
  <c r="L11" i="6"/>
  <c r="L18" i="6"/>
  <c r="L8" i="6"/>
  <c r="L9" i="6"/>
  <c r="L15" i="6"/>
  <c r="L13" i="4"/>
  <c r="L7" i="4"/>
  <c r="L18" i="4"/>
  <c r="L12" i="4"/>
  <c r="L6" i="4"/>
  <c r="L15" i="4"/>
  <c r="L9" i="4"/>
  <c r="L3" i="4"/>
  <c r="L17" i="4"/>
  <c r="L16" i="4"/>
  <c r="L11" i="4"/>
  <c r="L10" i="4"/>
  <c r="L5" i="4"/>
  <c r="L4" i="4"/>
  <c r="L1" i="4" s="1"/>
  <c r="L14" i="4"/>
  <c r="L8" i="4"/>
  <c r="M2" i="6"/>
  <c r="M2" i="7"/>
  <c r="M2" i="4"/>
  <c r="M2" i="5"/>
  <c r="M13" i="4" l="1"/>
  <c r="M7" i="4"/>
  <c r="M18" i="4"/>
  <c r="M12" i="4"/>
  <c r="M6" i="4"/>
  <c r="M15" i="4"/>
  <c r="M9" i="4"/>
  <c r="M3" i="4"/>
  <c r="M17" i="4"/>
  <c r="M16" i="4"/>
  <c r="M11" i="4"/>
  <c r="M10" i="4"/>
  <c r="M5" i="4"/>
  <c r="M4" i="4"/>
  <c r="M1" i="4" s="1"/>
  <c r="M8" i="4"/>
  <c r="M14" i="4"/>
  <c r="M15" i="5"/>
  <c r="M9" i="5"/>
  <c r="M3" i="5"/>
  <c r="M14" i="5"/>
  <c r="M8" i="5"/>
  <c r="M17" i="5"/>
  <c r="M11" i="5"/>
  <c r="M5" i="5"/>
  <c r="M18" i="5"/>
  <c r="M13" i="5"/>
  <c r="M12" i="5"/>
  <c r="M7" i="5"/>
  <c r="M6" i="5"/>
  <c r="M16" i="5"/>
  <c r="M4" i="5"/>
  <c r="M1" i="5" s="1"/>
  <c r="M10" i="5"/>
  <c r="M15" i="7"/>
  <c r="M3" i="7"/>
  <c r="M8" i="7"/>
  <c r="M13" i="7"/>
  <c r="M18" i="7"/>
  <c r="M6" i="7"/>
  <c r="M16" i="7"/>
  <c r="M7" i="7"/>
  <c r="M5" i="7"/>
  <c r="M12" i="7"/>
  <c r="M17" i="7"/>
  <c r="M14" i="7"/>
  <c r="M4" i="7"/>
  <c r="M1" i="7" s="1"/>
  <c r="M11" i="7"/>
  <c r="M9" i="7"/>
  <c r="M10" i="7"/>
  <c r="M7" i="6"/>
  <c r="M12" i="6"/>
  <c r="M17" i="6"/>
  <c r="M5" i="6"/>
  <c r="M10" i="6"/>
  <c r="M13" i="6"/>
  <c r="M3" i="6"/>
  <c r="M14" i="6"/>
  <c r="M4" i="6"/>
  <c r="M1" i="6" s="1"/>
  <c r="M11" i="6"/>
  <c r="M18" i="6"/>
  <c r="M8" i="6"/>
  <c r="M9" i="6"/>
  <c r="M15" i="6"/>
  <c r="M16" i="6"/>
  <c r="M6" i="6"/>
  <c r="N2" i="7"/>
  <c r="N2" i="5"/>
  <c r="N2" i="6"/>
  <c r="N2" i="4"/>
  <c r="N14" i="5" l="1"/>
  <c r="N8" i="5"/>
  <c r="N13" i="5"/>
  <c r="N7" i="5"/>
  <c r="N18" i="5"/>
  <c r="N12" i="5"/>
  <c r="N6" i="5"/>
  <c r="N9" i="5"/>
  <c r="N3" i="5"/>
  <c r="N15" i="5"/>
  <c r="N16" i="5"/>
  <c r="N10" i="5"/>
  <c r="N4" i="5"/>
  <c r="N1" i="5" s="1"/>
  <c r="N17" i="5"/>
  <c r="N11" i="5"/>
  <c r="N5" i="5"/>
  <c r="N12" i="6"/>
  <c r="N17" i="6"/>
  <c r="N5" i="6"/>
  <c r="N10" i="6"/>
  <c r="N15" i="6"/>
  <c r="N3" i="6"/>
  <c r="N13" i="6"/>
  <c r="N14" i="6"/>
  <c r="N4" i="6"/>
  <c r="N1" i="6" s="1"/>
  <c r="N8" i="6"/>
  <c r="N11" i="6"/>
  <c r="N18" i="6"/>
  <c r="N9" i="6"/>
  <c r="N16" i="6"/>
  <c r="N6" i="6"/>
  <c r="N7" i="6"/>
  <c r="N8" i="7"/>
  <c r="N13" i="7"/>
  <c r="N18" i="7"/>
  <c r="N6" i="7"/>
  <c r="N11" i="7"/>
  <c r="N16" i="7"/>
  <c r="N7" i="7"/>
  <c r="N17" i="7"/>
  <c r="N14" i="7"/>
  <c r="N15" i="7"/>
  <c r="N4" i="7"/>
  <c r="N1" i="7" s="1"/>
  <c r="N5" i="7"/>
  <c r="N12" i="7"/>
  <c r="N3" i="7"/>
  <c r="N9" i="7"/>
  <c r="N10" i="7"/>
  <c r="N18" i="4"/>
  <c r="N12" i="4"/>
  <c r="N6" i="4"/>
  <c r="N17" i="4"/>
  <c r="N11" i="4"/>
  <c r="N5" i="4"/>
  <c r="N16" i="4"/>
  <c r="N10" i="4"/>
  <c r="N4" i="4"/>
  <c r="N1" i="4" s="1"/>
  <c r="N13" i="4"/>
  <c r="N7" i="4"/>
  <c r="N14" i="4"/>
  <c r="N8" i="4"/>
  <c r="N15" i="4"/>
  <c r="N9" i="4"/>
  <c r="N3" i="4"/>
  <c r="O2" i="4"/>
  <c r="O2" i="5"/>
  <c r="O2" i="6"/>
  <c r="O2" i="7"/>
  <c r="O13" i="7" l="1"/>
  <c r="O18" i="7"/>
  <c r="O6" i="7"/>
  <c r="O11" i="7"/>
  <c r="O16" i="7"/>
  <c r="O4" i="7"/>
  <c r="O1" i="7" s="1"/>
  <c r="O17" i="7"/>
  <c r="O14" i="7"/>
  <c r="O15" i="7"/>
  <c r="O5" i="7"/>
  <c r="O12" i="7"/>
  <c r="O3" i="7"/>
  <c r="O9" i="7"/>
  <c r="O10" i="7"/>
  <c r="O8" i="7"/>
  <c r="O7" i="7"/>
  <c r="O17" i="6"/>
  <c r="O5" i="6"/>
  <c r="O10" i="6"/>
  <c r="O15" i="6"/>
  <c r="O3" i="6"/>
  <c r="O8" i="6"/>
  <c r="O13" i="6"/>
  <c r="O14" i="6"/>
  <c r="O4" i="6"/>
  <c r="O1" i="6" s="1"/>
  <c r="O9" i="6"/>
  <c r="O12" i="6"/>
  <c r="O11" i="6"/>
  <c r="O18" i="6"/>
  <c r="O16" i="6"/>
  <c r="O6" i="6"/>
  <c r="O7" i="6"/>
  <c r="O14" i="5"/>
  <c r="O8" i="5"/>
  <c r="O13" i="5"/>
  <c r="O7" i="5"/>
  <c r="O18" i="5"/>
  <c r="O12" i="5"/>
  <c r="O6" i="5"/>
  <c r="O16" i="5"/>
  <c r="O4" i="5"/>
  <c r="O1" i="5" s="1"/>
  <c r="O15" i="5"/>
  <c r="O9" i="5"/>
  <c r="O3" i="5"/>
  <c r="O10" i="5"/>
  <c r="O17" i="5"/>
  <c r="O11" i="5"/>
  <c r="O5" i="5"/>
  <c r="O18" i="4"/>
  <c r="O12" i="4"/>
  <c r="O6" i="4"/>
  <c r="O17" i="4"/>
  <c r="O11" i="4"/>
  <c r="O5" i="4"/>
  <c r="O16" i="4"/>
  <c r="O10" i="4"/>
  <c r="O4" i="4"/>
  <c r="O1" i="4" s="1"/>
  <c r="O8" i="4"/>
  <c r="O13" i="4"/>
  <c r="O7" i="4"/>
  <c r="O14" i="4"/>
  <c r="O15" i="4"/>
  <c r="O3" i="4"/>
  <c r="O9" i="4"/>
  <c r="P2" i="7"/>
  <c r="P2" i="6"/>
  <c r="P2" i="5"/>
  <c r="P10" i="6" l="1"/>
  <c r="P15" i="6"/>
  <c r="P3" i="6"/>
  <c r="P8" i="6"/>
  <c r="P13" i="6"/>
  <c r="P14" i="6"/>
  <c r="P4" i="6"/>
  <c r="P1" i="6" s="1"/>
  <c r="P12" i="6"/>
  <c r="P11" i="6"/>
  <c r="P18" i="6"/>
  <c r="P17" i="6"/>
  <c r="P9" i="6"/>
  <c r="P16" i="6"/>
  <c r="P6" i="6"/>
  <c r="P7" i="6"/>
  <c r="P5" i="6"/>
  <c r="P18" i="7"/>
  <c r="P6" i="7"/>
  <c r="P11" i="7"/>
  <c r="P16" i="7"/>
  <c r="P4" i="7"/>
  <c r="P1" i="7" s="1"/>
  <c r="P9" i="7"/>
  <c r="P17" i="7"/>
  <c r="P14" i="7"/>
  <c r="P15" i="7"/>
  <c r="P5" i="7"/>
  <c r="P3" i="7"/>
  <c r="P13" i="7"/>
  <c r="P12" i="7"/>
  <c r="P10" i="7"/>
  <c r="P8" i="7"/>
  <c r="P7" i="7"/>
  <c r="Q2" i="7"/>
  <c r="Q2" i="6"/>
  <c r="Q15" i="6" l="1"/>
  <c r="Q3" i="6"/>
  <c r="Q8" i="6"/>
  <c r="Q13" i="6"/>
  <c r="Q18" i="6"/>
  <c r="Q6" i="6"/>
  <c r="Q12" i="6"/>
  <c r="Q11" i="6"/>
  <c r="Q16" i="6"/>
  <c r="Q9" i="6"/>
  <c r="Q10" i="6"/>
  <c r="Q17" i="6"/>
  <c r="Q7" i="6"/>
  <c r="Q5" i="6"/>
  <c r="Q14" i="6"/>
  <c r="Q4" i="6"/>
  <c r="Q1" i="6" s="1"/>
  <c r="Q11" i="7"/>
  <c r="Q16" i="7"/>
  <c r="Q4" i="7"/>
  <c r="Q1" i="7" s="1"/>
  <c r="Q9" i="7"/>
  <c r="Q14" i="7"/>
  <c r="Q15" i="7"/>
  <c r="Q6" i="7"/>
  <c r="Q5" i="7"/>
  <c r="Q13" i="7"/>
  <c r="Q12" i="7"/>
  <c r="Q3" i="7"/>
  <c r="Q10" i="7"/>
  <c r="Q8" i="7"/>
  <c r="Q7" i="7"/>
  <c r="Q18" i="7"/>
  <c r="Q17" i="7"/>
  <c r="R2" i="7"/>
  <c r="R2" i="6"/>
  <c r="R16" i="7" l="1"/>
  <c r="R4" i="7"/>
  <c r="R9" i="7"/>
  <c r="R14" i="7"/>
  <c r="R7" i="7"/>
  <c r="R5" i="7"/>
  <c r="R13" i="7"/>
  <c r="R12" i="7"/>
  <c r="R3" i="7"/>
  <c r="R11" i="7"/>
  <c r="R10" i="7"/>
  <c r="R8" i="7"/>
  <c r="R18" i="7"/>
  <c r="R17" i="7"/>
  <c r="R15" i="7"/>
  <c r="R6" i="7"/>
  <c r="R8" i="6"/>
  <c r="R13" i="6"/>
  <c r="R18" i="6"/>
  <c r="R6" i="6"/>
  <c r="R11" i="6"/>
  <c r="R12" i="6"/>
  <c r="R3" i="6"/>
  <c r="R17" i="6"/>
  <c r="R10" i="6"/>
  <c r="R9" i="6"/>
  <c r="R7" i="6"/>
  <c r="R16" i="6"/>
  <c r="R15" i="6"/>
  <c r="R5" i="6"/>
  <c r="R14" i="6"/>
  <c r="R4" i="6"/>
  <c r="R1" i="6" s="1"/>
  <c r="S2" i="6"/>
  <c r="S2" i="7"/>
  <c r="R1" i="7"/>
  <c r="S9" i="7" l="1"/>
  <c r="S14" i="7"/>
  <c r="S7" i="7"/>
  <c r="S12" i="7"/>
  <c r="S13" i="7"/>
  <c r="S4" i="7"/>
  <c r="S1" i="7" s="1"/>
  <c r="S3" i="7"/>
  <c r="S11" i="7"/>
  <c r="S10" i="7"/>
  <c r="S8" i="7"/>
  <c r="S18" i="7"/>
  <c r="S17" i="7"/>
  <c r="S15" i="7"/>
  <c r="S6" i="7"/>
  <c r="S16" i="7"/>
  <c r="S5" i="7"/>
  <c r="S13" i="6"/>
  <c r="S18" i="6"/>
  <c r="S6" i="6"/>
  <c r="S11" i="6"/>
  <c r="S16" i="6"/>
  <c r="S4" i="6"/>
  <c r="S1" i="6" s="1"/>
  <c r="S3" i="6"/>
  <c r="S10" i="6"/>
  <c r="S9" i="6"/>
  <c r="S17" i="6"/>
  <c r="S8" i="6"/>
  <c r="S7" i="6"/>
  <c r="S15" i="6"/>
  <c r="S5" i="6"/>
  <c r="S14" i="6"/>
  <c r="S12" i="6"/>
  <c r="T2" i="6"/>
  <c r="U2" i="6" s="1"/>
  <c r="T2" i="7"/>
  <c r="T18" i="6" l="1"/>
  <c r="T6" i="6"/>
  <c r="T11" i="6"/>
  <c r="T16" i="6"/>
  <c r="T4" i="6"/>
  <c r="T9" i="6"/>
  <c r="T10" i="6"/>
  <c r="T7" i="6"/>
  <c r="T17" i="6"/>
  <c r="T8" i="6"/>
  <c r="T5" i="6"/>
  <c r="T15" i="6"/>
  <c r="T14" i="6"/>
  <c r="T12" i="6"/>
  <c r="T13" i="6"/>
  <c r="T3" i="6"/>
  <c r="T14" i="7"/>
  <c r="T7" i="7"/>
  <c r="T12" i="7"/>
  <c r="T17" i="7"/>
  <c r="T5" i="7"/>
  <c r="T4" i="7"/>
  <c r="T1" i="7" s="1"/>
  <c r="T3" i="7"/>
  <c r="T11" i="7"/>
  <c r="T10" i="7"/>
  <c r="T8" i="7"/>
  <c r="T9" i="7"/>
  <c r="T18" i="7"/>
  <c r="T15" i="7"/>
  <c r="T6" i="7"/>
  <c r="T16" i="7"/>
  <c r="T13" i="7"/>
  <c r="V2" i="6"/>
  <c r="W2" i="6" s="1"/>
  <c r="T1" i="6"/>
  <c r="U2" i="7"/>
  <c r="V2" i="7" s="1"/>
  <c r="W2" i="7" s="1"/>
</calcChain>
</file>

<file path=xl/sharedStrings.xml><?xml version="1.0" encoding="utf-8"?>
<sst xmlns="http://schemas.openxmlformats.org/spreadsheetml/2006/main" count="1056" uniqueCount="287">
  <si>
    <t>OPERATOR:2</t>
  </si>
  <si>
    <t>OPERATOR:4</t>
  </si>
  <si>
    <t>OPERATOR:8</t>
  </si>
  <si>
    <t>OPERATOR:9</t>
  </si>
  <si>
    <t>OPERATOR:5</t>
  </si>
  <si>
    <t>OPERATOR:10</t>
  </si>
  <si>
    <t>OPERATOR:11</t>
  </si>
  <si>
    <t>Kąt obrotu osi X</t>
  </si>
  <si>
    <t>Kąt obrotu osi Y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</si>
  <si>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</si>
  <si>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</si>
  <si>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</si>
  <si>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</si>
  <si>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</si>
  <si>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</si>
  <si>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</si>
  <si>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</si>
  <si>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</si>
  <si>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</si>
  <si>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</si>
  <si>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</si>
  <si>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</si>
  <si>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</si>
  <si>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</si>
  <si>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</si>
  <si>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</si>
  <si>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</si>
  <si>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</si>
  <si>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</si>
  <si>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</si>
  <si>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</si>
  <si>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</si>
  <si>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</si>
  <si>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</si>
  <si>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</si>
  <si>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</si>
  <si>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</si>
  <si>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</si>
  <si>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</si>
  <si>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</si>
  <si>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</si>
  <si>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</si>
  <si>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</si>
  <si>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</si>
  <si>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</si>
  <si>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</si>
  <si>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</si>
  <si>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</si>
  <si>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</si>
  <si>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</si>
  <si>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</si>
  <si>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</si>
  <si>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</si>
  <si>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</si>
  <si>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</si>
  <si>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</si>
  <si>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</si>
  <si>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</si>
  <si>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</si>
  <si>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</si>
  <si>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</si>
  <si>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</si>
  <si>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</si>
  <si>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</si>
  <si>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</si>
  <si>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</si>
  <si>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</si>
  <si>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</si>
  <si>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</si>
  <si>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</si>
  <si>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</si>
  <si>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</si>
  <si>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</si>
  <si>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</si>
  <si>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</si>
  <si>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</si>
  <si>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</si>
  <si>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</si>
  <si>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</si>
  <si>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</si>
  <si>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</si>
  <si>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</si>
  <si>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</si>
  <si>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</si>
  <si>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</si>
  <si>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</si>
  <si>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</si>
  <si>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</si>
  <si>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</si>
  <si>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</si>
  <si>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</si>
  <si>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</si>
  <si>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</si>
  <si>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</si>
  <si>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</si>
  <si>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</si>
  <si>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</si>
  <si>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</si>
  <si>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</si>
  <si>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</si>
  <si>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</si>
  <si>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</si>
  <si>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</si>
  <si>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</si>
  <si>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</si>
  <si>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</si>
  <si>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</si>
  <si>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</si>
  <si>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</si>
  <si>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</si>
  <si>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</si>
  <si>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</si>
  <si>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</si>
  <si>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</si>
  <si>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</si>
  <si>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</si>
  <si>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</si>
  <si>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</si>
  <si>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</si>
  <si>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</si>
  <si>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</si>
  <si>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</si>
  <si>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</si>
  <si>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</si>
  <si>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</si>
  <si>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</si>
  <si>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</si>
  <si>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</si>
  <si>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</si>
  <si>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</si>
  <si>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</si>
  <si>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</si>
  <si>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</si>
  <si>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</si>
  <si>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</si>
  <si>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</si>
  <si>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</si>
  <si>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</si>
  <si>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</si>
  <si>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</si>
  <si>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</si>
  <si>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</si>
  <si>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</si>
  <si>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</si>
  <si>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</si>
  <si>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</si>
  <si>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</si>
  <si>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</si>
  <si>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</si>
  <si>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</si>
  <si>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</si>
  <si>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</si>
  <si>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</si>
  <si>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</si>
  <si>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</si>
  <si>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</si>
  <si>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</si>
  <si>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</si>
  <si>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</si>
  <si>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</si>
  <si>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</si>
  <si>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</si>
  <si>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</si>
  <si>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</si>
  <si>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</si>
  <si>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</si>
  <si>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</si>
  <si>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</si>
  <si>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</si>
  <si>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</si>
  <si>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</si>
  <si>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</si>
  <si>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</si>
  <si>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</si>
  <si>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</si>
  <si>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</si>
  <si>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</si>
  <si>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</si>
  <si>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</si>
  <si>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</si>
  <si>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</si>
  <si>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</si>
  <si>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</si>
  <si>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</si>
  <si>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</si>
  <si>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</si>
  <si>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</si>
  <si>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</si>
  <si>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</si>
  <si>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</si>
  <si>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</si>
  <si>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</si>
  <si>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</si>
  <si>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</si>
  <si>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</si>
  <si>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</si>
  <si>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</si>
  <si>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</si>
  <si>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</si>
  <si>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</si>
  <si>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</si>
  <si>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</si>
  <si>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</si>
  <si>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</si>
  <si>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</si>
  <si>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</si>
  <si>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</si>
  <si>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</si>
  <si>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</si>
  <si>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</si>
  <si>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</si>
  <si>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</si>
  <si>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</si>
  <si>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</si>
  <si>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</si>
  <si>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</si>
  <si>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</si>
  <si>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</si>
  <si>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</si>
  <si>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</si>
  <si>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</si>
  <si>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</si>
  <si>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</si>
  <si>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</si>
  <si>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</si>
  <si>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</si>
  <si>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</si>
  <si>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</si>
  <si>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</si>
  <si>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</si>
  <si>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</si>
  <si>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</si>
  <si>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</si>
  <si>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</si>
  <si>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</si>
  <si>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°</t>
  </si>
  <si>
    <t>mm²</t>
  </si>
  <si>
    <t>mm2</t>
  </si>
  <si>
    <t>%</t>
  </si>
  <si>
    <t>µm</t>
  </si>
  <si>
    <t>&lt;no unit&gt;</t>
  </si>
  <si>
    <t>mm</t>
  </si>
  <si>
    <t>1/cm</t>
  </si>
  <si>
    <t>mm³/mm²</t>
  </si>
  <si>
    <t>Conf blue</t>
  </si>
  <si>
    <t>Conf green</t>
  </si>
  <si>
    <t>Conf red</t>
  </si>
  <si>
    <t>Fusion blue</t>
  </si>
  <si>
    <t>Fusion green</t>
  </si>
  <si>
    <t>Fusion red</t>
  </si>
  <si>
    <t>FV blue</t>
  </si>
  <si>
    <t>FV green</t>
  </si>
  <si>
    <t>FV red</t>
  </si>
  <si>
    <t>Int blue</t>
  </si>
  <si>
    <t>Int gree</t>
  </si>
  <si>
    <t>Int red</t>
  </si>
  <si>
    <t>Int white</t>
  </si>
  <si>
    <t>O ile przesunięte</t>
  </si>
  <si>
    <t>Amp_baza</t>
  </si>
  <si>
    <t>Aev_baza</t>
  </si>
  <si>
    <t>Amp_wypełnione NM</t>
  </si>
  <si>
    <t>Amp_005</t>
  </si>
  <si>
    <t>Aev_005</t>
  </si>
  <si>
    <t>Amp_05</t>
  </si>
  <si>
    <t>Aev_05</t>
  </si>
  <si>
    <t>Baza</t>
  </si>
  <si>
    <t>Threshold 005</t>
  </si>
  <si>
    <t>Threshold 05</t>
  </si>
  <si>
    <t>%Baza</t>
  </si>
  <si>
    <t>%Threshold 005</t>
  </si>
  <si>
    <t>%Threshold 05</t>
  </si>
  <si>
    <t>Amp - powierzchnia zmierzonych punktów rzeczywistych</t>
  </si>
  <si>
    <t>Aev  -obszar oceny teoretyczny</t>
  </si>
  <si>
    <t>Rp/Rv</t>
  </si>
  <si>
    <t>C45_5x5\C45_5x5\C45_MR\C45_5x5 --- C45_MR_x10_conf_blue_5x5.mnt</t>
  </si>
  <si>
    <t>C45_5x5\C45_5x5\C45_MR\C45_5x5 --- C45_MR_x10_conf_green_5x5.mnt</t>
  </si>
  <si>
    <t>C45_5x5\C45_5x5\C45_MR\C45_5x5 --- C45_MR_x10_conf_red_5x5.mnt</t>
  </si>
  <si>
    <t>C45_5x5\C45_5x5\C45_MR\C45_5x5 --- C45_MR_x10_fusion_blue_5x5.mnt</t>
  </si>
  <si>
    <t>C45_5x5\C45_5x5\C45_MR\C45_5x5 --- C45_MR_x10_fusion_green_5x5.mnt</t>
  </si>
  <si>
    <t>C45_5x5\C45_5x5\C45_MR\C45_5x5 --- C45_MR_x10_fusion_red_5x5.mnt</t>
  </si>
  <si>
    <t>C45_5x5\C45_5x5\C45_MR\C45_5x5 --- C45_MR_x10_FV_blue_5x5.mnt</t>
  </si>
  <si>
    <t>C45_5x5\C45_5x5\C45_MR\C45_5x5 --- C45_MR_x10_FV_green_5x5.mnt</t>
  </si>
  <si>
    <t>C45_5x5\C45_5x5\C45_MR\C45_5x5 --- C45_MR_x10_FV_red_5x5.mnt</t>
  </si>
  <si>
    <t>C45_5x5\C45_5x5\C45_MR\C45_5x5 --- C45_MR_x10_int_blue_5x5.mnt</t>
  </si>
  <si>
    <t>C45_5x5\C45_5x5\C45_MR\C45_5x5 --- C45_MR_x10_int_green_5x5.mnt</t>
  </si>
  <si>
    <t>C45_5x5\C45_5x5\C45_MR\C45_5x5 --- C45_MR_x10_int_red_5x5.mnt</t>
  </si>
  <si>
    <t>C45_5x5\C45_5x5\C45_MR\C45_5x5 --- C45_MR_x10_int_white_5x5.mnt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</si>
</sst>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%"/>
    <numFmt numFmtId="166" formatCode="0.000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6" fontId="0" fillId="33" borderId="0" xfId="0" applyNumberFormat="1" applyFill="1"/>
  </cellXfs>
  <cellStyles count="43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Procentowy" xfId="1" builtinId="5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U16"/>
  <sheetViews>
    <sheetView tabSelected="1" workbookViewId="0">
      <selection sqref="A1:A1048576"/>
    </sheetView>
  </sheetViews>
  <sheetFormatPr baseColWidth="10" defaultColWidth="8.83203125" defaultRowHeight="15" x14ac:dyDescent="0.2"/>
  <cols>
    <col min="2" max="2" width="14" bestFit="1" customWidth="1"/>
  </cols>
  <sheetData>
    <row r="1" spans="1:463" x14ac:dyDescent="0.2"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>
        <v>5</v>
      </c>
      <c r="K1">
        <v>5</v>
      </c>
      <c r="L1">
        <v>6</v>
      </c>
      <c r="M1">
        <v>6</v>
      </c>
      <c r="N1">
        <v>13</v>
      </c>
      <c r="O1">
        <v>13</v>
      </c>
      <c r="P1">
        <v>14</v>
      </c>
      <c r="Q1">
        <v>14</v>
      </c>
      <c r="R1">
        <v>40</v>
      </c>
      <c r="S1">
        <v>40</v>
      </c>
      <c r="T1">
        <v>40</v>
      </c>
      <c r="U1">
        <v>40</v>
      </c>
      <c r="V1">
        <v>40</v>
      </c>
      <c r="W1">
        <v>40</v>
      </c>
      <c r="X1">
        <v>40</v>
      </c>
      <c r="Y1">
        <v>40</v>
      </c>
      <c r="Z1">
        <v>40</v>
      </c>
      <c r="AA1">
        <v>40</v>
      </c>
      <c r="AB1">
        <v>40</v>
      </c>
      <c r="AC1">
        <v>40</v>
      </c>
      <c r="AD1">
        <v>40</v>
      </c>
      <c r="AE1">
        <v>40</v>
      </c>
      <c r="AF1">
        <v>40</v>
      </c>
      <c r="AG1">
        <v>40</v>
      </c>
      <c r="AH1">
        <v>40</v>
      </c>
      <c r="AI1">
        <v>40</v>
      </c>
      <c r="AJ1">
        <v>40</v>
      </c>
      <c r="AK1">
        <v>40</v>
      </c>
      <c r="AL1">
        <v>40</v>
      </c>
      <c r="AM1">
        <v>40</v>
      </c>
      <c r="AN1">
        <v>40</v>
      </c>
      <c r="AO1">
        <v>40</v>
      </c>
      <c r="AP1">
        <v>40</v>
      </c>
      <c r="AQ1">
        <v>40</v>
      </c>
      <c r="AR1">
        <v>40</v>
      </c>
      <c r="AS1">
        <v>40</v>
      </c>
      <c r="AT1">
        <v>40</v>
      </c>
      <c r="AU1">
        <v>40</v>
      </c>
      <c r="AV1">
        <v>40</v>
      </c>
      <c r="AW1">
        <v>40</v>
      </c>
      <c r="AX1">
        <v>40</v>
      </c>
      <c r="AY1">
        <v>40</v>
      </c>
      <c r="AZ1">
        <v>40</v>
      </c>
      <c r="BA1">
        <v>40</v>
      </c>
      <c r="BB1">
        <v>40</v>
      </c>
      <c r="BC1">
        <v>40</v>
      </c>
      <c r="BD1">
        <v>40</v>
      </c>
      <c r="BE1">
        <v>40</v>
      </c>
      <c r="BF1">
        <v>40</v>
      </c>
      <c r="BG1">
        <v>40</v>
      </c>
      <c r="BH1">
        <v>40</v>
      </c>
      <c r="BI1">
        <v>40</v>
      </c>
      <c r="BJ1">
        <v>40</v>
      </c>
      <c r="BK1">
        <v>40</v>
      </c>
      <c r="BL1">
        <v>40</v>
      </c>
      <c r="BM1">
        <v>40</v>
      </c>
      <c r="BN1">
        <v>40</v>
      </c>
      <c r="BO1">
        <v>40</v>
      </c>
      <c r="BP1">
        <v>40</v>
      </c>
      <c r="BQ1">
        <v>40</v>
      </c>
      <c r="BR1">
        <v>40</v>
      </c>
      <c r="BS1">
        <v>40</v>
      </c>
      <c r="BT1">
        <v>40</v>
      </c>
      <c r="BU1">
        <v>40</v>
      </c>
      <c r="BV1">
        <v>41</v>
      </c>
      <c r="BW1">
        <v>41</v>
      </c>
      <c r="BX1">
        <v>41</v>
      </c>
      <c r="BY1">
        <v>41</v>
      </c>
      <c r="BZ1">
        <v>41</v>
      </c>
      <c r="CA1">
        <v>41</v>
      </c>
      <c r="CB1">
        <v>41</v>
      </c>
      <c r="CC1">
        <v>41</v>
      </c>
      <c r="CD1">
        <v>41</v>
      </c>
      <c r="CE1">
        <v>41</v>
      </c>
      <c r="CF1">
        <v>41</v>
      </c>
      <c r="CG1">
        <v>41</v>
      </c>
      <c r="CH1">
        <v>41</v>
      </c>
      <c r="CI1">
        <v>41</v>
      </c>
      <c r="CJ1">
        <v>41</v>
      </c>
      <c r="CK1">
        <v>41</v>
      </c>
      <c r="CL1">
        <v>41</v>
      </c>
      <c r="CM1">
        <v>41</v>
      </c>
      <c r="CN1">
        <v>41</v>
      </c>
      <c r="CO1">
        <v>41</v>
      </c>
      <c r="CP1">
        <v>41</v>
      </c>
      <c r="CQ1">
        <v>41</v>
      </c>
      <c r="CR1">
        <v>41</v>
      </c>
      <c r="CS1">
        <v>41</v>
      </c>
      <c r="CT1">
        <v>41</v>
      </c>
      <c r="CU1">
        <v>41</v>
      </c>
      <c r="CV1">
        <v>41</v>
      </c>
      <c r="CW1">
        <v>41</v>
      </c>
      <c r="CX1">
        <v>41</v>
      </c>
      <c r="CY1">
        <v>41</v>
      </c>
      <c r="CZ1">
        <v>41</v>
      </c>
      <c r="DA1">
        <v>41</v>
      </c>
      <c r="DB1">
        <v>41</v>
      </c>
      <c r="DC1">
        <v>41</v>
      </c>
      <c r="DD1">
        <v>41</v>
      </c>
      <c r="DE1">
        <v>41</v>
      </c>
      <c r="DF1">
        <v>41</v>
      </c>
      <c r="DG1">
        <v>41</v>
      </c>
      <c r="DH1">
        <v>41</v>
      </c>
      <c r="DI1">
        <v>41</v>
      </c>
      <c r="DJ1">
        <v>41</v>
      </c>
      <c r="DK1">
        <v>41</v>
      </c>
      <c r="DL1">
        <v>41</v>
      </c>
      <c r="DM1">
        <v>41</v>
      </c>
      <c r="DN1">
        <v>41</v>
      </c>
      <c r="DO1">
        <v>41</v>
      </c>
      <c r="DP1">
        <v>41</v>
      </c>
      <c r="DQ1">
        <v>41</v>
      </c>
      <c r="DR1">
        <v>41</v>
      </c>
      <c r="DS1">
        <v>41</v>
      </c>
      <c r="DT1">
        <v>41</v>
      </c>
      <c r="DU1">
        <v>41</v>
      </c>
      <c r="DV1">
        <v>41</v>
      </c>
      <c r="DW1">
        <v>41</v>
      </c>
      <c r="DX1">
        <v>41</v>
      </c>
      <c r="DY1">
        <v>41</v>
      </c>
      <c r="DZ1">
        <v>50</v>
      </c>
      <c r="EA1">
        <v>50</v>
      </c>
      <c r="EB1">
        <v>50</v>
      </c>
      <c r="EC1">
        <v>50</v>
      </c>
      <c r="ED1">
        <v>50</v>
      </c>
      <c r="EE1">
        <v>50</v>
      </c>
      <c r="EF1">
        <v>50</v>
      </c>
      <c r="EG1">
        <v>50</v>
      </c>
      <c r="EH1">
        <v>50</v>
      </c>
      <c r="EI1">
        <v>50</v>
      </c>
      <c r="EJ1">
        <v>50</v>
      </c>
      <c r="EK1">
        <v>50</v>
      </c>
      <c r="EL1">
        <v>50</v>
      </c>
      <c r="EM1">
        <v>50</v>
      </c>
      <c r="EN1">
        <v>50</v>
      </c>
      <c r="EO1">
        <v>50</v>
      </c>
      <c r="EP1">
        <v>50</v>
      </c>
      <c r="EQ1">
        <v>50</v>
      </c>
      <c r="ER1">
        <v>50</v>
      </c>
      <c r="ES1">
        <v>50</v>
      </c>
      <c r="ET1">
        <v>50</v>
      </c>
      <c r="EU1">
        <v>50</v>
      </c>
      <c r="EV1">
        <v>50</v>
      </c>
      <c r="EW1">
        <v>50</v>
      </c>
      <c r="EX1">
        <v>50</v>
      </c>
      <c r="EY1">
        <v>50</v>
      </c>
      <c r="EZ1">
        <v>50</v>
      </c>
      <c r="FA1">
        <v>50</v>
      </c>
      <c r="FB1">
        <v>50</v>
      </c>
      <c r="FC1">
        <v>50</v>
      </c>
      <c r="FD1">
        <v>50</v>
      </c>
      <c r="FE1">
        <v>50</v>
      </c>
      <c r="FF1">
        <v>50</v>
      </c>
      <c r="FG1">
        <v>50</v>
      </c>
      <c r="FH1">
        <v>50</v>
      </c>
      <c r="FI1">
        <v>50</v>
      </c>
      <c r="FJ1">
        <v>50</v>
      </c>
      <c r="FK1">
        <v>50</v>
      </c>
      <c r="FL1">
        <v>50</v>
      </c>
      <c r="FM1">
        <v>50</v>
      </c>
      <c r="FN1">
        <v>50</v>
      </c>
      <c r="FO1">
        <v>50</v>
      </c>
      <c r="FP1">
        <v>50</v>
      </c>
      <c r="FQ1">
        <v>50</v>
      </c>
      <c r="FR1">
        <v>50</v>
      </c>
      <c r="FS1">
        <v>50</v>
      </c>
      <c r="FT1">
        <v>50</v>
      </c>
      <c r="FU1">
        <v>50</v>
      </c>
      <c r="FV1">
        <v>50</v>
      </c>
      <c r="FW1">
        <v>50</v>
      </c>
      <c r="FX1">
        <v>50</v>
      </c>
      <c r="FY1">
        <v>50</v>
      </c>
      <c r="FZ1">
        <v>50</v>
      </c>
      <c r="GA1">
        <v>50</v>
      </c>
      <c r="GB1">
        <v>50</v>
      </c>
      <c r="GC1">
        <v>50</v>
      </c>
      <c r="GD1">
        <v>50</v>
      </c>
      <c r="GE1">
        <v>50</v>
      </c>
      <c r="GF1">
        <v>50</v>
      </c>
      <c r="GG1">
        <v>50</v>
      </c>
      <c r="GH1">
        <v>50</v>
      </c>
      <c r="GI1">
        <v>50</v>
      </c>
      <c r="GJ1">
        <v>50</v>
      </c>
      <c r="GK1">
        <v>50</v>
      </c>
      <c r="GL1">
        <v>50</v>
      </c>
      <c r="GM1">
        <v>50</v>
      </c>
      <c r="GN1">
        <v>50</v>
      </c>
      <c r="GO1">
        <v>50</v>
      </c>
      <c r="GP1">
        <v>50</v>
      </c>
      <c r="GQ1">
        <v>50</v>
      </c>
      <c r="GR1">
        <v>50</v>
      </c>
      <c r="GS1">
        <v>50</v>
      </c>
      <c r="GT1">
        <v>50</v>
      </c>
      <c r="GU1">
        <v>50</v>
      </c>
      <c r="GV1">
        <v>50</v>
      </c>
      <c r="GW1">
        <v>50</v>
      </c>
      <c r="GX1">
        <v>51</v>
      </c>
      <c r="GY1">
        <v>51</v>
      </c>
      <c r="GZ1">
        <v>51</v>
      </c>
      <c r="HA1">
        <v>51</v>
      </c>
      <c r="HB1">
        <v>51</v>
      </c>
      <c r="HC1">
        <v>51</v>
      </c>
      <c r="HD1">
        <v>51</v>
      </c>
      <c r="HE1">
        <v>51</v>
      </c>
      <c r="HF1">
        <v>51</v>
      </c>
      <c r="HG1">
        <v>51</v>
      </c>
      <c r="HH1">
        <v>51</v>
      </c>
      <c r="HI1">
        <v>51</v>
      </c>
      <c r="HJ1">
        <v>51</v>
      </c>
      <c r="HK1">
        <v>51</v>
      </c>
      <c r="HL1">
        <v>51</v>
      </c>
      <c r="HM1">
        <v>51</v>
      </c>
      <c r="HN1">
        <v>51</v>
      </c>
      <c r="HO1">
        <v>51</v>
      </c>
      <c r="HP1">
        <v>51</v>
      </c>
      <c r="HQ1">
        <v>51</v>
      </c>
      <c r="HR1">
        <v>51</v>
      </c>
      <c r="HS1">
        <v>51</v>
      </c>
      <c r="HT1">
        <v>51</v>
      </c>
      <c r="HU1">
        <v>51</v>
      </c>
      <c r="HV1">
        <v>51</v>
      </c>
      <c r="HW1">
        <v>51</v>
      </c>
      <c r="HX1">
        <v>51</v>
      </c>
      <c r="HY1">
        <v>51</v>
      </c>
      <c r="HZ1">
        <v>51</v>
      </c>
      <c r="IA1">
        <v>51</v>
      </c>
      <c r="IB1">
        <v>51</v>
      </c>
      <c r="IC1">
        <v>51</v>
      </c>
      <c r="ID1">
        <v>51</v>
      </c>
      <c r="IE1">
        <v>51</v>
      </c>
      <c r="IF1">
        <v>51</v>
      </c>
      <c r="IG1">
        <v>51</v>
      </c>
      <c r="IH1">
        <v>51</v>
      </c>
      <c r="II1">
        <v>51</v>
      </c>
      <c r="IJ1">
        <v>51</v>
      </c>
      <c r="IK1">
        <v>51</v>
      </c>
      <c r="IL1">
        <v>51</v>
      </c>
      <c r="IM1">
        <v>51</v>
      </c>
      <c r="IN1">
        <v>51</v>
      </c>
      <c r="IO1">
        <v>51</v>
      </c>
      <c r="IP1">
        <v>51</v>
      </c>
      <c r="IQ1">
        <v>51</v>
      </c>
      <c r="IR1">
        <v>51</v>
      </c>
      <c r="IS1">
        <v>51</v>
      </c>
      <c r="IT1">
        <v>51</v>
      </c>
      <c r="IU1">
        <v>51</v>
      </c>
      <c r="IV1">
        <v>51</v>
      </c>
      <c r="IW1">
        <v>51</v>
      </c>
      <c r="IX1">
        <v>51</v>
      </c>
      <c r="IY1">
        <v>51</v>
      </c>
      <c r="IZ1">
        <v>51</v>
      </c>
      <c r="JA1">
        <v>51</v>
      </c>
      <c r="JB1">
        <v>51</v>
      </c>
      <c r="JC1">
        <v>51</v>
      </c>
      <c r="JD1">
        <v>51</v>
      </c>
      <c r="JE1">
        <v>51</v>
      </c>
      <c r="JF1">
        <v>51</v>
      </c>
      <c r="JG1">
        <v>51</v>
      </c>
      <c r="JH1">
        <v>51</v>
      </c>
      <c r="JI1">
        <v>51</v>
      </c>
      <c r="JJ1">
        <v>51</v>
      </c>
      <c r="JK1">
        <v>51</v>
      </c>
      <c r="JL1">
        <v>51</v>
      </c>
      <c r="JM1">
        <v>51</v>
      </c>
      <c r="JN1">
        <v>51</v>
      </c>
      <c r="JO1">
        <v>51</v>
      </c>
      <c r="JP1">
        <v>51</v>
      </c>
      <c r="JQ1">
        <v>51</v>
      </c>
      <c r="JR1">
        <v>51</v>
      </c>
      <c r="JS1">
        <v>51</v>
      </c>
      <c r="JT1">
        <v>51</v>
      </c>
      <c r="JU1">
        <v>51</v>
      </c>
      <c r="JV1">
        <v>60</v>
      </c>
      <c r="JW1">
        <v>60</v>
      </c>
      <c r="JX1">
        <v>60</v>
      </c>
      <c r="JY1">
        <v>60</v>
      </c>
      <c r="JZ1">
        <v>60</v>
      </c>
      <c r="KA1">
        <v>60</v>
      </c>
      <c r="KB1">
        <v>60</v>
      </c>
      <c r="KC1">
        <v>60</v>
      </c>
      <c r="KD1">
        <v>60</v>
      </c>
      <c r="KE1">
        <v>60</v>
      </c>
      <c r="KF1">
        <v>60</v>
      </c>
      <c r="KG1">
        <v>60</v>
      </c>
      <c r="KH1">
        <v>60</v>
      </c>
      <c r="KI1">
        <v>60</v>
      </c>
      <c r="KJ1">
        <v>60</v>
      </c>
      <c r="KK1">
        <v>60</v>
      </c>
      <c r="KL1">
        <v>60</v>
      </c>
      <c r="KM1">
        <v>60</v>
      </c>
      <c r="KN1">
        <v>60</v>
      </c>
      <c r="KO1">
        <v>60</v>
      </c>
      <c r="KP1">
        <v>60</v>
      </c>
      <c r="KQ1">
        <v>60</v>
      </c>
      <c r="KR1">
        <v>60</v>
      </c>
      <c r="KS1">
        <v>60</v>
      </c>
      <c r="KT1">
        <v>60</v>
      </c>
      <c r="KU1">
        <v>60</v>
      </c>
      <c r="KV1">
        <v>60</v>
      </c>
      <c r="KW1">
        <v>60</v>
      </c>
      <c r="KX1">
        <v>60</v>
      </c>
      <c r="KY1">
        <v>60</v>
      </c>
      <c r="KZ1">
        <v>60</v>
      </c>
      <c r="LA1">
        <v>60</v>
      </c>
      <c r="LB1">
        <v>60</v>
      </c>
      <c r="LC1">
        <v>60</v>
      </c>
      <c r="LD1">
        <v>60</v>
      </c>
      <c r="LE1">
        <v>60</v>
      </c>
      <c r="LF1">
        <v>60</v>
      </c>
      <c r="LG1">
        <v>60</v>
      </c>
      <c r="LH1">
        <v>60</v>
      </c>
      <c r="LI1">
        <v>60</v>
      </c>
      <c r="LJ1">
        <v>60</v>
      </c>
      <c r="LK1">
        <v>60</v>
      </c>
      <c r="LL1">
        <v>60</v>
      </c>
      <c r="LM1">
        <v>60</v>
      </c>
      <c r="LN1">
        <v>60</v>
      </c>
      <c r="LO1">
        <v>60</v>
      </c>
      <c r="LP1">
        <v>60</v>
      </c>
      <c r="LQ1">
        <v>60</v>
      </c>
      <c r="LR1">
        <v>60</v>
      </c>
      <c r="LS1">
        <v>60</v>
      </c>
      <c r="LT1">
        <v>60</v>
      </c>
      <c r="LU1">
        <v>60</v>
      </c>
      <c r="LV1">
        <v>60</v>
      </c>
      <c r="LW1">
        <v>60</v>
      </c>
      <c r="LX1">
        <v>60</v>
      </c>
      <c r="LY1">
        <v>60</v>
      </c>
      <c r="LZ1">
        <v>60</v>
      </c>
      <c r="MA1">
        <v>60</v>
      </c>
      <c r="MB1">
        <v>60</v>
      </c>
      <c r="MC1">
        <v>60</v>
      </c>
      <c r="MD1">
        <v>61</v>
      </c>
      <c r="ME1">
        <v>61</v>
      </c>
      <c r="MF1">
        <v>61</v>
      </c>
      <c r="MG1">
        <v>61</v>
      </c>
      <c r="MH1">
        <v>61</v>
      </c>
      <c r="MI1">
        <v>61</v>
      </c>
      <c r="MJ1">
        <v>61</v>
      </c>
      <c r="MK1">
        <v>61</v>
      </c>
      <c r="ML1">
        <v>61</v>
      </c>
      <c r="MM1">
        <v>61</v>
      </c>
      <c r="MN1">
        <v>61</v>
      </c>
      <c r="MO1">
        <v>61</v>
      </c>
      <c r="MP1">
        <v>61</v>
      </c>
      <c r="MQ1">
        <v>61</v>
      </c>
      <c r="MR1">
        <v>61</v>
      </c>
      <c r="MS1">
        <v>61</v>
      </c>
      <c r="MT1">
        <v>61</v>
      </c>
      <c r="MU1">
        <v>61</v>
      </c>
      <c r="MV1">
        <v>61</v>
      </c>
      <c r="MW1">
        <v>61</v>
      </c>
      <c r="MX1">
        <v>61</v>
      </c>
      <c r="MY1">
        <v>61</v>
      </c>
      <c r="MZ1">
        <v>61</v>
      </c>
      <c r="NA1">
        <v>61</v>
      </c>
      <c r="NB1">
        <v>61</v>
      </c>
      <c r="NC1">
        <v>61</v>
      </c>
      <c r="ND1">
        <v>61</v>
      </c>
      <c r="NE1">
        <v>61</v>
      </c>
      <c r="NF1">
        <v>61</v>
      </c>
      <c r="NG1">
        <v>61</v>
      </c>
      <c r="NH1">
        <v>61</v>
      </c>
      <c r="NI1">
        <v>61</v>
      </c>
      <c r="NJ1">
        <v>61</v>
      </c>
      <c r="NK1">
        <v>61</v>
      </c>
      <c r="NL1">
        <v>61</v>
      </c>
      <c r="NM1">
        <v>61</v>
      </c>
      <c r="NN1">
        <v>61</v>
      </c>
      <c r="NO1">
        <v>61</v>
      </c>
      <c r="NP1">
        <v>61</v>
      </c>
      <c r="NQ1">
        <v>61</v>
      </c>
      <c r="NR1">
        <v>61</v>
      </c>
      <c r="NS1">
        <v>61</v>
      </c>
      <c r="NT1">
        <v>61</v>
      </c>
      <c r="NU1">
        <v>61</v>
      </c>
      <c r="NV1">
        <v>61</v>
      </c>
      <c r="NW1">
        <v>61</v>
      </c>
      <c r="NX1">
        <v>61</v>
      </c>
      <c r="NY1">
        <v>61</v>
      </c>
      <c r="NZ1">
        <v>61</v>
      </c>
      <c r="OA1">
        <v>61</v>
      </c>
      <c r="OB1">
        <v>61</v>
      </c>
      <c r="OC1">
        <v>61</v>
      </c>
      <c r="OD1">
        <v>61</v>
      </c>
      <c r="OE1">
        <v>61</v>
      </c>
      <c r="OF1">
        <v>61</v>
      </c>
      <c r="OG1">
        <v>61</v>
      </c>
      <c r="OH1">
        <v>61</v>
      </c>
      <c r="OI1">
        <v>61</v>
      </c>
      <c r="OJ1">
        <v>61</v>
      </c>
      <c r="OK1">
        <v>61</v>
      </c>
      <c r="OL1">
        <v>70</v>
      </c>
      <c r="OM1">
        <v>70</v>
      </c>
      <c r="ON1">
        <v>70</v>
      </c>
      <c r="OO1">
        <v>70</v>
      </c>
      <c r="OP1">
        <v>70</v>
      </c>
      <c r="OQ1">
        <v>70</v>
      </c>
      <c r="OR1">
        <v>70</v>
      </c>
      <c r="OS1">
        <v>70</v>
      </c>
      <c r="OT1">
        <v>70</v>
      </c>
      <c r="OU1">
        <v>70</v>
      </c>
      <c r="OV1">
        <v>70</v>
      </c>
      <c r="OW1">
        <v>70</v>
      </c>
      <c r="OX1">
        <v>70</v>
      </c>
      <c r="OY1">
        <v>70</v>
      </c>
      <c r="OZ1">
        <v>70</v>
      </c>
      <c r="PA1">
        <v>70</v>
      </c>
      <c r="PB1">
        <v>70</v>
      </c>
      <c r="PC1">
        <v>70</v>
      </c>
      <c r="PD1">
        <v>71</v>
      </c>
      <c r="PE1">
        <v>71</v>
      </c>
      <c r="PF1">
        <v>71</v>
      </c>
      <c r="PG1">
        <v>71</v>
      </c>
      <c r="PH1">
        <v>71</v>
      </c>
      <c r="PI1">
        <v>71</v>
      </c>
      <c r="PJ1">
        <v>71</v>
      </c>
      <c r="PK1">
        <v>71</v>
      </c>
      <c r="PL1">
        <v>71</v>
      </c>
      <c r="PM1">
        <v>71</v>
      </c>
      <c r="PN1">
        <v>71</v>
      </c>
      <c r="PO1">
        <v>71</v>
      </c>
      <c r="PP1">
        <v>71</v>
      </c>
      <c r="PQ1">
        <v>71</v>
      </c>
      <c r="PR1">
        <v>71</v>
      </c>
      <c r="PS1">
        <v>71</v>
      </c>
      <c r="PT1">
        <v>71</v>
      </c>
      <c r="PU1">
        <v>71</v>
      </c>
      <c r="PV1">
        <v>80</v>
      </c>
      <c r="PW1">
        <v>80</v>
      </c>
      <c r="PX1">
        <v>80</v>
      </c>
      <c r="PY1">
        <v>80</v>
      </c>
      <c r="PZ1">
        <v>80</v>
      </c>
      <c r="QA1">
        <v>81</v>
      </c>
      <c r="QB1">
        <v>81</v>
      </c>
      <c r="QC1">
        <v>81</v>
      </c>
      <c r="QD1">
        <v>81</v>
      </c>
      <c r="QE1">
        <v>81</v>
      </c>
      <c r="QF1">
        <v>90</v>
      </c>
      <c r="QG1">
        <v>90</v>
      </c>
      <c r="QH1">
        <v>90</v>
      </c>
      <c r="QI1">
        <v>90</v>
      </c>
      <c r="QJ1">
        <v>91</v>
      </c>
      <c r="QK1">
        <v>91</v>
      </c>
      <c r="QL1">
        <v>91</v>
      </c>
      <c r="QM1">
        <v>91</v>
      </c>
      <c r="QN1">
        <v>92</v>
      </c>
      <c r="QO1">
        <v>92</v>
      </c>
      <c r="QP1">
        <v>92</v>
      </c>
      <c r="QQ1">
        <v>92</v>
      </c>
      <c r="QR1">
        <v>93</v>
      </c>
      <c r="QS1">
        <v>93</v>
      </c>
      <c r="QT1">
        <v>93</v>
      </c>
      <c r="QU1">
        <v>93</v>
      </c>
    </row>
    <row r="2" spans="1:463" x14ac:dyDescent="0.2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15</v>
      </c>
      <c r="M2" t="s">
        <v>16</v>
      </c>
      <c r="N2" t="s">
        <v>15</v>
      </c>
      <c r="O2" t="s">
        <v>16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17</v>
      </c>
      <c r="BW2" t="s">
        <v>18</v>
      </c>
      <c r="BX2" t="s">
        <v>19</v>
      </c>
      <c r="BY2" t="s">
        <v>20</v>
      </c>
      <c r="BZ2" t="s">
        <v>21</v>
      </c>
      <c r="CA2" t="s">
        <v>22</v>
      </c>
      <c r="CB2" t="s">
        <v>23</v>
      </c>
      <c r="CC2" t="s">
        <v>24</v>
      </c>
      <c r="CD2" t="s">
        <v>25</v>
      </c>
      <c r="CE2" t="s">
        <v>26</v>
      </c>
      <c r="CF2" t="s">
        <v>27</v>
      </c>
      <c r="CG2" t="s">
        <v>28</v>
      </c>
      <c r="CH2" t="s">
        <v>29</v>
      </c>
      <c r="CI2" t="s">
        <v>30</v>
      </c>
      <c r="CJ2" t="s">
        <v>31</v>
      </c>
      <c r="CK2" t="s">
        <v>32</v>
      </c>
      <c r="CL2" t="s">
        <v>33</v>
      </c>
      <c r="CM2" t="s">
        <v>34</v>
      </c>
      <c r="CN2" t="s">
        <v>35</v>
      </c>
      <c r="CO2" t="s">
        <v>36</v>
      </c>
      <c r="CP2" t="s">
        <v>37</v>
      </c>
      <c r="CQ2" t="s">
        <v>38</v>
      </c>
      <c r="CR2" t="s">
        <v>39</v>
      </c>
      <c r="CS2" t="s">
        <v>40</v>
      </c>
      <c r="CT2" t="s">
        <v>41</v>
      </c>
      <c r="CU2" t="s">
        <v>42</v>
      </c>
      <c r="CV2" t="s">
        <v>43</v>
      </c>
      <c r="CW2" t="s">
        <v>44</v>
      </c>
      <c r="CX2" t="s">
        <v>45</v>
      </c>
      <c r="CY2" t="s">
        <v>46</v>
      </c>
      <c r="CZ2" t="s">
        <v>47</v>
      </c>
      <c r="DA2" t="s">
        <v>48</v>
      </c>
      <c r="DB2" t="s">
        <v>49</v>
      </c>
      <c r="DC2" t="s">
        <v>50</v>
      </c>
      <c r="DD2" t="s">
        <v>51</v>
      </c>
      <c r="DE2" t="s">
        <v>52</v>
      </c>
      <c r="DF2" t="s">
        <v>53</v>
      </c>
      <c r="DG2" t="s">
        <v>54</v>
      </c>
      <c r="DH2" t="s">
        <v>55</v>
      </c>
      <c r="DI2" t="s">
        <v>56</v>
      </c>
      <c r="DJ2" t="s">
        <v>57</v>
      </c>
      <c r="DK2" t="s">
        <v>58</v>
      </c>
      <c r="DL2" t="s">
        <v>59</v>
      </c>
      <c r="DM2" t="s">
        <v>60</v>
      </c>
      <c r="DN2" t="s">
        <v>61</v>
      </c>
      <c r="DO2" t="s">
        <v>62</v>
      </c>
      <c r="DP2" t="s">
        <v>63</v>
      </c>
      <c r="DQ2" t="s">
        <v>64</v>
      </c>
      <c r="DR2" t="s">
        <v>65</v>
      </c>
      <c r="DS2" t="s">
        <v>66</v>
      </c>
      <c r="DT2" t="s">
        <v>67</v>
      </c>
      <c r="DU2" t="s">
        <v>68</v>
      </c>
      <c r="DV2" t="s">
        <v>69</v>
      </c>
      <c r="DW2" t="s">
        <v>70</v>
      </c>
      <c r="DX2" t="s">
        <v>71</v>
      </c>
      <c r="DY2" t="s">
        <v>72</v>
      </c>
      <c r="DZ2" t="s">
        <v>73</v>
      </c>
      <c r="EA2" t="s">
        <v>74</v>
      </c>
      <c r="EB2" t="s">
        <v>75</v>
      </c>
      <c r="EC2" t="s">
        <v>76</v>
      </c>
      <c r="ED2" t="s">
        <v>77</v>
      </c>
      <c r="EE2" t="s">
        <v>78</v>
      </c>
      <c r="EF2" t="s">
        <v>79</v>
      </c>
      <c r="EG2" t="s">
        <v>80</v>
      </c>
      <c r="EH2" t="s">
        <v>81</v>
      </c>
      <c r="EI2" t="s">
        <v>82</v>
      </c>
      <c r="EJ2" t="s">
        <v>83</v>
      </c>
      <c r="EK2" t="s">
        <v>84</v>
      </c>
      <c r="EL2" t="s">
        <v>85</v>
      </c>
      <c r="EM2" t="s">
        <v>86</v>
      </c>
      <c r="EN2" t="s">
        <v>87</v>
      </c>
      <c r="EO2" t="s">
        <v>88</v>
      </c>
      <c r="EP2" t="s">
        <v>89</v>
      </c>
      <c r="EQ2" t="s">
        <v>90</v>
      </c>
      <c r="ER2" t="s">
        <v>91</v>
      </c>
      <c r="ES2" t="s">
        <v>92</v>
      </c>
      <c r="ET2" t="s">
        <v>93</v>
      </c>
      <c r="EU2" t="s">
        <v>94</v>
      </c>
      <c r="EV2" t="s">
        <v>95</v>
      </c>
      <c r="EW2" t="s">
        <v>96</v>
      </c>
      <c r="EX2" t="s">
        <v>97</v>
      </c>
      <c r="EY2" t="s">
        <v>98</v>
      </c>
      <c r="EZ2" t="s">
        <v>99</v>
      </c>
      <c r="FA2" t="s">
        <v>100</v>
      </c>
      <c r="FB2" t="s">
        <v>101</v>
      </c>
      <c r="FC2" t="s">
        <v>102</v>
      </c>
      <c r="FD2" t="s">
        <v>103</v>
      </c>
      <c r="FE2" t="s">
        <v>104</v>
      </c>
      <c r="FF2" t="s">
        <v>105</v>
      </c>
      <c r="FG2" t="s">
        <v>106</v>
      </c>
      <c r="FH2" t="s">
        <v>107</v>
      </c>
      <c r="FI2" t="s">
        <v>108</v>
      </c>
      <c r="FJ2" t="s">
        <v>109</v>
      </c>
      <c r="FK2" t="s">
        <v>110</v>
      </c>
      <c r="FL2" t="s">
        <v>111</v>
      </c>
      <c r="FM2" t="s">
        <v>112</v>
      </c>
      <c r="FN2" t="s">
        <v>113</v>
      </c>
      <c r="FO2" t="s">
        <v>114</v>
      </c>
      <c r="FP2" t="s">
        <v>115</v>
      </c>
      <c r="FQ2" t="s">
        <v>116</v>
      </c>
      <c r="FR2" t="s">
        <v>117</v>
      </c>
      <c r="FS2" t="s">
        <v>118</v>
      </c>
      <c r="FT2" t="s">
        <v>119</v>
      </c>
      <c r="FU2" t="s">
        <v>120</v>
      </c>
      <c r="FV2" t="s">
        <v>121</v>
      </c>
      <c r="FW2" t="s">
        <v>122</v>
      </c>
      <c r="FX2" t="s">
        <v>123</v>
      </c>
      <c r="FY2" t="s">
        <v>124</v>
      </c>
      <c r="FZ2" t="s">
        <v>125</v>
      </c>
      <c r="GA2" t="s">
        <v>126</v>
      </c>
      <c r="GB2" t="s">
        <v>127</v>
      </c>
      <c r="GC2" t="s">
        <v>128</v>
      </c>
      <c r="GD2" t="s">
        <v>129</v>
      </c>
      <c r="GE2" t="s">
        <v>130</v>
      </c>
      <c r="GF2" t="s">
        <v>131</v>
      </c>
      <c r="GG2" t="s">
        <v>132</v>
      </c>
      <c r="GH2" t="s">
        <v>133</v>
      </c>
      <c r="GI2" t="s">
        <v>134</v>
      </c>
      <c r="GJ2" t="s">
        <v>135</v>
      </c>
      <c r="GK2" t="s">
        <v>136</v>
      </c>
      <c r="GL2" t="s">
        <v>137</v>
      </c>
      <c r="GM2" t="s">
        <v>138</v>
      </c>
      <c r="GN2" t="s">
        <v>139</v>
      </c>
      <c r="GO2" t="s">
        <v>140</v>
      </c>
      <c r="GP2" t="s">
        <v>141</v>
      </c>
      <c r="GQ2" t="s">
        <v>142</v>
      </c>
      <c r="GR2" t="s">
        <v>143</v>
      </c>
      <c r="GS2" t="s">
        <v>144</v>
      </c>
      <c r="GT2" t="s">
        <v>145</v>
      </c>
      <c r="GU2" t="s">
        <v>146</v>
      </c>
      <c r="GV2" t="s">
        <v>147</v>
      </c>
      <c r="GW2" t="s">
        <v>148</v>
      </c>
      <c r="GX2" t="s">
        <v>73</v>
      </c>
      <c r="GY2" t="s">
        <v>74</v>
      </c>
      <c r="GZ2" t="s">
        <v>75</v>
      </c>
      <c r="HA2" t="s">
        <v>76</v>
      </c>
      <c r="HB2" t="s">
        <v>77</v>
      </c>
      <c r="HC2" t="s">
        <v>78</v>
      </c>
      <c r="HD2" t="s">
        <v>79</v>
      </c>
      <c r="HE2" t="s">
        <v>80</v>
      </c>
      <c r="HF2" t="s">
        <v>81</v>
      </c>
      <c r="HG2" t="s">
        <v>82</v>
      </c>
      <c r="HH2" t="s">
        <v>83</v>
      </c>
      <c r="HI2" t="s">
        <v>84</v>
      </c>
      <c r="HJ2" t="s">
        <v>85</v>
      </c>
      <c r="HK2" t="s">
        <v>86</v>
      </c>
      <c r="HL2" t="s">
        <v>87</v>
      </c>
      <c r="HM2" t="s">
        <v>88</v>
      </c>
      <c r="HN2" t="s">
        <v>89</v>
      </c>
      <c r="HO2" t="s">
        <v>90</v>
      </c>
      <c r="HP2" t="s">
        <v>91</v>
      </c>
      <c r="HQ2" t="s">
        <v>92</v>
      </c>
      <c r="HR2" t="s">
        <v>93</v>
      </c>
      <c r="HS2" t="s">
        <v>94</v>
      </c>
      <c r="HT2" t="s">
        <v>95</v>
      </c>
      <c r="HU2" t="s">
        <v>96</v>
      </c>
      <c r="HV2" t="s">
        <v>97</v>
      </c>
      <c r="HW2" t="s">
        <v>98</v>
      </c>
      <c r="HX2" t="s">
        <v>99</v>
      </c>
      <c r="HY2" t="s">
        <v>100</v>
      </c>
      <c r="HZ2" t="s">
        <v>101</v>
      </c>
      <c r="IA2" t="s">
        <v>102</v>
      </c>
      <c r="IB2" t="s">
        <v>103</v>
      </c>
      <c r="IC2" t="s">
        <v>104</v>
      </c>
      <c r="ID2" t="s">
        <v>105</v>
      </c>
      <c r="IE2" t="s">
        <v>106</v>
      </c>
      <c r="IF2" t="s">
        <v>107</v>
      </c>
      <c r="IG2" t="s">
        <v>108</v>
      </c>
      <c r="IH2" t="s">
        <v>109</v>
      </c>
      <c r="II2" t="s">
        <v>110</v>
      </c>
      <c r="IJ2" t="s">
        <v>111</v>
      </c>
      <c r="IK2" t="s">
        <v>112</v>
      </c>
      <c r="IL2" t="s">
        <v>113</v>
      </c>
      <c r="IM2" t="s">
        <v>114</v>
      </c>
      <c r="IN2" t="s">
        <v>115</v>
      </c>
      <c r="IO2" t="s">
        <v>116</v>
      </c>
      <c r="IP2" t="s">
        <v>117</v>
      </c>
      <c r="IQ2" t="s">
        <v>118</v>
      </c>
      <c r="IR2" t="s">
        <v>119</v>
      </c>
      <c r="IS2" t="s">
        <v>120</v>
      </c>
      <c r="IT2" t="s">
        <v>121</v>
      </c>
      <c r="IU2" t="s">
        <v>122</v>
      </c>
      <c r="IV2" t="s">
        <v>123</v>
      </c>
      <c r="IW2" t="s">
        <v>124</v>
      </c>
      <c r="IX2" t="s">
        <v>125</v>
      </c>
      <c r="IY2" t="s">
        <v>126</v>
      </c>
      <c r="IZ2" t="s">
        <v>127</v>
      </c>
      <c r="JA2" t="s">
        <v>128</v>
      </c>
      <c r="JB2" t="s">
        <v>129</v>
      </c>
      <c r="JC2" t="s">
        <v>130</v>
      </c>
      <c r="JD2" t="s">
        <v>131</v>
      </c>
      <c r="JE2" t="s">
        <v>132</v>
      </c>
      <c r="JF2" t="s">
        <v>133</v>
      </c>
      <c r="JG2" t="s">
        <v>134</v>
      </c>
      <c r="JH2" t="s">
        <v>135</v>
      </c>
      <c r="JI2" t="s">
        <v>136</v>
      </c>
      <c r="JJ2" t="s">
        <v>137</v>
      </c>
      <c r="JK2" t="s">
        <v>138</v>
      </c>
      <c r="JL2" t="s">
        <v>139</v>
      </c>
      <c r="JM2" t="s">
        <v>140</v>
      </c>
      <c r="JN2" t="s">
        <v>141</v>
      </c>
      <c r="JO2" t="s">
        <v>142</v>
      </c>
      <c r="JP2" t="s">
        <v>143</v>
      </c>
      <c r="JQ2" t="s">
        <v>144</v>
      </c>
      <c r="JR2" t="s">
        <v>145</v>
      </c>
      <c r="JS2" t="s">
        <v>146</v>
      </c>
      <c r="JT2" t="s">
        <v>147</v>
      </c>
      <c r="JU2" t="s">
        <v>148</v>
      </c>
      <c r="JV2" t="s">
        <v>149</v>
      </c>
      <c r="JW2" t="s">
        <v>150</v>
      </c>
      <c r="JX2" t="s">
        <v>151</v>
      </c>
      <c r="JY2" t="s">
        <v>152</v>
      </c>
      <c r="JZ2" t="s">
        <v>153</v>
      </c>
      <c r="KA2" t="s">
        <v>154</v>
      </c>
      <c r="KB2" t="s">
        <v>155</v>
      </c>
      <c r="KC2" t="s">
        <v>156</v>
      </c>
      <c r="KD2" t="s">
        <v>157</v>
      </c>
      <c r="KE2" t="s">
        <v>158</v>
      </c>
      <c r="KF2" t="s">
        <v>159</v>
      </c>
      <c r="KG2" t="s">
        <v>160</v>
      </c>
      <c r="KH2" t="s">
        <v>161</v>
      </c>
      <c r="KI2" t="s">
        <v>162</v>
      </c>
      <c r="KJ2" t="s">
        <v>163</v>
      </c>
      <c r="KK2" t="s">
        <v>164</v>
      </c>
      <c r="KL2" t="s">
        <v>165</v>
      </c>
      <c r="KM2" t="s">
        <v>166</v>
      </c>
      <c r="KN2" t="s">
        <v>167</v>
      </c>
      <c r="KO2" t="s">
        <v>168</v>
      </c>
      <c r="KP2" t="s">
        <v>169</v>
      </c>
      <c r="KQ2" t="s">
        <v>170</v>
      </c>
      <c r="KR2" t="s">
        <v>171</v>
      </c>
      <c r="KS2" t="s">
        <v>172</v>
      </c>
      <c r="KT2" t="s">
        <v>173</v>
      </c>
      <c r="KU2" t="s">
        <v>174</v>
      </c>
      <c r="KV2" t="s">
        <v>175</v>
      </c>
      <c r="KW2" t="s">
        <v>176</v>
      </c>
      <c r="KX2" t="s">
        <v>177</v>
      </c>
      <c r="KY2" t="s">
        <v>178</v>
      </c>
      <c r="KZ2" t="s">
        <v>179</v>
      </c>
      <c r="LA2" t="s">
        <v>180</v>
      </c>
      <c r="LB2" t="s">
        <v>181</v>
      </c>
      <c r="LC2" t="s">
        <v>182</v>
      </c>
      <c r="LD2" t="s">
        <v>183</v>
      </c>
      <c r="LE2" t="s">
        <v>184</v>
      </c>
      <c r="LF2" t="s">
        <v>185</v>
      </c>
      <c r="LG2" t="s">
        <v>186</v>
      </c>
      <c r="LH2" t="s">
        <v>187</v>
      </c>
      <c r="LI2" t="s">
        <v>188</v>
      </c>
      <c r="LJ2" t="s">
        <v>189</v>
      </c>
      <c r="LK2" t="s">
        <v>190</v>
      </c>
      <c r="LL2" t="s">
        <v>191</v>
      </c>
      <c r="LM2" t="s">
        <v>192</v>
      </c>
      <c r="LN2" t="s">
        <v>193</v>
      </c>
      <c r="LO2" t="s">
        <v>194</v>
      </c>
      <c r="LP2" t="s">
        <v>195</v>
      </c>
      <c r="LQ2" t="s">
        <v>196</v>
      </c>
      <c r="LR2" t="s">
        <v>197</v>
      </c>
      <c r="LS2" t="s">
        <v>198</v>
      </c>
      <c r="LT2" t="s">
        <v>199</v>
      </c>
      <c r="LU2" t="s">
        <v>200</v>
      </c>
      <c r="LV2" t="s">
        <v>201</v>
      </c>
      <c r="LW2" t="s">
        <v>202</v>
      </c>
      <c r="LX2" t="s">
        <v>203</v>
      </c>
      <c r="LY2" t="s">
        <v>204</v>
      </c>
      <c r="LZ2" t="s">
        <v>205</v>
      </c>
      <c r="MA2" t="s">
        <v>206</v>
      </c>
      <c r="MB2" t="s">
        <v>207</v>
      </c>
      <c r="MC2" t="s">
        <v>208</v>
      </c>
      <c r="MD2" t="s">
        <v>149</v>
      </c>
      <c r="ME2" t="s">
        <v>150</v>
      </c>
      <c r="MF2" t="s">
        <v>151</v>
      </c>
      <c r="MG2" t="s">
        <v>152</v>
      </c>
      <c r="MH2" t="s">
        <v>153</v>
      </c>
      <c r="MI2" t="s">
        <v>154</v>
      </c>
      <c r="MJ2" t="s">
        <v>155</v>
      </c>
      <c r="MK2" t="s">
        <v>156</v>
      </c>
      <c r="ML2" t="s">
        <v>157</v>
      </c>
      <c r="MM2" t="s">
        <v>158</v>
      </c>
      <c r="MN2" t="s">
        <v>159</v>
      </c>
      <c r="MO2" t="s">
        <v>160</v>
      </c>
      <c r="MP2" t="s">
        <v>161</v>
      </c>
      <c r="MQ2" t="s">
        <v>162</v>
      </c>
      <c r="MR2" t="s">
        <v>163</v>
      </c>
      <c r="MS2" t="s">
        <v>164</v>
      </c>
      <c r="MT2" t="s">
        <v>165</v>
      </c>
      <c r="MU2" t="s">
        <v>166</v>
      </c>
      <c r="MV2" t="s">
        <v>167</v>
      </c>
      <c r="MW2" t="s">
        <v>168</v>
      </c>
      <c r="MX2" t="s">
        <v>169</v>
      </c>
      <c r="MY2" t="s">
        <v>170</v>
      </c>
      <c r="MZ2" t="s">
        <v>171</v>
      </c>
      <c r="NA2" t="s">
        <v>172</v>
      </c>
      <c r="NB2" t="s">
        <v>173</v>
      </c>
      <c r="NC2" t="s">
        <v>174</v>
      </c>
      <c r="ND2" t="s">
        <v>175</v>
      </c>
      <c r="NE2" t="s">
        <v>176</v>
      </c>
      <c r="NF2" t="s">
        <v>177</v>
      </c>
      <c r="NG2" t="s">
        <v>178</v>
      </c>
      <c r="NH2" t="s">
        <v>179</v>
      </c>
      <c r="NI2" t="s">
        <v>180</v>
      </c>
      <c r="NJ2" t="s">
        <v>181</v>
      </c>
      <c r="NK2" t="s">
        <v>182</v>
      </c>
      <c r="NL2" t="s">
        <v>183</v>
      </c>
      <c r="NM2" t="s">
        <v>184</v>
      </c>
      <c r="NN2" t="s">
        <v>185</v>
      </c>
      <c r="NO2" t="s">
        <v>186</v>
      </c>
      <c r="NP2" t="s">
        <v>187</v>
      </c>
      <c r="NQ2" t="s">
        <v>188</v>
      </c>
      <c r="NR2" t="s">
        <v>189</v>
      </c>
      <c r="NS2" t="s">
        <v>190</v>
      </c>
      <c r="NT2" t="s">
        <v>191</v>
      </c>
      <c r="NU2" t="s">
        <v>192</v>
      </c>
      <c r="NV2" t="s">
        <v>193</v>
      </c>
      <c r="NW2" t="s">
        <v>194</v>
      </c>
      <c r="NX2" t="s">
        <v>195</v>
      </c>
      <c r="NY2" t="s">
        <v>196</v>
      </c>
      <c r="NZ2" t="s">
        <v>197</v>
      </c>
      <c r="OA2" t="s">
        <v>198</v>
      </c>
      <c r="OB2" t="s">
        <v>199</v>
      </c>
      <c r="OC2" t="s">
        <v>200</v>
      </c>
      <c r="OD2" t="s">
        <v>201</v>
      </c>
      <c r="OE2" t="s">
        <v>202</v>
      </c>
      <c r="OF2" t="s">
        <v>203</v>
      </c>
      <c r="OG2" t="s">
        <v>204</v>
      </c>
      <c r="OH2" t="s">
        <v>205</v>
      </c>
      <c r="OI2" t="s">
        <v>206</v>
      </c>
      <c r="OJ2" t="s">
        <v>207</v>
      </c>
      <c r="OK2" t="s">
        <v>208</v>
      </c>
      <c r="OL2" t="s">
        <v>209</v>
      </c>
      <c r="OM2" t="s">
        <v>210</v>
      </c>
      <c r="ON2" t="s">
        <v>211</v>
      </c>
      <c r="OO2" t="s">
        <v>212</v>
      </c>
      <c r="OP2" t="s">
        <v>213</v>
      </c>
      <c r="OQ2" t="s">
        <v>214</v>
      </c>
      <c r="OR2" t="s">
        <v>215</v>
      </c>
      <c r="OS2" t="s">
        <v>216</v>
      </c>
      <c r="OT2" t="s">
        <v>217</v>
      </c>
      <c r="OU2" t="s">
        <v>218</v>
      </c>
      <c r="OV2" t="s">
        <v>219</v>
      </c>
      <c r="OW2" t="s">
        <v>220</v>
      </c>
      <c r="OX2" t="s">
        <v>221</v>
      </c>
      <c r="OY2" t="s">
        <v>222</v>
      </c>
      <c r="OZ2" t="s">
        <v>223</v>
      </c>
      <c r="PA2" t="s">
        <v>224</v>
      </c>
      <c r="PB2" t="s">
        <v>225</v>
      </c>
      <c r="PC2" t="s">
        <v>226</v>
      </c>
      <c r="PD2" t="s">
        <v>209</v>
      </c>
      <c r="PE2" t="s">
        <v>210</v>
      </c>
      <c r="PF2" t="s">
        <v>211</v>
      </c>
      <c r="PG2" t="s">
        <v>212</v>
      </c>
      <c r="PH2" t="s">
        <v>213</v>
      </c>
      <c r="PI2" t="s">
        <v>214</v>
      </c>
      <c r="PJ2" t="s">
        <v>215</v>
      </c>
      <c r="PK2" t="s">
        <v>216</v>
      </c>
      <c r="PL2" t="s">
        <v>217</v>
      </c>
      <c r="PM2" t="s">
        <v>218</v>
      </c>
      <c r="PN2" t="s">
        <v>219</v>
      </c>
      <c r="PO2" t="s">
        <v>220</v>
      </c>
      <c r="PP2" t="s">
        <v>221</v>
      </c>
      <c r="PQ2" t="s">
        <v>222</v>
      </c>
      <c r="PR2" t="s">
        <v>223</v>
      </c>
      <c r="PS2" t="s">
        <v>224</v>
      </c>
      <c r="PT2" t="s">
        <v>225</v>
      </c>
      <c r="PU2" t="s">
        <v>226</v>
      </c>
      <c r="PV2" t="s">
        <v>222</v>
      </c>
      <c r="PW2" t="s">
        <v>223</v>
      </c>
      <c r="PX2" t="s">
        <v>224</v>
      </c>
      <c r="PY2" t="s">
        <v>225</v>
      </c>
      <c r="PZ2" t="s">
        <v>226</v>
      </c>
      <c r="QA2" t="s">
        <v>222</v>
      </c>
      <c r="QB2" t="s">
        <v>223</v>
      </c>
      <c r="QC2" t="s">
        <v>224</v>
      </c>
      <c r="QD2" t="s">
        <v>225</v>
      </c>
      <c r="QE2" t="s">
        <v>226</v>
      </c>
      <c r="QF2" t="s">
        <v>227</v>
      </c>
      <c r="QG2" t="s">
        <v>228</v>
      </c>
      <c r="QH2" t="s">
        <v>229</v>
      </c>
      <c r="QI2" t="s">
        <v>230</v>
      </c>
      <c r="QJ2" t="s">
        <v>227</v>
      </c>
      <c r="QK2" t="s">
        <v>228</v>
      </c>
      <c r="QL2" t="s">
        <v>229</v>
      </c>
      <c r="QM2" t="s">
        <v>230</v>
      </c>
      <c r="QN2" t="s">
        <v>231</v>
      </c>
      <c r="QO2" t="s">
        <v>232</v>
      </c>
      <c r="QP2" t="s">
        <v>233</v>
      </c>
      <c r="QQ2" t="s">
        <v>234</v>
      </c>
      <c r="QR2" t="s">
        <v>231</v>
      </c>
      <c r="QS2" t="s">
        <v>232</v>
      </c>
      <c r="QT2" t="s">
        <v>233</v>
      </c>
      <c r="QU2" t="s">
        <v>234</v>
      </c>
    </row>
    <row r="3" spans="1:463" x14ac:dyDescent="0.2">
      <c r="B3" t="s">
        <v>235</v>
      </c>
      <c r="C3" t="s">
        <v>235</v>
      </c>
      <c r="D3" t="s">
        <v>236</v>
      </c>
      <c r="E3" t="s">
        <v>237</v>
      </c>
      <c r="F3" t="s">
        <v>237</v>
      </c>
      <c r="G3" t="s">
        <v>238</v>
      </c>
      <c r="H3" t="s">
        <v>238</v>
      </c>
      <c r="I3" t="s">
        <v>238</v>
      </c>
      <c r="J3" t="s">
        <v>236</v>
      </c>
      <c r="K3" t="s">
        <v>236</v>
      </c>
      <c r="L3" t="s">
        <v>236</v>
      </c>
      <c r="M3" t="s">
        <v>236</v>
      </c>
      <c r="N3" t="s">
        <v>236</v>
      </c>
      <c r="O3" t="s">
        <v>236</v>
      </c>
      <c r="P3" t="s">
        <v>236</v>
      </c>
      <c r="Q3" t="s">
        <v>236</v>
      </c>
      <c r="R3" t="s">
        <v>239</v>
      </c>
      <c r="S3" t="s">
        <v>239</v>
      </c>
      <c r="T3" t="s">
        <v>239</v>
      </c>
      <c r="U3" t="s">
        <v>239</v>
      </c>
      <c r="V3" t="s">
        <v>239</v>
      </c>
      <c r="W3" t="s">
        <v>239</v>
      </c>
      <c r="X3" t="s">
        <v>239</v>
      </c>
      <c r="Y3" t="s">
        <v>239</v>
      </c>
      <c r="Z3" t="s">
        <v>239</v>
      </c>
      <c r="AA3" t="s">
        <v>239</v>
      </c>
      <c r="AB3" t="s">
        <v>239</v>
      </c>
      <c r="AC3" t="s">
        <v>239</v>
      </c>
      <c r="AD3" t="s">
        <v>239</v>
      </c>
      <c r="AE3" t="s">
        <v>239</v>
      </c>
      <c r="AF3" t="s">
        <v>239</v>
      </c>
      <c r="AG3" t="s">
        <v>239</v>
      </c>
      <c r="AH3" t="s">
        <v>239</v>
      </c>
      <c r="AI3" t="s">
        <v>239</v>
      </c>
      <c r="AJ3" t="s">
        <v>239</v>
      </c>
      <c r="AK3" t="s">
        <v>239</v>
      </c>
      <c r="AL3" t="s">
        <v>239</v>
      </c>
      <c r="AM3" t="s">
        <v>239</v>
      </c>
      <c r="AN3" t="s">
        <v>239</v>
      </c>
      <c r="AO3" t="s">
        <v>239</v>
      </c>
      <c r="AP3" t="s">
        <v>239</v>
      </c>
      <c r="AQ3" t="s">
        <v>239</v>
      </c>
      <c r="AR3" t="s">
        <v>239</v>
      </c>
      <c r="AS3" t="s">
        <v>239</v>
      </c>
      <c r="AT3" t="s">
        <v>240</v>
      </c>
      <c r="AU3" t="s">
        <v>240</v>
      </c>
      <c r="AV3" t="s">
        <v>240</v>
      </c>
      <c r="AW3" t="s">
        <v>240</v>
      </c>
      <c r="AX3" t="s">
        <v>240</v>
      </c>
      <c r="AY3" t="s">
        <v>240</v>
      </c>
      <c r="AZ3" t="s">
        <v>240</v>
      </c>
      <c r="BA3" t="s">
        <v>240</v>
      </c>
      <c r="BB3" t="s">
        <v>241</v>
      </c>
      <c r="BC3" t="s">
        <v>241</v>
      </c>
      <c r="BD3" t="s">
        <v>241</v>
      </c>
      <c r="BE3" t="s">
        <v>241</v>
      </c>
      <c r="BF3" t="s">
        <v>235</v>
      </c>
      <c r="BG3" t="s">
        <v>235</v>
      </c>
      <c r="BH3" t="s">
        <v>235</v>
      </c>
      <c r="BI3" t="s">
        <v>235</v>
      </c>
      <c r="BJ3" t="s">
        <v>238</v>
      </c>
      <c r="BK3" t="s">
        <v>238</v>
      </c>
      <c r="BL3" t="s">
        <v>238</v>
      </c>
      <c r="BM3" t="s">
        <v>238</v>
      </c>
      <c r="BN3" t="s">
        <v>239</v>
      </c>
      <c r="BO3" t="s">
        <v>239</v>
      </c>
      <c r="BP3" t="s">
        <v>239</v>
      </c>
      <c r="BQ3" t="s">
        <v>239</v>
      </c>
      <c r="BR3" t="s">
        <v>242</v>
      </c>
      <c r="BS3" t="s">
        <v>242</v>
      </c>
      <c r="BT3" t="s">
        <v>242</v>
      </c>
      <c r="BU3" t="s">
        <v>242</v>
      </c>
      <c r="BV3" t="s">
        <v>239</v>
      </c>
      <c r="BW3" t="s">
        <v>239</v>
      </c>
      <c r="BX3" t="s">
        <v>239</v>
      </c>
      <c r="BY3" t="s">
        <v>239</v>
      </c>
      <c r="BZ3" t="s">
        <v>239</v>
      </c>
      <c r="CA3" t="s">
        <v>239</v>
      </c>
      <c r="CB3" t="s">
        <v>239</v>
      </c>
      <c r="CC3" t="s">
        <v>239</v>
      </c>
      <c r="CD3" t="s">
        <v>239</v>
      </c>
      <c r="CE3" t="s">
        <v>239</v>
      </c>
      <c r="CF3" t="s">
        <v>239</v>
      </c>
      <c r="CG3" t="s">
        <v>239</v>
      </c>
      <c r="CH3" t="s">
        <v>239</v>
      </c>
      <c r="CI3" t="s">
        <v>239</v>
      </c>
      <c r="CJ3" t="s">
        <v>239</v>
      </c>
      <c r="CK3" t="s">
        <v>239</v>
      </c>
      <c r="CL3" t="s">
        <v>239</v>
      </c>
      <c r="CM3" t="s">
        <v>239</v>
      </c>
      <c r="CN3" t="s">
        <v>239</v>
      </c>
      <c r="CO3" t="s">
        <v>239</v>
      </c>
      <c r="CP3" t="s">
        <v>239</v>
      </c>
      <c r="CQ3" t="s">
        <v>239</v>
      </c>
      <c r="CR3" t="s">
        <v>239</v>
      </c>
      <c r="CS3" t="s">
        <v>239</v>
      </c>
      <c r="CT3" t="s">
        <v>239</v>
      </c>
      <c r="CU3" t="s">
        <v>239</v>
      </c>
      <c r="CV3" t="s">
        <v>239</v>
      </c>
      <c r="CW3" t="s">
        <v>239</v>
      </c>
      <c r="CX3" t="s">
        <v>240</v>
      </c>
      <c r="CY3" t="s">
        <v>240</v>
      </c>
      <c r="CZ3" t="s">
        <v>240</v>
      </c>
      <c r="DA3" t="s">
        <v>240</v>
      </c>
      <c r="DB3" t="s">
        <v>240</v>
      </c>
      <c r="DC3" t="s">
        <v>240</v>
      </c>
      <c r="DD3" t="s">
        <v>240</v>
      </c>
      <c r="DE3" t="s">
        <v>240</v>
      </c>
      <c r="DF3" t="s">
        <v>241</v>
      </c>
      <c r="DG3" t="s">
        <v>241</v>
      </c>
      <c r="DH3" t="s">
        <v>241</v>
      </c>
      <c r="DI3" t="s">
        <v>241</v>
      </c>
      <c r="DJ3" t="s">
        <v>235</v>
      </c>
      <c r="DK3" t="s">
        <v>235</v>
      </c>
      <c r="DL3" t="s">
        <v>235</v>
      </c>
      <c r="DM3" t="s">
        <v>235</v>
      </c>
      <c r="DN3" t="s">
        <v>238</v>
      </c>
      <c r="DO3" t="s">
        <v>238</v>
      </c>
      <c r="DP3" t="s">
        <v>238</v>
      </c>
      <c r="DQ3" t="s">
        <v>238</v>
      </c>
      <c r="DR3" t="s">
        <v>239</v>
      </c>
      <c r="DS3" t="s">
        <v>239</v>
      </c>
      <c r="DT3" t="s">
        <v>239</v>
      </c>
      <c r="DU3" t="s">
        <v>239</v>
      </c>
      <c r="DV3" t="s">
        <v>242</v>
      </c>
      <c r="DW3" t="s">
        <v>242</v>
      </c>
      <c r="DX3" t="s">
        <v>242</v>
      </c>
      <c r="DY3" t="s">
        <v>242</v>
      </c>
      <c r="DZ3" t="s">
        <v>239</v>
      </c>
      <c r="EA3" t="s">
        <v>239</v>
      </c>
      <c r="EB3" t="s">
        <v>239</v>
      </c>
      <c r="EC3" t="s">
        <v>239</v>
      </c>
      <c r="ED3" t="s">
        <v>239</v>
      </c>
      <c r="EE3" t="s">
        <v>239</v>
      </c>
      <c r="EF3" t="s">
        <v>239</v>
      </c>
      <c r="EG3" t="s">
        <v>239</v>
      </c>
      <c r="EH3" t="s">
        <v>239</v>
      </c>
      <c r="EI3" t="s">
        <v>239</v>
      </c>
      <c r="EJ3" t="s">
        <v>239</v>
      </c>
      <c r="EK3" t="s">
        <v>239</v>
      </c>
      <c r="EL3" t="s">
        <v>239</v>
      </c>
      <c r="EM3" t="s">
        <v>239</v>
      </c>
      <c r="EN3" t="s">
        <v>239</v>
      </c>
      <c r="EO3" t="s">
        <v>239</v>
      </c>
      <c r="EP3" t="s">
        <v>239</v>
      </c>
      <c r="EQ3" t="s">
        <v>239</v>
      </c>
      <c r="ER3" t="s">
        <v>239</v>
      </c>
      <c r="ES3" t="s">
        <v>239</v>
      </c>
      <c r="ET3" t="s">
        <v>239</v>
      </c>
      <c r="EU3" t="s">
        <v>239</v>
      </c>
      <c r="EV3" t="s">
        <v>239</v>
      </c>
      <c r="EW3" t="s">
        <v>239</v>
      </c>
      <c r="EX3" t="s">
        <v>239</v>
      </c>
      <c r="EY3" t="s">
        <v>239</v>
      </c>
      <c r="EZ3" t="s">
        <v>239</v>
      </c>
      <c r="FA3" t="s">
        <v>239</v>
      </c>
      <c r="FB3" t="s">
        <v>240</v>
      </c>
      <c r="FC3" t="s">
        <v>240</v>
      </c>
      <c r="FD3" t="s">
        <v>240</v>
      </c>
      <c r="FE3" t="s">
        <v>240</v>
      </c>
      <c r="FF3" t="s">
        <v>240</v>
      </c>
      <c r="FG3" t="s">
        <v>240</v>
      </c>
      <c r="FH3" t="s">
        <v>240</v>
      </c>
      <c r="FI3" t="s">
        <v>240</v>
      </c>
      <c r="FJ3" t="s">
        <v>239</v>
      </c>
      <c r="FK3" t="s">
        <v>239</v>
      </c>
      <c r="FL3" t="s">
        <v>239</v>
      </c>
      <c r="FM3" t="s">
        <v>239</v>
      </c>
      <c r="FN3" t="s">
        <v>239</v>
      </c>
      <c r="FO3" t="s">
        <v>239</v>
      </c>
      <c r="FP3" t="s">
        <v>239</v>
      </c>
      <c r="FQ3" t="s">
        <v>239</v>
      </c>
      <c r="FR3" t="s">
        <v>239</v>
      </c>
      <c r="FS3" t="s">
        <v>239</v>
      </c>
      <c r="FT3" t="s">
        <v>239</v>
      </c>
      <c r="FU3" t="s">
        <v>239</v>
      </c>
      <c r="FV3" t="s">
        <v>239</v>
      </c>
      <c r="FW3" t="s">
        <v>239</v>
      </c>
      <c r="FX3" t="s">
        <v>239</v>
      </c>
      <c r="FY3" t="s">
        <v>239</v>
      </c>
      <c r="FZ3" t="s">
        <v>241</v>
      </c>
      <c r="GA3" t="s">
        <v>241</v>
      </c>
      <c r="GB3" t="s">
        <v>241</v>
      </c>
      <c r="GC3" t="s">
        <v>241</v>
      </c>
      <c r="GD3" t="s">
        <v>235</v>
      </c>
      <c r="GE3" t="s">
        <v>235</v>
      </c>
      <c r="GF3" t="s">
        <v>235</v>
      </c>
      <c r="GG3" t="s">
        <v>235</v>
      </c>
      <c r="GH3" t="s">
        <v>238</v>
      </c>
      <c r="GI3" t="s">
        <v>238</v>
      </c>
      <c r="GJ3" t="s">
        <v>238</v>
      </c>
      <c r="GK3" t="s">
        <v>238</v>
      </c>
      <c r="GL3" t="s">
        <v>239</v>
      </c>
      <c r="GM3" t="s">
        <v>239</v>
      </c>
      <c r="GN3" t="s">
        <v>239</v>
      </c>
      <c r="GO3" t="s">
        <v>239</v>
      </c>
      <c r="GP3" t="s">
        <v>238</v>
      </c>
      <c r="GQ3" t="s">
        <v>238</v>
      </c>
      <c r="GR3" t="s">
        <v>238</v>
      </c>
      <c r="GS3" t="s">
        <v>238</v>
      </c>
      <c r="GT3" t="s">
        <v>242</v>
      </c>
      <c r="GU3" t="s">
        <v>242</v>
      </c>
      <c r="GV3" t="s">
        <v>242</v>
      </c>
      <c r="GW3" t="s">
        <v>242</v>
      </c>
      <c r="GX3" t="s">
        <v>239</v>
      </c>
      <c r="GY3" t="s">
        <v>239</v>
      </c>
      <c r="GZ3" t="s">
        <v>239</v>
      </c>
      <c r="HA3" t="s">
        <v>239</v>
      </c>
      <c r="HB3" t="s">
        <v>239</v>
      </c>
      <c r="HC3" t="s">
        <v>239</v>
      </c>
      <c r="HD3" t="s">
        <v>239</v>
      </c>
      <c r="HE3" t="s">
        <v>239</v>
      </c>
      <c r="HF3" t="s">
        <v>239</v>
      </c>
      <c r="HG3" t="s">
        <v>239</v>
      </c>
      <c r="HH3" t="s">
        <v>239</v>
      </c>
      <c r="HI3" t="s">
        <v>239</v>
      </c>
      <c r="HJ3" t="s">
        <v>239</v>
      </c>
      <c r="HK3" t="s">
        <v>239</v>
      </c>
      <c r="HL3" t="s">
        <v>239</v>
      </c>
      <c r="HM3" t="s">
        <v>239</v>
      </c>
      <c r="HN3" t="s">
        <v>239</v>
      </c>
      <c r="HO3" t="s">
        <v>239</v>
      </c>
      <c r="HP3" t="s">
        <v>239</v>
      </c>
      <c r="HQ3" t="s">
        <v>239</v>
      </c>
      <c r="HR3" t="s">
        <v>239</v>
      </c>
      <c r="HS3" t="s">
        <v>239</v>
      </c>
      <c r="HT3" t="s">
        <v>239</v>
      </c>
      <c r="HU3" t="s">
        <v>239</v>
      </c>
      <c r="HV3" t="s">
        <v>239</v>
      </c>
      <c r="HW3" t="s">
        <v>239</v>
      </c>
      <c r="HX3" t="s">
        <v>239</v>
      </c>
      <c r="HY3" t="s">
        <v>239</v>
      </c>
      <c r="HZ3" t="s">
        <v>240</v>
      </c>
      <c r="IA3" t="s">
        <v>240</v>
      </c>
      <c r="IB3" t="s">
        <v>240</v>
      </c>
      <c r="IC3" t="s">
        <v>240</v>
      </c>
      <c r="ID3" t="s">
        <v>240</v>
      </c>
      <c r="IE3" t="s">
        <v>240</v>
      </c>
      <c r="IF3" t="s">
        <v>240</v>
      </c>
      <c r="IG3" t="s">
        <v>240</v>
      </c>
      <c r="IH3" t="s">
        <v>239</v>
      </c>
      <c r="II3" t="s">
        <v>239</v>
      </c>
      <c r="IJ3" t="s">
        <v>239</v>
      </c>
      <c r="IK3" t="s">
        <v>239</v>
      </c>
      <c r="IL3" t="s">
        <v>239</v>
      </c>
      <c r="IM3" t="s">
        <v>239</v>
      </c>
      <c r="IN3" t="s">
        <v>239</v>
      </c>
      <c r="IO3" t="s">
        <v>239</v>
      </c>
      <c r="IP3" t="s">
        <v>239</v>
      </c>
      <c r="IQ3" t="s">
        <v>239</v>
      </c>
      <c r="IR3" t="s">
        <v>239</v>
      </c>
      <c r="IS3" t="s">
        <v>239</v>
      </c>
      <c r="IT3" t="s">
        <v>239</v>
      </c>
      <c r="IU3" t="s">
        <v>239</v>
      </c>
      <c r="IV3" t="s">
        <v>239</v>
      </c>
      <c r="IW3" t="s">
        <v>239</v>
      </c>
      <c r="IX3" t="s">
        <v>241</v>
      </c>
      <c r="IY3" t="s">
        <v>241</v>
      </c>
      <c r="IZ3" t="s">
        <v>241</v>
      </c>
      <c r="JA3" t="s">
        <v>241</v>
      </c>
      <c r="JB3" t="s">
        <v>235</v>
      </c>
      <c r="JC3" t="s">
        <v>235</v>
      </c>
      <c r="JD3" t="s">
        <v>235</v>
      </c>
      <c r="JE3" t="s">
        <v>235</v>
      </c>
      <c r="JF3" t="s">
        <v>238</v>
      </c>
      <c r="JG3" t="s">
        <v>238</v>
      </c>
      <c r="JH3" t="s">
        <v>238</v>
      </c>
      <c r="JI3" t="s">
        <v>238</v>
      </c>
      <c r="JJ3" t="s">
        <v>239</v>
      </c>
      <c r="JK3" t="s">
        <v>239</v>
      </c>
      <c r="JL3" t="s">
        <v>239</v>
      </c>
      <c r="JM3" t="s">
        <v>239</v>
      </c>
      <c r="JN3" t="s">
        <v>238</v>
      </c>
      <c r="JO3" t="s">
        <v>238</v>
      </c>
      <c r="JP3" t="s">
        <v>238</v>
      </c>
      <c r="JQ3" t="s">
        <v>238</v>
      </c>
      <c r="JR3" t="s">
        <v>242</v>
      </c>
      <c r="JS3" t="s">
        <v>242</v>
      </c>
      <c r="JT3" t="s">
        <v>242</v>
      </c>
      <c r="JU3" t="s">
        <v>242</v>
      </c>
      <c r="JV3" t="s">
        <v>239</v>
      </c>
      <c r="JW3" t="s">
        <v>239</v>
      </c>
      <c r="JX3" t="s">
        <v>239</v>
      </c>
      <c r="JY3" t="s">
        <v>239</v>
      </c>
      <c r="JZ3" t="s">
        <v>239</v>
      </c>
      <c r="KA3" t="s">
        <v>239</v>
      </c>
      <c r="KB3" t="s">
        <v>239</v>
      </c>
      <c r="KC3" t="s">
        <v>239</v>
      </c>
      <c r="KD3" t="s">
        <v>239</v>
      </c>
      <c r="KE3" t="s">
        <v>239</v>
      </c>
      <c r="KF3" t="s">
        <v>239</v>
      </c>
      <c r="KG3" t="s">
        <v>239</v>
      </c>
      <c r="KH3" t="s">
        <v>239</v>
      </c>
      <c r="KI3" t="s">
        <v>239</v>
      </c>
      <c r="KJ3" t="s">
        <v>239</v>
      </c>
      <c r="KK3" t="s">
        <v>239</v>
      </c>
      <c r="KL3" t="s">
        <v>239</v>
      </c>
      <c r="KM3" t="s">
        <v>239</v>
      </c>
      <c r="KN3" t="s">
        <v>239</v>
      </c>
      <c r="KO3" t="s">
        <v>239</v>
      </c>
      <c r="KP3" t="s">
        <v>239</v>
      </c>
      <c r="KQ3" t="s">
        <v>239</v>
      </c>
      <c r="KR3" t="s">
        <v>239</v>
      </c>
      <c r="KS3" t="s">
        <v>239</v>
      </c>
      <c r="KT3" t="s">
        <v>239</v>
      </c>
      <c r="KU3" t="s">
        <v>239</v>
      </c>
      <c r="KV3" t="s">
        <v>239</v>
      </c>
      <c r="KW3" t="s">
        <v>239</v>
      </c>
      <c r="KX3" t="s">
        <v>240</v>
      </c>
      <c r="KY3" t="s">
        <v>240</v>
      </c>
      <c r="KZ3" t="s">
        <v>240</v>
      </c>
      <c r="LA3" t="s">
        <v>240</v>
      </c>
      <c r="LB3" t="s">
        <v>240</v>
      </c>
      <c r="LC3" t="s">
        <v>240</v>
      </c>
      <c r="LD3" t="s">
        <v>240</v>
      </c>
      <c r="LE3" t="s">
        <v>240</v>
      </c>
      <c r="LF3" t="s">
        <v>241</v>
      </c>
      <c r="LG3" t="s">
        <v>241</v>
      </c>
      <c r="LH3" t="s">
        <v>241</v>
      </c>
      <c r="LI3" t="s">
        <v>241</v>
      </c>
      <c r="LJ3" t="s">
        <v>235</v>
      </c>
      <c r="LK3" t="s">
        <v>235</v>
      </c>
      <c r="LL3" t="s">
        <v>235</v>
      </c>
      <c r="LM3" t="s">
        <v>235</v>
      </c>
      <c r="LN3" t="s">
        <v>238</v>
      </c>
      <c r="LO3" t="s">
        <v>238</v>
      </c>
      <c r="LP3" t="s">
        <v>238</v>
      </c>
      <c r="LQ3" t="s">
        <v>238</v>
      </c>
      <c r="LR3" t="s">
        <v>239</v>
      </c>
      <c r="LS3" t="s">
        <v>239</v>
      </c>
      <c r="LT3" t="s">
        <v>239</v>
      </c>
      <c r="LU3" t="s">
        <v>239</v>
      </c>
      <c r="LV3" t="s">
        <v>238</v>
      </c>
      <c r="LW3" t="s">
        <v>238</v>
      </c>
      <c r="LX3" t="s">
        <v>238</v>
      </c>
      <c r="LY3" t="s">
        <v>238</v>
      </c>
      <c r="LZ3" t="s">
        <v>242</v>
      </c>
      <c r="MA3" t="s">
        <v>242</v>
      </c>
      <c r="MB3" t="s">
        <v>242</v>
      </c>
      <c r="MC3" t="s">
        <v>242</v>
      </c>
      <c r="MD3" t="s">
        <v>239</v>
      </c>
      <c r="ME3" t="s">
        <v>239</v>
      </c>
      <c r="MF3" t="s">
        <v>239</v>
      </c>
      <c r="MG3" t="s">
        <v>239</v>
      </c>
      <c r="MH3" t="s">
        <v>239</v>
      </c>
      <c r="MI3" t="s">
        <v>239</v>
      </c>
      <c r="MJ3" t="s">
        <v>239</v>
      </c>
      <c r="MK3" t="s">
        <v>239</v>
      </c>
      <c r="ML3" t="s">
        <v>239</v>
      </c>
      <c r="MM3" t="s">
        <v>239</v>
      </c>
      <c r="MN3" t="s">
        <v>239</v>
      </c>
      <c r="MO3" t="s">
        <v>239</v>
      </c>
      <c r="MP3" t="s">
        <v>239</v>
      </c>
      <c r="MQ3" t="s">
        <v>239</v>
      </c>
      <c r="MR3" t="s">
        <v>239</v>
      </c>
      <c r="MS3" t="s">
        <v>239</v>
      </c>
      <c r="MT3" t="s">
        <v>239</v>
      </c>
      <c r="MU3" t="s">
        <v>239</v>
      </c>
      <c r="MV3" t="s">
        <v>239</v>
      </c>
      <c r="MW3" t="s">
        <v>239</v>
      </c>
      <c r="MX3" t="s">
        <v>239</v>
      </c>
      <c r="MY3" t="s">
        <v>239</v>
      </c>
      <c r="MZ3" t="s">
        <v>239</v>
      </c>
      <c r="NA3" t="s">
        <v>239</v>
      </c>
      <c r="NB3" t="s">
        <v>239</v>
      </c>
      <c r="NC3" t="s">
        <v>239</v>
      </c>
      <c r="ND3" t="s">
        <v>239</v>
      </c>
      <c r="NE3" t="s">
        <v>239</v>
      </c>
      <c r="NF3" t="s">
        <v>240</v>
      </c>
      <c r="NG3" t="s">
        <v>240</v>
      </c>
      <c r="NH3" t="s">
        <v>240</v>
      </c>
      <c r="NI3" t="s">
        <v>240</v>
      </c>
      <c r="NJ3" t="s">
        <v>240</v>
      </c>
      <c r="NK3" t="s">
        <v>240</v>
      </c>
      <c r="NL3" t="s">
        <v>240</v>
      </c>
      <c r="NM3" t="s">
        <v>240</v>
      </c>
      <c r="NN3" t="s">
        <v>241</v>
      </c>
      <c r="NO3" t="s">
        <v>241</v>
      </c>
      <c r="NP3" t="s">
        <v>241</v>
      </c>
      <c r="NQ3" t="s">
        <v>241</v>
      </c>
      <c r="NR3" t="s">
        <v>235</v>
      </c>
      <c r="NS3" t="s">
        <v>235</v>
      </c>
      <c r="NT3" t="s">
        <v>235</v>
      </c>
      <c r="NU3" t="s">
        <v>235</v>
      </c>
      <c r="NV3" t="s">
        <v>238</v>
      </c>
      <c r="NW3" t="s">
        <v>238</v>
      </c>
      <c r="NX3" t="s">
        <v>238</v>
      </c>
      <c r="NY3" t="s">
        <v>238</v>
      </c>
      <c r="NZ3" t="s">
        <v>239</v>
      </c>
      <c r="OA3" t="s">
        <v>239</v>
      </c>
      <c r="OB3" t="s">
        <v>239</v>
      </c>
      <c r="OC3" t="s">
        <v>239</v>
      </c>
      <c r="OD3" t="s">
        <v>238</v>
      </c>
      <c r="OE3" t="s">
        <v>238</v>
      </c>
      <c r="OF3" t="s">
        <v>238</v>
      </c>
      <c r="OG3" t="s">
        <v>238</v>
      </c>
      <c r="OH3" t="s">
        <v>242</v>
      </c>
      <c r="OI3" t="s">
        <v>242</v>
      </c>
      <c r="OJ3" t="s">
        <v>242</v>
      </c>
      <c r="OK3" t="s">
        <v>242</v>
      </c>
      <c r="OL3" t="s">
        <v>239</v>
      </c>
      <c r="OM3" t="s">
        <v>240</v>
      </c>
      <c r="ON3" t="s">
        <v>240</v>
      </c>
      <c r="OO3" t="s">
        <v>239</v>
      </c>
      <c r="OP3" t="s">
        <v>239</v>
      </c>
      <c r="OQ3" t="s">
        <v>239</v>
      </c>
      <c r="OR3" t="s">
        <v>239</v>
      </c>
      <c r="OS3" t="s">
        <v>243</v>
      </c>
      <c r="OT3" t="s">
        <v>243</v>
      </c>
      <c r="OU3" t="s">
        <v>243</v>
      </c>
      <c r="OV3" t="s">
        <v>243</v>
      </c>
      <c r="OW3" t="s">
        <v>243</v>
      </c>
      <c r="OX3" t="s">
        <v>243</v>
      </c>
      <c r="OY3" t="s">
        <v>239</v>
      </c>
      <c r="OZ3" t="s">
        <v>239</v>
      </c>
      <c r="PA3" t="s">
        <v>239</v>
      </c>
      <c r="PB3" t="s">
        <v>238</v>
      </c>
      <c r="PC3" t="s">
        <v>238</v>
      </c>
      <c r="PD3" t="s">
        <v>239</v>
      </c>
      <c r="PE3" t="s">
        <v>240</v>
      </c>
      <c r="PF3" t="s">
        <v>240</v>
      </c>
      <c r="PG3" t="s">
        <v>239</v>
      </c>
      <c r="PH3" t="s">
        <v>239</v>
      </c>
      <c r="PI3" t="s">
        <v>239</v>
      </c>
      <c r="PJ3" t="s">
        <v>239</v>
      </c>
      <c r="PK3" t="s">
        <v>243</v>
      </c>
      <c r="PL3" t="s">
        <v>243</v>
      </c>
      <c r="PM3" t="s">
        <v>243</v>
      </c>
      <c r="PN3" t="s">
        <v>243</v>
      </c>
      <c r="PO3" t="s">
        <v>243</v>
      </c>
      <c r="PP3" t="s">
        <v>243</v>
      </c>
      <c r="PQ3" t="s">
        <v>239</v>
      </c>
      <c r="PR3" t="s">
        <v>239</v>
      </c>
      <c r="PS3" t="s">
        <v>239</v>
      </c>
      <c r="PT3" t="s">
        <v>238</v>
      </c>
      <c r="PU3" t="s">
        <v>238</v>
      </c>
      <c r="PV3" t="s">
        <v>239</v>
      </c>
      <c r="PW3" t="s">
        <v>239</v>
      </c>
      <c r="PX3" t="s">
        <v>239</v>
      </c>
      <c r="PY3" t="s">
        <v>238</v>
      </c>
      <c r="PZ3" t="s">
        <v>238</v>
      </c>
      <c r="QA3" t="s">
        <v>239</v>
      </c>
      <c r="QB3" t="s">
        <v>239</v>
      </c>
      <c r="QC3" t="s">
        <v>239</v>
      </c>
      <c r="QD3" t="s">
        <v>238</v>
      </c>
      <c r="QE3" t="s">
        <v>238</v>
      </c>
      <c r="QF3" t="s">
        <v>243</v>
      </c>
      <c r="QG3" t="s">
        <v>243</v>
      </c>
      <c r="QH3" t="s">
        <v>243</v>
      </c>
      <c r="QI3" t="s">
        <v>243</v>
      </c>
      <c r="QJ3" t="s">
        <v>243</v>
      </c>
      <c r="QK3" t="s">
        <v>243</v>
      </c>
      <c r="QL3" t="s">
        <v>243</v>
      </c>
      <c r="QM3" t="s">
        <v>243</v>
      </c>
      <c r="QN3" t="s">
        <v>238</v>
      </c>
      <c r="QO3" t="s">
        <v>235</v>
      </c>
      <c r="QP3" t="s">
        <v>235</v>
      </c>
      <c r="QQ3" t="s">
        <v>235</v>
      </c>
      <c r="QR3" t="s">
        <v>238</v>
      </c>
      <c r="QS3" t="s">
        <v>235</v>
      </c>
      <c r="QT3" t="s">
        <v>235</v>
      </c>
      <c r="QU3" t="s">
        <v>235</v>
      </c>
    </row>
    <row r="4" spans="1:463" x14ac:dyDescent="0.2">
      <c r="A4" t="s">
        <v>274</v>
      </c>
      <c r="B4" s="2">
        <v>6.7939783739999998E-13</v>
      </c>
      <c r="C4" s="2">
        <v>1.160280336E-12</v>
      </c>
      <c r="D4">
        <v>9.3376540150000006E-2</v>
      </c>
      <c r="E4">
        <v>0.1334470203</v>
      </c>
      <c r="F4">
        <v>0.47491355549999997</v>
      </c>
      <c r="G4">
        <v>0.2868391481</v>
      </c>
      <c r="H4">
        <v>0.40992983399999999</v>
      </c>
      <c r="I4">
        <v>1.4588653579999999</v>
      </c>
      <c r="J4">
        <v>32.460248300000003</v>
      </c>
      <c r="K4">
        <v>32.553624839999998</v>
      </c>
      <c r="L4">
        <v>32.553624839999998</v>
      </c>
      <c r="M4">
        <v>32.553624839999998</v>
      </c>
      <c r="N4">
        <v>32.420177819999999</v>
      </c>
      <c r="O4">
        <v>32.553624839999998</v>
      </c>
      <c r="P4">
        <v>32.07871128</v>
      </c>
      <c r="Q4">
        <v>32.553624839999998</v>
      </c>
      <c r="R4">
        <v>5.2214201329999996</v>
      </c>
      <c r="S4">
        <v>1.0605122659999999</v>
      </c>
      <c r="T4">
        <v>3.1566507129999999</v>
      </c>
      <c r="U4">
        <v>8.4915122870000008</v>
      </c>
      <c r="V4">
        <v>5.1494451300000001</v>
      </c>
      <c r="W4">
        <v>1.0279515020000001</v>
      </c>
      <c r="X4">
        <v>2.9138402889999999</v>
      </c>
      <c r="Y4">
        <v>9.0379830719999994</v>
      </c>
      <c r="Z4">
        <v>10.37086526</v>
      </c>
      <c r="AA4">
        <v>1.3811613570000001</v>
      </c>
      <c r="AB4">
        <v>7.4695609999999997</v>
      </c>
      <c r="AC4">
        <v>14.078141</v>
      </c>
      <c r="AD4">
        <v>3.0797093370000002</v>
      </c>
      <c r="AE4">
        <v>0.78954808769999996</v>
      </c>
      <c r="AF4">
        <v>1.6606015240000001</v>
      </c>
      <c r="AG4">
        <v>7.6255414999999998</v>
      </c>
      <c r="AH4">
        <v>10.37086526</v>
      </c>
      <c r="AI4">
        <v>1.3811613570000001</v>
      </c>
      <c r="AJ4">
        <v>7.4695609999999997</v>
      </c>
      <c r="AK4">
        <v>14.078141</v>
      </c>
      <c r="AL4">
        <v>1.8264212630000001</v>
      </c>
      <c r="AM4">
        <v>0.3500341253</v>
      </c>
      <c r="AN4">
        <v>1.0611488389999999</v>
      </c>
      <c r="AO4">
        <v>2.7642962839999998</v>
      </c>
      <c r="AP4">
        <v>2.2069065669999999</v>
      </c>
      <c r="AQ4">
        <v>0.36514050539999998</v>
      </c>
      <c r="AR4">
        <v>1.2902361010000001</v>
      </c>
      <c r="AS4">
        <v>3.1619485580000002</v>
      </c>
      <c r="AT4">
        <v>7.9716634169999995E-2</v>
      </c>
      <c r="AU4">
        <v>0.49213782900000003</v>
      </c>
      <c r="AV4">
        <v>-1.587140255</v>
      </c>
      <c r="AW4">
        <v>1.3835414180000001</v>
      </c>
      <c r="AX4">
        <v>2.544404836</v>
      </c>
      <c r="AY4">
        <v>0.72287886440000004</v>
      </c>
      <c r="AZ4">
        <v>1.4498361</v>
      </c>
      <c r="BA4">
        <v>5.6624098610000004</v>
      </c>
      <c r="BB4">
        <v>0.30911799839999998</v>
      </c>
      <c r="BC4">
        <v>0.15598365659999999</v>
      </c>
      <c r="BD4">
        <v>0.13606799950000001</v>
      </c>
      <c r="BE4">
        <v>1.318934995</v>
      </c>
      <c r="BF4">
        <v>6.2805828930000001</v>
      </c>
      <c r="BG4">
        <v>0.79212298179999996</v>
      </c>
      <c r="BH4">
        <v>4.3512170990000003</v>
      </c>
      <c r="BI4">
        <v>8.3459242549999999</v>
      </c>
      <c r="BJ4">
        <v>4.1734110690000001</v>
      </c>
      <c r="BK4">
        <v>5.8946081789999996</v>
      </c>
      <c r="BL4">
        <v>6.6342326399999998E-2</v>
      </c>
      <c r="BM4">
        <v>28.239716940000001</v>
      </c>
      <c r="BN4">
        <v>4.0982414240000002</v>
      </c>
      <c r="BO4">
        <v>1.027508206</v>
      </c>
      <c r="BP4">
        <v>1.998428981</v>
      </c>
      <c r="BQ4">
        <v>6.8250056819999996</v>
      </c>
      <c r="BR4">
        <v>38.056193800000003</v>
      </c>
      <c r="BS4">
        <v>13.52477433</v>
      </c>
      <c r="BT4">
        <v>7.5818747960000001</v>
      </c>
      <c r="BU4">
        <v>73.492665689999995</v>
      </c>
      <c r="BV4">
        <v>4.9570603379999998</v>
      </c>
      <c r="BW4">
        <v>0.91776004730000005</v>
      </c>
      <c r="BX4">
        <v>3.15681973</v>
      </c>
      <c r="BY4">
        <v>7.7404194730000002</v>
      </c>
      <c r="BZ4">
        <v>4.9675821879999997</v>
      </c>
      <c r="CA4">
        <v>0.89963712169999999</v>
      </c>
      <c r="CB4">
        <v>2.9138402889999999</v>
      </c>
      <c r="CC4">
        <v>7.4659624630000003</v>
      </c>
      <c r="CD4">
        <v>9.9246425259999995</v>
      </c>
      <c r="CE4">
        <v>1.0643205019999999</v>
      </c>
      <c r="CF4">
        <v>7.4695609999999997</v>
      </c>
      <c r="CG4">
        <v>11.869211999999999</v>
      </c>
      <c r="CH4">
        <v>3.013724029</v>
      </c>
      <c r="CI4">
        <v>0.76033894349999998</v>
      </c>
      <c r="CJ4">
        <v>1.6606015240000001</v>
      </c>
      <c r="CK4">
        <v>7.62554175</v>
      </c>
      <c r="CL4">
        <v>9.9246425259999995</v>
      </c>
      <c r="CM4">
        <v>1.0643205019999999</v>
      </c>
      <c r="CN4">
        <v>7.4695609999999997</v>
      </c>
      <c r="CO4">
        <v>11.869211999999999</v>
      </c>
      <c r="CP4">
        <v>1.8181648930000001</v>
      </c>
      <c r="CQ4">
        <v>0.3464533507</v>
      </c>
      <c r="CR4">
        <v>1.0611488389999999</v>
      </c>
      <c r="CS4">
        <v>2.7642962529999999</v>
      </c>
      <c r="CT4">
        <v>2.1913234070000001</v>
      </c>
      <c r="CU4">
        <v>0.3569093196</v>
      </c>
      <c r="CV4">
        <v>1.2902361010000001</v>
      </c>
      <c r="CW4">
        <v>3.150192326</v>
      </c>
      <c r="CX4">
        <v>8.2308976300000003E-2</v>
      </c>
      <c r="CY4">
        <v>0.4737506339</v>
      </c>
      <c r="CZ4">
        <v>-1.4538512880000001</v>
      </c>
      <c r="DA4">
        <v>1.2578361689999999</v>
      </c>
      <c r="DB4">
        <v>2.4894744869999998</v>
      </c>
      <c r="DC4">
        <v>0.64845681420000001</v>
      </c>
      <c r="DD4">
        <v>1.4498361</v>
      </c>
      <c r="DE4">
        <v>4.8321615109999998</v>
      </c>
      <c r="DF4">
        <v>0.30278398560000003</v>
      </c>
      <c r="DG4">
        <v>0.1515539008</v>
      </c>
      <c r="DH4">
        <v>0.13135090860000001</v>
      </c>
      <c r="DI4">
        <v>1.318934995</v>
      </c>
      <c r="DJ4">
        <v>6.249605173</v>
      </c>
      <c r="DK4">
        <v>0.76972160499999998</v>
      </c>
      <c r="DL4">
        <v>4.3512170990000003</v>
      </c>
      <c r="DM4">
        <v>8.2297663770000007</v>
      </c>
      <c r="DN4">
        <v>5.2849801269999999</v>
      </c>
      <c r="DO4">
        <v>6.0179380299999998</v>
      </c>
      <c r="DP4">
        <v>6.6342326399999998E-2</v>
      </c>
      <c r="DQ4">
        <v>28.239716940000001</v>
      </c>
      <c r="DR4">
        <v>4.0941768180000002</v>
      </c>
      <c r="DS4">
        <v>1.0220087689999999</v>
      </c>
      <c r="DT4">
        <v>1.998445206</v>
      </c>
      <c r="DU4">
        <v>6.8241832440000003</v>
      </c>
      <c r="DV4">
        <v>38.773763129999999</v>
      </c>
      <c r="DW4">
        <v>13.74654831</v>
      </c>
      <c r="DX4">
        <v>7.5818747960000001</v>
      </c>
      <c r="DY4">
        <v>76.131943840000005</v>
      </c>
      <c r="DZ4">
        <v>2.5546114969999998</v>
      </c>
      <c r="EA4">
        <v>0.57682320740000004</v>
      </c>
      <c r="EB4">
        <v>1.4834403389999999</v>
      </c>
      <c r="EC4">
        <v>4.5132097279999996</v>
      </c>
      <c r="ED4">
        <v>2.0555486869999999</v>
      </c>
      <c r="EE4">
        <v>0.2940275208</v>
      </c>
      <c r="EF4">
        <v>1.295013559</v>
      </c>
      <c r="EG4">
        <v>3.271275675</v>
      </c>
      <c r="EH4">
        <v>4.6101601839999997</v>
      </c>
      <c r="EI4">
        <v>0.79368663240000004</v>
      </c>
      <c r="EJ4">
        <v>3.0301165710000002</v>
      </c>
      <c r="EK4">
        <v>7.1551601429999998</v>
      </c>
      <c r="EL4">
        <v>1.758254516</v>
      </c>
      <c r="EM4">
        <v>0.26179592200000001</v>
      </c>
      <c r="EN4">
        <v>1.2744410530000001</v>
      </c>
      <c r="EO4">
        <v>2.5207659069999999</v>
      </c>
      <c r="EP4">
        <v>7.5630505159999997</v>
      </c>
      <c r="EQ4">
        <v>1.6506193840000001</v>
      </c>
      <c r="ER4">
        <v>4.3254960000000002</v>
      </c>
      <c r="ES4">
        <v>12.964570999999999</v>
      </c>
      <c r="ET4">
        <v>0.65578304970000001</v>
      </c>
      <c r="EU4">
        <v>0.10231479960000001</v>
      </c>
      <c r="EV4">
        <v>0.39294892990000002</v>
      </c>
      <c r="EW4">
        <v>0.92981222360000004</v>
      </c>
      <c r="EX4">
        <v>0.85978997570000004</v>
      </c>
      <c r="EY4">
        <v>0.14405479360000001</v>
      </c>
      <c r="EZ4">
        <v>0.52425272440000004</v>
      </c>
      <c r="FA4">
        <v>1.2837610310000001</v>
      </c>
      <c r="FB4">
        <v>0.36893317679999998</v>
      </c>
      <c r="FC4">
        <v>0.27956351460000001</v>
      </c>
      <c r="FD4">
        <v>-0.433020866</v>
      </c>
      <c r="FE4">
        <v>1.1204446910000001</v>
      </c>
      <c r="FF4">
        <v>3.9069201210000002</v>
      </c>
      <c r="FG4">
        <v>0.72178683489999995</v>
      </c>
      <c r="FH4">
        <v>2.5183265079999999</v>
      </c>
      <c r="FI4">
        <v>6.703602354</v>
      </c>
      <c r="FJ4">
        <v>4.2064089310000004</v>
      </c>
      <c r="FK4">
        <v>1.188093726</v>
      </c>
      <c r="FL4">
        <v>2.2334131830000001</v>
      </c>
      <c r="FM4">
        <v>8.7814507479999993</v>
      </c>
      <c r="FN4">
        <v>3.3566415850000002</v>
      </c>
      <c r="FO4">
        <v>0.80707625949999995</v>
      </c>
      <c r="FP4">
        <v>1.6844611309999999</v>
      </c>
      <c r="FQ4">
        <v>6.1595580449999998</v>
      </c>
      <c r="FR4">
        <v>7.1258189209999996</v>
      </c>
      <c r="FS4">
        <v>1.5896094009999999</v>
      </c>
      <c r="FT4">
        <v>3.7177530000000001</v>
      </c>
      <c r="FU4">
        <v>12.964570999999999</v>
      </c>
      <c r="FV4">
        <v>5.1999966000000004</v>
      </c>
      <c r="FW4">
        <v>1.520940392</v>
      </c>
      <c r="FX4">
        <v>1.3644879999999999</v>
      </c>
      <c r="FY4">
        <v>8.8576099999999993</v>
      </c>
      <c r="FZ4">
        <v>9.1919670960000005E-2</v>
      </c>
      <c r="GA4">
        <v>1.6742781330000001E-2</v>
      </c>
      <c r="GB4">
        <v>6.1471333119999999E-2</v>
      </c>
      <c r="GC4">
        <v>0.15649199950000001</v>
      </c>
      <c r="GD4">
        <v>6.0654636399999999</v>
      </c>
      <c r="GE4">
        <v>0.81239396850000001</v>
      </c>
      <c r="GF4">
        <v>4.1641257319999996</v>
      </c>
      <c r="GG4">
        <v>7.9285900299999996</v>
      </c>
      <c r="GH4">
        <v>0.99103862050000002</v>
      </c>
      <c r="GI4">
        <v>0.78941729569999997</v>
      </c>
      <c r="GJ4">
        <v>4.9248953460000001E-2</v>
      </c>
      <c r="GK4">
        <v>3.6444225559999999</v>
      </c>
      <c r="GL4">
        <v>1.212256521</v>
      </c>
      <c r="GM4">
        <v>0.17442404610000001</v>
      </c>
      <c r="GN4">
        <v>0.73972258629999998</v>
      </c>
      <c r="GO4">
        <v>1.7338242939999999</v>
      </c>
      <c r="GP4">
        <v>8.6795229910000007</v>
      </c>
      <c r="GQ4">
        <v>1.9000364249999999</v>
      </c>
      <c r="GR4">
        <v>3.4474267420000002</v>
      </c>
      <c r="GS4">
        <v>14.03595174</v>
      </c>
      <c r="GT4">
        <v>112.1573471</v>
      </c>
      <c r="GU4">
        <v>19.08561766</v>
      </c>
      <c r="GV4">
        <v>63.901030310000003</v>
      </c>
      <c r="GW4">
        <v>162.6774546</v>
      </c>
      <c r="GX4">
        <v>2.5241809919999998</v>
      </c>
      <c r="GY4">
        <v>0.57138742899999995</v>
      </c>
      <c r="GZ4">
        <v>1.4834403389999999</v>
      </c>
      <c r="HA4">
        <v>4.5112915669999998</v>
      </c>
      <c r="HB4">
        <v>2.039762487</v>
      </c>
      <c r="HC4">
        <v>0.28513219480000002</v>
      </c>
      <c r="HD4">
        <v>1.295013559</v>
      </c>
      <c r="HE4">
        <v>3.0909431000000001</v>
      </c>
      <c r="HF4">
        <v>4.5639434789999997</v>
      </c>
      <c r="HG4">
        <v>0.77835972549999999</v>
      </c>
      <c r="HH4">
        <v>3.0301165710000002</v>
      </c>
      <c r="HI4">
        <v>7.103642571</v>
      </c>
      <c r="HJ4">
        <v>1.7466865309999999</v>
      </c>
      <c r="HK4">
        <v>0.25693464989999998</v>
      </c>
      <c r="HL4">
        <v>1.2494602370000001</v>
      </c>
      <c r="HM4">
        <v>2.507724815</v>
      </c>
      <c r="HN4">
        <v>7.4685170999999997</v>
      </c>
      <c r="HO4">
        <v>1.5883568050000001</v>
      </c>
      <c r="HP4">
        <v>4.3254960000000002</v>
      </c>
      <c r="HQ4">
        <v>12.655431999999999</v>
      </c>
      <c r="HR4">
        <v>0.65268534460000005</v>
      </c>
      <c r="HS4">
        <v>0.10117478839999999</v>
      </c>
      <c r="HT4">
        <v>0.3905903919</v>
      </c>
      <c r="HU4">
        <v>0.92981167649999996</v>
      </c>
      <c r="HV4">
        <v>0.85477796380000004</v>
      </c>
      <c r="HW4">
        <v>0.1423178413</v>
      </c>
      <c r="HX4">
        <v>0.51454237130000002</v>
      </c>
      <c r="HY4">
        <v>1.2819866170000001</v>
      </c>
      <c r="HZ4">
        <v>0.3644984275</v>
      </c>
      <c r="IA4">
        <v>0.28283190670000002</v>
      </c>
      <c r="IB4">
        <v>-0.48004232520000001</v>
      </c>
      <c r="IC4">
        <v>1.120650511</v>
      </c>
      <c r="ID4">
        <v>3.8886114549999999</v>
      </c>
      <c r="IE4">
        <v>0.70978255420000003</v>
      </c>
      <c r="IF4">
        <v>2.5183265079999999</v>
      </c>
      <c r="IG4">
        <v>6.4491515530000001</v>
      </c>
      <c r="IH4">
        <v>4.1410546180000001</v>
      </c>
      <c r="II4">
        <v>1.144097063</v>
      </c>
      <c r="IJ4">
        <v>2.2334131830000001</v>
      </c>
      <c r="IK4">
        <v>8.5252397539999993</v>
      </c>
      <c r="IL4">
        <v>3.3274624820000001</v>
      </c>
      <c r="IM4">
        <v>0.77504655909999998</v>
      </c>
      <c r="IN4">
        <v>1.6844611309999999</v>
      </c>
      <c r="IO4">
        <v>5.9274200480000001</v>
      </c>
      <c r="IP4">
        <v>6.9983635470000003</v>
      </c>
      <c r="IQ4">
        <v>1.503222456</v>
      </c>
      <c r="IR4">
        <v>3.7177530000000001</v>
      </c>
      <c r="IS4">
        <v>12.655431999999999</v>
      </c>
      <c r="IT4">
        <v>5.0878897529999998</v>
      </c>
      <c r="IU4">
        <v>1.509026083</v>
      </c>
      <c r="IV4">
        <v>1.3965270000000001</v>
      </c>
      <c r="IW4">
        <v>8.8576099999999993</v>
      </c>
      <c r="IX4">
        <v>9.1695259710000004E-2</v>
      </c>
      <c r="IY4">
        <v>1.6831015710000001E-2</v>
      </c>
      <c r="IZ4">
        <v>6.1471333119999999E-2</v>
      </c>
      <c r="JA4">
        <v>0.15649199950000001</v>
      </c>
      <c r="JB4">
        <v>6.0392112850000004</v>
      </c>
      <c r="JC4">
        <v>0.79879934860000001</v>
      </c>
      <c r="JD4">
        <v>4.1641257319999996</v>
      </c>
      <c r="JE4">
        <v>7.7083224460000004</v>
      </c>
      <c r="JF4">
        <v>1.039286844</v>
      </c>
      <c r="JG4">
        <v>0.87550251960000003</v>
      </c>
      <c r="JH4">
        <v>4.9248953460000001E-2</v>
      </c>
      <c r="JI4">
        <v>4.826397439</v>
      </c>
      <c r="JJ4">
        <v>1.208770659</v>
      </c>
      <c r="JK4">
        <v>0.17470342680000001</v>
      </c>
      <c r="JL4">
        <v>0.73951299349999999</v>
      </c>
      <c r="JM4">
        <v>1.73382466</v>
      </c>
      <c r="JN4">
        <v>8.7551078340000004</v>
      </c>
      <c r="JO4">
        <v>1.8573519860000001</v>
      </c>
      <c r="JP4">
        <v>3.939916277</v>
      </c>
      <c r="JQ4">
        <v>14.527143300000001</v>
      </c>
      <c r="JR4">
        <v>112.48181529999999</v>
      </c>
      <c r="JS4">
        <v>19.264978989999999</v>
      </c>
      <c r="JT4">
        <v>63.901030310000003</v>
      </c>
      <c r="JU4">
        <v>162.6774546</v>
      </c>
      <c r="JV4">
        <v>3.3768962249999999</v>
      </c>
      <c r="JW4">
        <v>0.93992852930000004</v>
      </c>
      <c r="JX4">
        <v>1.4909680169999999</v>
      </c>
      <c r="JY4">
        <v>6.0576101800000002</v>
      </c>
      <c r="JZ4">
        <v>3.2964730649999998</v>
      </c>
      <c r="KA4">
        <v>0.94483427139999998</v>
      </c>
      <c r="KB4">
        <v>1.3656916299999999</v>
      </c>
      <c r="KC4">
        <v>6.9459445579999999</v>
      </c>
      <c r="KD4">
        <v>6.673369289</v>
      </c>
      <c r="KE4">
        <v>1.263808641</v>
      </c>
      <c r="KF4">
        <v>3.2026669999999999</v>
      </c>
      <c r="KG4">
        <v>9.6344119999999993</v>
      </c>
      <c r="KH4">
        <v>5.034267893</v>
      </c>
      <c r="KI4">
        <v>1.6164141510000001</v>
      </c>
      <c r="KJ4">
        <v>2.209612667</v>
      </c>
      <c r="KK4">
        <v>8.341628</v>
      </c>
      <c r="KL4">
        <v>6.673369289</v>
      </c>
      <c r="KM4">
        <v>1.263808641</v>
      </c>
      <c r="KN4">
        <v>3.2026669999999999</v>
      </c>
      <c r="KO4">
        <v>9.6344119999999993</v>
      </c>
      <c r="KP4">
        <v>1.5394397630000001</v>
      </c>
      <c r="KQ4">
        <v>0.38931266990000002</v>
      </c>
      <c r="KR4">
        <v>0.64176577810000002</v>
      </c>
      <c r="KS4">
        <v>2.5477837459999999</v>
      </c>
      <c r="KT4">
        <v>1.856025772</v>
      </c>
      <c r="KU4">
        <v>0.4059551723</v>
      </c>
      <c r="KV4">
        <v>0.78306919939999997</v>
      </c>
      <c r="KW4">
        <v>2.942744255</v>
      </c>
      <c r="KX4">
        <v>0.1313943863</v>
      </c>
      <c r="KY4">
        <v>0.61619782940000001</v>
      </c>
      <c r="KZ4">
        <v>-1.689969791</v>
      </c>
      <c r="LA4">
        <v>1.7159141179999999</v>
      </c>
      <c r="LB4">
        <v>2.5046120539999999</v>
      </c>
      <c r="LC4">
        <v>0.93796780120000001</v>
      </c>
      <c r="LD4">
        <v>1.3810694489999999</v>
      </c>
      <c r="LE4">
        <v>6.1046700879999998</v>
      </c>
      <c r="LF4">
        <v>2.09628272</v>
      </c>
      <c r="LG4">
        <v>1.032180732</v>
      </c>
      <c r="LH4">
        <v>0.66239999770000002</v>
      </c>
      <c r="LI4">
        <v>5.3336999819999997</v>
      </c>
      <c r="LJ4">
        <v>0.24658692330000001</v>
      </c>
      <c r="LK4">
        <v>5.085671202E-2</v>
      </c>
      <c r="LL4">
        <v>0.1450646437</v>
      </c>
      <c r="LM4">
        <v>0.41007734060000001</v>
      </c>
      <c r="LN4">
        <v>18.72272354</v>
      </c>
      <c r="LO4">
        <v>10.0636916</v>
      </c>
      <c r="LP4">
        <v>1.791242813</v>
      </c>
      <c r="LQ4">
        <v>46.329057939999998</v>
      </c>
      <c r="LR4">
        <v>3.4903263720000002</v>
      </c>
      <c r="LS4">
        <v>1.162162074</v>
      </c>
      <c r="LT4">
        <v>1.3763156620000001</v>
      </c>
      <c r="LU4">
        <v>6.7398504929999996</v>
      </c>
      <c r="LV4">
        <v>21.56892968</v>
      </c>
      <c r="LW4">
        <v>8.3118887770000001</v>
      </c>
      <c r="LX4">
        <v>4.1071367859999999</v>
      </c>
      <c r="LY4">
        <v>40.84475896</v>
      </c>
      <c r="LZ4">
        <v>5.9130234819999998</v>
      </c>
      <c r="MA4">
        <v>2.7456834589999999</v>
      </c>
      <c r="MB4">
        <v>1.8748711090000001</v>
      </c>
      <c r="MC4">
        <v>15.09661841</v>
      </c>
      <c r="MD4">
        <v>3.3525091360000001</v>
      </c>
      <c r="ME4">
        <v>0.91094783619999997</v>
      </c>
      <c r="MF4">
        <v>1.489960036</v>
      </c>
      <c r="MG4">
        <v>6.0037101719999999</v>
      </c>
      <c r="MH4">
        <v>3.256703753</v>
      </c>
      <c r="MI4">
        <v>0.90395044930000001</v>
      </c>
      <c r="MJ4">
        <v>1.3656916299999999</v>
      </c>
      <c r="MK4">
        <v>6.5187349799999996</v>
      </c>
      <c r="ML4">
        <v>6.6092128890000001</v>
      </c>
      <c r="MM4">
        <v>1.2087916009999999</v>
      </c>
      <c r="MN4">
        <v>3.1868409999999998</v>
      </c>
      <c r="MO4">
        <v>9.4205100000000002</v>
      </c>
      <c r="MP4">
        <v>4.9742954609999996</v>
      </c>
      <c r="MQ4">
        <v>1.5600407039999999</v>
      </c>
      <c r="MR4">
        <v>2.2042836669999999</v>
      </c>
      <c r="MS4">
        <v>7.8863940000000001</v>
      </c>
      <c r="MT4">
        <v>6.6092128890000001</v>
      </c>
      <c r="MU4">
        <v>1.2087916009999999</v>
      </c>
      <c r="MV4">
        <v>3.1868409999999998</v>
      </c>
      <c r="MW4">
        <v>9.4205100000000002</v>
      </c>
      <c r="MX4">
        <v>1.5320680419999999</v>
      </c>
      <c r="MY4">
        <v>0.38778182849999998</v>
      </c>
      <c r="MZ4">
        <v>0.64176577810000002</v>
      </c>
      <c r="NA4">
        <v>2.5407922350000001</v>
      </c>
      <c r="NB4">
        <v>1.843661703</v>
      </c>
      <c r="NC4">
        <v>0.40231995879999999</v>
      </c>
      <c r="ND4">
        <v>0.78119819160000004</v>
      </c>
      <c r="NE4">
        <v>2.9332012070000002</v>
      </c>
      <c r="NF4">
        <v>0.13261744240000001</v>
      </c>
      <c r="NG4">
        <v>0.59735488059999997</v>
      </c>
      <c r="NH4">
        <v>-1.632022584</v>
      </c>
      <c r="NI4">
        <v>1.506175042</v>
      </c>
      <c r="NJ4">
        <v>2.473479298</v>
      </c>
      <c r="NK4">
        <v>0.88506208740000003</v>
      </c>
      <c r="NL4">
        <v>1.38130218</v>
      </c>
      <c r="NM4">
        <v>6.0781034539999999</v>
      </c>
      <c r="NN4">
        <v>2.0913709850000002</v>
      </c>
      <c r="NO4">
        <v>1.025795185</v>
      </c>
      <c r="NP4">
        <v>0.66239999770000002</v>
      </c>
      <c r="NQ4">
        <v>5.3212799820000001</v>
      </c>
      <c r="NR4">
        <v>0.24448771059999999</v>
      </c>
      <c r="NS4">
        <v>4.875261685E-2</v>
      </c>
      <c r="NT4">
        <v>0.1450646437</v>
      </c>
      <c r="NU4">
        <v>0.3945159916</v>
      </c>
      <c r="NV4">
        <v>18.74685839</v>
      </c>
      <c r="NW4">
        <v>10.0339733</v>
      </c>
      <c r="NX4">
        <v>1.724900487</v>
      </c>
      <c r="NY4">
        <v>46.329057939999998</v>
      </c>
      <c r="NZ4">
        <v>3.4849945990000002</v>
      </c>
      <c r="OA4">
        <v>1.1598300610000001</v>
      </c>
      <c r="OB4">
        <v>1.3763156620000001</v>
      </c>
      <c r="OC4">
        <v>6.7364208120000004</v>
      </c>
      <c r="OD4">
        <v>21.658671030000001</v>
      </c>
      <c r="OE4">
        <v>8.2358063379999997</v>
      </c>
      <c r="OF4">
        <v>4.6439628480000001</v>
      </c>
      <c r="OG4">
        <v>40.84475896</v>
      </c>
      <c r="OH4">
        <v>5.9076870919999998</v>
      </c>
      <c r="OI4">
        <v>2.72061383</v>
      </c>
      <c r="OJ4">
        <v>1.8792471049999999</v>
      </c>
      <c r="OK4">
        <v>15.09661841</v>
      </c>
      <c r="OL4">
        <v>2.0426979410000001</v>
      </c>
      <c r="OM4">
        <v>-8.3115139049999995E-2</v>
      </c>
      <c r="ON4">
        <v>2.5683354770000002</v>
      </c>
      <c r="OO4">
        <v>8.4812419999999999</v>
      </c>
      <c r="OP4">
        <v>7.7076859999999998</v>
      </c>
      <c r="OQ4">
        <v>16.188928000000001</v>
      </c>
      <c r="OR4">
        <v>1.6815334209999999</v>
      </c>
      <c r="OS4" s="2">
        <v>7.4225564369999995E-5</v>
      </c>
      <c r="OT4">
        <v>2.7466985330000001E-3</v>
      </c>
      <c r="OU4" s="2">
        <v>7.4225564369999995E-5</v>
      </c>
      <c r="OV4">
        <v>1.947715276E-3</v>
      </c>
      <c r="OW4">
        <v>2.5357867240000001E-3</v>
      </c>
      <c r="OX4">
        <v>2.1091180819999999E-4</v>
      </c>
      <c r="OY4">
        <v>5.9362169610000004</v>
      </c>
      <c r="OZ4">
        <v>1.3361745009999999</v>
      </c>
      <c r="PA4">
        <v>1.6839187769999999</v>
      </c>
      <c r="PB4">
        <v>7.3006423570000001</v>
      </c>
      <c r="PC4">
        <v>92.730475200000001</v>
      </c>
      <c r="PD4">
        <v>2.0261030149999999</v>
      </c>
      <c r="PE4">
        <v>-5.8647041480000002E-2</v>
      </c>
      <c r="PF4">
        <v>2.4458564479999998</v>
      </c>
      <c r="PG4">
        <v>7.3892160000000002</v>
      </c>
      <c r="PH4">
        <v>7.0936779999999997</v>
      </c>
      <c r="PI4">
        <v>14.482894</v>
      </c>
      <c r="PJ4">
        <v>1.6745243949999999</v>
      </c>
      <c r="PK4" s="2">
        <v>7.1985852790000003E-5</v>
      </c>
      <c r="PL4">
        <v>2.740746659E-3</v>
      </c>
      <c r="PM4" s="2">
        <v>7.1985852790000003E-5</v>
      </c>
      <c r="PN4">
        <v>1.947003291E-3</v>
      </c>
      <c r="PO4">
        <v>2.5341337089999998E-3</v>
      </c>
      <c r="PP4">
        <v>2.0661295060000001E-4</v>
      </c>
      <c r="PQ4">
        <v>5.9350366230000002</v>
      </c>
      <c r="PR4">
        <v>1.2755202059999999</v>
      </c>
      <c r="PS4">
        <v>1.563095785</v>
      </c>
      <c r="PT4">
        <v>7.2780985759999997</v>
      </c>
      <c r="PU4">
        <v>92.719186179999994</v>
      </c>
      <c r="PV4">
        <v>6.9530375979999999</v>
      </c>
      <c r="PW4">
        <v>1.6130395470000001</v>
      </c>
      <c r="PX4">
        <v>2.1272242330000002</v>
      </c>
      <c r="PY4">
        <v>9.0530730960000003</v>
      </c>
      <c r="PZ4">
        <v>92.673480229999996</v>
      </c>
      <c r="QA4">
        <v>6.9509686869999996</v>
      </c>
      <c r="QB4">
        <v>1.557666773</v>
      </c>
      <c r="QC4">
        <v>1.9808069660000001</v>
      </c>
      <c r="QD4">
        <v>9.0562296050000004</v>
      </c>
      <c r="QE4">
        <v>92.668647129999997</v>
      </c>
      <c r="QF4" s="2">
        <v>8.1946356849999993E-5</v>
      </c>
      <c r="QG4">
        <v>2.356141329E-3</v>
      </c>
      <c r="QH4">
        <v>3.1596386710000001E-3</v>
      </c>
      <c r="QI4">
        <v>2.5214770710000001E-4</v>
      </c>
      <c r="QJ4" s="2">
        <v>7.941509564E-5</v>
      </c>
      <c r="QK4">
        <v>2.3558787270000002E-3</v>
      </c>
      <c r="QL4">
        <v>3.1590032729999998E-3</v>
      </c>
      <c r="QM4">
        <v>2.4678213489999999E-4</v>
      </c>
      <c r="QN4">
        <v>5.0158834099999998</v>
      </c>
      <c r="QO4">
        <v>3.5179850570000002</v>
      </c>
      <c r="QP4">
        <v>10.24119301</v>
      </c>
      <c r="QQ4">
        <v>177.97419160000001</v>
      </c>
      <c r="QR4">
        <v>4.9964997240000004</v>
      </c>
      <c r="QS4">
        <v>3.5172312469999998</v>
      </c>
      <c r="QT4">
        <v>10.24180634</v>
      </c>
      <c r="QU4">
        <v>177.97103870000001</v>
      </c>
    </row>
    <row r="5" spans="1:463" x14ac:dyDescent="0.2">
      <c r="A5" t="s">
        <v>275</v>
      </c>
      <c r="B5" s="2">
        <v>-3.0502151349999998E-13</v>
      </c>
      <c r="C5" s="2">
        <v>-1.7131777799999999E-12</v>
      </c>
      <c r="D5">
        <v>5.6471172809999998E-2</v>
      </c>
      <c r="E5">
        <v>9.8981189319999996E-2</v>
      </c>
      <c r="F5">
        <v>0.44834146250000001</v>
      </c>
      <c r="G5">
        <v>0.17347122810000001</v>
      </c>
      <c r="H5">
        <v>0.30405581500000001</v>
      </c>
      <c r="I5">
        <v>1.3772397540000001</v>
      </c>
      <c r="J5">
        <v>32.497153670000003</v>
      </c>
      <c r="K5">
        <v>32.553624839999998</v>
      </c>
      <c r="L5">
        <v>32.553624839999998</v>
      </c>
      <c r="M5">
        <v>32.553624839999998</v>
      </c>
      <c r="N5">
        <v>32.454643650000001</v>
      </c>
      <c r="O5">
        <v>32.553624839999998</v>
      </c>
      <c r="P5">
        <v>32.105283380000003</v>
      </c>
      <c r="Q5">
        <v>32.553624839999998</v>
      </c>
      <c r="R5">
        <v>5.2215423029999997</v>
      </c>
      <c r="S5">
        <v>1.0339503569999999</v>
      </c>
      <c r="T5">
        <v>3.174616758</v>
      </c>
      <c r="U5">
        <v>8.1149834900000002</v>
      </c>
      <c r="V5">
        <v>5.6638037499999996</v>
      </c>
      <c r="W5">
        <v>1.0863559890000001</v>
      </c>
      <c r="X5">
        <v>3.2728196220000001</v>
      </c>
      <c r="Y5">
        <v>9.2815513139999997</v>
      </c>
      <c r="Z5">
        <v>10.885346050000001</v>
      </c>
      <c r="AA5">
        <v>1.415696463</v>
      </c>
      <c r="AB5">
        <v>7.6832050000000001</v>
      </c>
      <c r="AC5">
        <v>14.5128</v>
      </c>
      <c r="AD5">
        <v>3.2343585799999999</v>
      </c>
      <c r="AE5">
        <v>0.70562381029999999</v>
      </c>
      <c r="AF5">
        <v>1.8051680560000001</v>
      </c>
      <c r="AG5">
        <v>5.7299749999999996</v>
      </c>
      <c r="AH5">
        <v>10.885346050000001</v>
      </c>
      <c r="AI5">
        <v>1.415696463</v>
      </c>
      <c r="AJ5">
        <v>7.6832050000000001</v>
      </c>
      <c r="AK5">
        <v>14.5128</v>
      </c>
      <c r="AL5">
        <v>1.87380104</v>
      </c>
      <c r="AM5">
        <v>0.36521288010000003</v>
      </c>
      <c r="AN5">
        <v>1.069307649</v>
      </c>
      <c r="AO5">
        <v>2.8402955740000002</v>
      </c>
      <c r="AP5">
        <v>2.2635129260000002</v>
      </c>
      <c r="AQ5">
        <v>0.38074385100000002</v>
      </c>
      <c r="AR5">
        <v>1.3541138589999999</v>
      </c>
      <c r="AS5">
        <v>3.1814364570000002</v>
      </c>
      <c r="AT5">
        <v>7.1777011350000003E-2</v>
      </c>
      <c r="AU5">
        <v>0.48132956440000002</v>
      </c>
      <c r="AV5">
        <v>-1.5617671989999999</v>
      </c>
      <c r="AW5">
        <v>1.250726775</v>
      </c>
      <c r="AX5">
        <v>2.5474591680000001</v>
      </c>
      <c r="AY5">
        <v>0.68480582619999997</v>
      </c>
      <c r="AZ5">
        <v>1.546753182</v>
      </c>
      <c r="BA5">
        <v>5.3494407070000003</v>
      </c>
      <c r="BB5">
        <v>0.28019731590000002</v>
      </c>
      <c r="BC5">
        <v>0.1152330291</v>
      </c>
      <c r="BD5">
        <v>0.1201411761</v>
      </c>
      <c r="BE5">
        <v>0.90838499689999996</v>
      </c>
      <c r="BF5">
        <v>6.7307547669999996</v>
      </c>
      <c r="BG5">
        <v>0.94971827170000001</v>
      </c>
      <c r="BH5">
        <v>4.4482348719999996</v>
      </c>
      <c r="BI5">
        <v>9.5720847080000002</v>
      </c>
      <c r="BJ5">
        <v>4.6330173459999999</v>
      </c>
      <c r="BK5">
        <v>5.3056643330000002</v>
      </c>
      <c r="BL5">
        <v>4.4228217600000001E-2</v>
      </c>
      <c r="BM5">
        <v>26.733477350000001</v>
      </c>
      <c r="BN5">
        <v>4.2004382050000002</v>
      </c>
      <c r="BO5">
        <v>1.054271392</v>
      </c>
      <c r="BP5">
        <v>1.9985153490000001</v>
      </c>
      <c r="BQ5">
        <v>6.8457617380000002</v>
      </c>
      <c r="BR5">
        <v>40.870549220000001</v>
      </c>
      <c r="BS5">
        <v>14.16547151</v>
      </c>
      <c r="BT5">
        <v>11.00854818</v>
      </c>
      <c r="BU5">
        <v>83.235409610000005</v>
      </c>
      <c r="BV5">
        <v>5.0169104940000002</v>
      </c>
      <c r="BW5">
        <v>0.91001283720000004</v>
      </c>
      <c r="BX5">
        <v>3.174616758</v>
      </c>
      <c r="BY5">
        <v>7.9697461880000002</v>
      </c>
      <c r="BZ5">
        <v>5.3648699799999999</v>
      </c>
      <c r="CA5">
        <v>0.92865031929999997</v>
      </c>
      <c r="CB5">
        <v>3.2728196299999999</v>
      </c>
      <c r="CC5">
        <v>7.5740982939999997</v>
      </c>
      <c r="CD5">
        <v>10.381780470000001</v>
      </c>
      <c r="CE5">
        <v>1.02051582</v>
      </c>
      <c r="CF5">
        <v>7.6832050000000001</v>
      </c>
      <c r="CG5">
        <v>12.132885</v>
      </c>
      <c r="CH5">
        <v>3.168937895</v>
      </c>
      <c r="CI5">
        <v>0.6870298172</v>
      </c>
      <c r="CJ5">
        <v>1.8051680560000001</v>
      </c>
      <c r="CK5">
        <v>5.4677542729999997</v>
      </c>
      <c r="CL5">
        <v>10.381780470000001</v>
      </c>
      <c r="CM5">
        <v>1.02051582</v>
      </c>
      <c r="CN5">
        <v>7.6832050000000001</v>
      </c>
      <c r="CO5">
        <v>12.132885</v>
      </c>
      <c r="CP5">
        <v>1.864861656</v>
      </c>
      <c r="CQ5">
        <v>0.3601497803</v>
      </c>
      <c r="CR5">
        <v>1.0693076560000001</v>
      </c>
      <c r="CS5">
        <v>2.836386166</v>
      </c>
      <c r="CT5">
        <v>2.2470959270000002</v>
      </c>
      <c r="CU5">
        <v>0.37079703279999998</v>
      </c>
      <c r="CV5">
        <v>1.3541138639999999</v>
      </c>
      <c r="CW5">
        <v>3.162131225</v>
      </c>
      <c r="CX5">
        <v>7.8362143100000003E-2</v>
      </c>
      <c r="CY5">
        <v>0.46615919659999999</v>
      </c>
      <c r="CZ5">
        <v>-1.424796618</v>
      </c>
      <c r="DA5">
        <v>1.2504307180000001</v>
      </c>
      <c r="DB5">
        <v>2.4959279909999998</v>
      </c>
      <c r="DC5">
        <v>0.63239055860000004</v>
      </c>
      <c r="DD5">
        <v>1.546753182</v>
      </c>
      <c r="DE5">
        <v>5.2350938520000003</v>
      </c>
      <c r="DF5">
        <v>0.27573350679999997</v>
      </c>
      <c r="DG5">
        <v>0.11695515419999999</v>
      </c>
      <c r="DH5">
        <v>0.1201411761</v>
      </c>
      <c r="DI5">
        <v>0.90838499689999996</v>
      </c>
      <c r="DJ5">
        <v>6.6972336940000003</v>
      </c>
      <c r="DK5">
        <v>0.91629874460000005</v>
      </c>
      <c r="DL5">
        <v>4.4482348719999996</v>
      </c>
      <c r="DM5">
        <v>9.4701428679999999</v>
      </c>
      <c r="DN5">
        <v>5.411831276</v>
      </c>
      <c r="DO5">
        <v>5.4331997310000002</v>
      </c>
      <c r="DP5">
        <v>0.1547987616</v>
      </c>
      <c r="DQ5">
        <v>26.733477350000001</v>
      </c>
      <c r="DR5">
        <v>4.1966503069999996</v>
      </c>
      <c r="DS5">
        <v>1.050157461</v>
      </c>
      <c r="DT5">
        <v>1.998728566</v>
      </c>
      <c r="DU5">
        <v>6.8465790459999996</v>
      </c>
      <c r="DV5">
        <v>41.77727908</v>
      </c>
      <c r="DW5">
        <v>14.62995544</v>
      </c>
      <c r="DX5">
        <v>11.00854818</v>
      </c>
      <c r="DY5">
        <v>83.235409610000005</v>
      </c>
      <c r="DZ5">
        <v>2.5783425599999998</v>
      </c>
      <c r="EA5">
        <v>0.56729172859999999</v>
      </c>
      <c r="EB5">
        <v>1.350859059</v>
      </c>
      <c r="EC5">
        <v>4.4879943879999997</v>
      </c>
      <c r="ED5">
        <v>2.4201830160000002</v>
      </c>
      <c r="EE5">
        <v>0.34726112339999998</v>
      </c>
      <c r="EF5">
        <v>1.491251369</v>
      </c>
      <c r="EG5">
        <v>3.3553037419999998</v>
      </c>
      <c r="EH5">
        <v>4.9985255759999996</v>
      </c>
      <c r="EI5">
        <v>0.79615486130000002</v>
      </c>
      <c r="EJ5">
        <v>2.8421104289999999</v>
      </c>
      <c r="EK5">
        <v>7.0239237140000004</v>
      </c>
      <c r="EL5">
        <v>1.9671815450000001</v>
      </c>
      <c r="EM5">
        <v>0.28758764999999997</v>
      </c>
      <c r="EN5">
        <v>1.2027113840000001</v>
      </c>
      <c r="EO5">
        <v>2.6865148699999999</v>
      </c>
      <c r="EP5">
        <v>8.2183294260000004</v>
      </c>
      <c r="EQ5">
        <v>1.7269822859999999</v>
      </c>
      <c r="ER5">
        <v>4.3239349999999996</v>
      </c>
      <c r="ES5">
        <v>13.588481</v>
      </c>
      <c r="ET5">
        <v>0.70427665819999996</v>
      </c>
      <c r="EU5">
        <v>0.1051051343</v>
      </c>
      <c r="EV5">
        <v>0.4111305576</v>
      </c>
      <c r="EW5">
        <v>0.97343069530000004</v>
      </c>
      <c r="EX5">
        <v>0.92113668569999996</v>
      </c>
      <c r="EY5">
        <v>0.14538820420000001</v>
      </c>
      <c r="EZ5">
        <v>0.52304377160000004</v>
      </c>
      <c r="FA5">
        <v>1.308720444</v>
      </c>
      <c r="FB5">
        <v>0.201227287</v>
      </c>
      <c r="FC5">
        <v>0.28767685409999999</v>
      </c>
      <c r="FD5">
        <v>-0.49790578819999998</v>
      </c>
      <c r="FE5">
        <v>1.0020180489999999</v>
      </c>
      <c r="FF5">
        <v>3.8397526719999999</v>
      </c>
      <c r="FG5">
        <v>0.58482590290000003</v>
      </c>
      <c r="FH5">
        <v>2.6837368599999998</v>
      </c>
      <c r="FI5">
        <v>5.4786252559999999</v>
      </c>
      <c r="FJ5">
        <v>4.2600954099999999</v>
      </c>
      <c r="FK5">
        <v>1.152262957</v>
      </c>
      <c r="FL5">
        <v>1.974214471</v>
      </c>
      <c r="FM5">
        <v>8.3081806230000002</v>
      </c>
      <c r="FN5">
        <v>3.958234016</v>
      </c>
      <c r="FO5">
        <v>1.013283047</v>
      </c>
      <c r="FP5">
        <v>1.9096064239999999</v>
      </c>
      <c r="FQ5">
        <v>8.7461054750000002</v>
      </c>
      <c r="FR5">
        <v>7.644013384</v>
      </c>
      <c r="FS5">
        <v>1.628793333</v>
      </c>
      <c r="FT5">
        <v>4.3239349999999996</v>
      </c>
      <c r="FU5">
        <v>12.122183</v>
      </c>
      <c r="FV5">
        <v>5.7927716260000004</v>
      </c>
      <c r="FW5">
        <v>1.661898302</v>
      </c>
      <c r="FX5">
        <v>2.3435670000000002</v>
      </c>
      <c r="FY5">
        <v>10.838862000000001</v>
      </c>
      <c r="FZ5">
        <v>9.0409168050000002E-2</v>
      </c>
      <c r="GA5">
        <v>1.698882027E-2</v>
      </c>
      <c r="GB5">
        <v>6.1179999790000002E-2</v>
      </c>
      <c r="GC5">
        <v>0.15512823479999999</v>
      </c>
      <c r="GD5">
        <v>6.5723390300000002</v>
      </c>
      <c r="GE5">
        <v>0.96844225719999999</v>
      </c>
      <c r="GF5">
        <v>4.4226010899999997</v>
      </c>
      <c r="GG5">
        <v>9.3237184620000004</v>
      </c>
      <c r="GH5">
        <v>1.075404013</v>
      </c>
      <c r="GI5">
        <v>0.99484674120000005</v>
      </c>
      <c r="GJ5">
        <v>7.3873430190000006E-2</v>
      </c>
      <c r="GK5">
        <v>7.0600397929999996</v>
      </c>
      <c r="GL5">
        <v>1.317889109</v>
      </c>
      <c r="GM5">
        <v>0.18747404040000001</v>
      </c>
      <c r="GN5">
        <v>0.78841466650000003</v>
      </c>
      <c r="GO5">
        <v>1.8042980900000001</v>
      </c>
      <c r="GP5">
        <v>8.2215675800000003</v>
      </c>
      <c r="GQ5">
        <v>1.710760557</v>
      </c>
      <c r="GR5">
        <v>4.6294016249999999</v>
      </c>
      <c r="GS5">
        <v>14.20524994</v>
      </c>
      <c r="GT5">
        <v>114.2280581</v>
      </c>
      <c r="GU5">
        <v>19.804032249999999</v>
      </c>
      <c r="GV5">
        <v>64.462797600000002</v>
      </c>
      <c r="GW5">
        <v>163.4521091</v>
      </c>
      <c r="GX5">
        <v>2.5576857469999998</v>
      </c>
      <c r="GY5">
        <v>0.55667074670000005</v>
      </c>
      <c r="GZ5">
        <v>1.350859059</v>
      </c>
      <c r="HA5">
        <v>4.3690696859999996</v>
      </c>
      <c r="HB5">
        <v>2.3866248670000001</v>
      </c>
      <c r="HC5">
        <v>0.32782669599999997</v>
      </c>
      <c r="HD5">
        <v>1.491251369</v>
      </c>
      <c r="HE5">
        <v>3.332918609</v>
      </c>
      <c r="HF5">
        <v>4.9443106139999999</v>
      </c>
      <c r="HG5">
        <v>0.76304217470000002</v>
      </c>
      <c r="HH5">
        <v>2.8421104289999999</v>
      </c>
      <c r="HI5">
        <v>7.0206715710000003</v>
      </c>
      <c r="HJ5">
        <v>1.9474530889999999</v>
      </c>
      <c r="HK5">
        <v>0.27779827419999997</v>
      </c>
      <c r="HL5">
        <v>1.2027113840000001</v>
      </c>
      <c r="HM5">
        <v>2.691981111</v>
      </c>
      <c r="HN5">
        <v>8.0917857889999993</v>
      </c>
      <c r="HO5">
        <v>1.5945653310000001</v>
      </c>
      <c r="HP5">
        <v>4.3239349999999996</v>
      </c>
      <c r="HQ5">
        <v>13.485810000000001</v>
      </c>
      <c r="HR5">
        <v>0.70019595570000004</v>
      </c>
      <c r="HS5">
        <v>0.1030236958</v>
      </c>
      <c r="HT5">
        <v>0.4111305576</v>
      </c>
      <c r="HU5">
        <v>0.97331998870000003</v>
      </c>
      <c r="HV5">
        <v>0.9149583805</v>
      </c>
      <c r="HW5">
        <v>0.14233503680000001</v>
      </c>
      <c r="HX5">
        <v>0.52304377160000004</v>
      </c>
      <c r="HY5">
        <v>1.3084062599999999</v>
      </c>
      <c r="HZ5">
        <v>0.2051540721</v>
      </c>
      <c r="IA5">
        <v>0.29174790709999998</v>
      </c>
      <c r="IB5">
        <v>-0.48362701479999998</v>
      </c>
      <c r="IC5">
        <v>1.0027127090000001</v>
      </c>
      <c r="ID5">
        <v>3.8291372379999999</v>
      </c>
      <c r="IE5">
        <v>0.59723179289999995</v>
      </c>
      <c r="IF5">
        <v>2.6837368599999998</v>
      </c>
      <c r="IG5">
        <v>5.6710934870000003</v>
      </c>
      <c r="IH5">
        <v>4.2197126689999997</v>
      </c>
      <c r="II5">
        <v>1.1144625029999999</v>
      </c>
      <c r="IJ5">
        <v>1.974214471</v>
      </c>
      <c r="IK5">
        <v>8.2469846189999991</v>
      </c>
      <c r="IL5">
        <v>3.87207312</v>
      </c>
      <c r="IM5">
        <v>0.9086915646</v>
      </c>
      <c r="IN5">
        <v>1.9096064239999999</v>
      </c>
      <c r="IO5">
        <v>7.4869663470000001</v>
      </c>
      <c r="IP5">
        <v>7.5080979680000004</v>
      </c>
      <c r="IQ5">
        <v>1.4767676679999999</v>
      </c>
      <c r="IR5">
        <v>4.3239349999999996</v>
      </c>
      <c r="IS5">
        <v>11.851608000000001</v>
      </c>
      <c r="IT5">
        <v>5.7008061320000003</v>
      </c>
      <c r="IU5">
        <v>1.6456933149999999</v>
      </c>
      <c r="IV5">
        <v>2.1404709999999998</v>
      </c>
      <c r="IW5">
        <v>9.9291140000000002</v>
      </c>
      <c r="IX5">
        <v>8.9823088780000004E-2</v>
      </c>
      <c r="IY5">
        <v>1.7009219209999999E-2</v>
      </c>
      <c r="IZ5">
        <v>6.1241333119999998E-2</v>
      </c>
      <c r="JA5">
        <v>0.15512823479999999</v>
      </c>
      <c r="JB5">
        <v>6.5412833289999996</v>
      </c>
      <c r="JC5">
        <v>0.93931737130000004</v>
      </c>
      <c r="JD5">
        <v>4.4226010899999997</v>
      </c>
      <c r="JE5">
        <v>9.1147018049999993</v>
      </c>
      <c r="JF5">
        <v>1.1089704949999999</v>
      </c>
      <c r="JG5">
        <v>1.0414772080000001</v>
      </c>
      <c r="JH5">
        <v>7.3873430190000006E-2</v>
      </c>
      <c r="JI5">
        <v>7.0600397929999996</v>
      </c>
      <c r="JJ5">
        <v>1.312032654</v>
      </c>
      <c r="JK5">
        <v>0.18593220799999999</v>
      </c>
      <c r="JL5">
        <v>0.78841466650000003</v>
      </c>
      <c r="JM5">
        <v>1.8054942810000001</v>
      </c>
      <c r="JN5">
        <v>8.2973427710000003</v>
      </c>
      <c r="JO5">
        <v>1.6709489639999999</v>
      </c>
      <c r="JP5">
        <v>4.7278995320000003</v>
      </c>
      <c r="JQ5">
        <v>14.20524994</v>
      </c>
      <c r="JR5">
        <v>115.0063974</v>
      </c>
      <c r="JS5">
        <v>19.957591900000001</v>
      </c>
      <c r="JT5">
        <v>64.462797600000002</v>
      </c>
      <c r="JU5">
        <v>163.2884114</v>
      </c>
      <c r="JV5">
        <v>3.4553275810000001</v>
      </c>
      <c r="JW5">
        <v>0.96629294030000001</v>
      </c>
      <c r="JX5">
        <v>1.761958763</v>
      </c>
      <c r="JY5">
        <v>6.148011157</v>
      </c>
      <c r="JZ5">
        <v>3.3478021299999998</v>
      </c>
      <c r="KA5">
        <v>0.93420283739999999</v>
      </c>
      <c r="KB5">
        <v>1.30721278</v>
      </c>
      <c r="KC5">
        <v>6.8546982590000001</v>
      </c>
      <c r="KD5">
        <v>6.8031297110000004</v>
      </c>
      <c r="KE5">
        <v>1.287680967</v>
      </c>
      <c r="KF5">
        <v>3.250356</v>
      </c>
      <c r="KG5">
        <v>9.7867850000000001</v>
      </c>
      <c r="KH5">
        <v>5.0880086919999998</v>
      </c>
      <c r="KI5">
        <v>1.5660396000000001</v>
      </c>
      <c r="KJ5">
        <v>2.2455053330000001</v>
      </c>
      <c r="KK5">
        <v>8.4062129999999993</v>
      </c>
      <c r="KL5">
        <v>6.8031297110000004</v>
      </c>
      <c r="KM5">
        <v>1.287680967</v>
      </c>
      <c r="KN5">
        <v>3.250356</v>
      </c>
      <c r="KO5">
        <v>9.7867850000000001</v>
      </c>
      <c r="KP5">
        <v>1.5666648249999999</v>
      </c>
      <c r="KQ5">
        <v>0.4022959968</v>
      </c>
      <c r="KR5">
        <v>0.61781989400000004</v>
      </c>
      <c r="KS5">
        <v>2.6119457750000001</v>
      </c>
      <c r="KT5">
        <v>1.889008765</v>
      </c>
      <c r="KU5">
        <v>0.42145231649999998</v>
      </c>
      <c r="KV5">
        <v>0.77147232399999999</v>
      </c>
      <c r="KW5">
        <v>2.9372132020000001</v>
      </c>
      <c r="KX5">
        <v>0.14597737999999999</v>
      </c>
      <c r="KY5">
        <v>0.61540118109999997</v>
      </c>
      <c r="KZ5">
        <v>-1.704471141</v>
      </c>
      <c r="LA5">
        <v>1.69886845</v>
      </c>
      <c r="LB5">
        <v>2.5005015450000001</v>
      </c>
      <c r="LC5">
        <v>0.9208171114</v>
      </c>
      <c r="LD5">
        <v>1.3542397269999999</v>
      </c>
      <c r="LE5">
        <v>6.2001068510000001</v>
      </c>
      <c r="LF5">
        <v>2.1332812730000001</v>
      </c>
      <c r="LG5">
        <v>1.0424735460000001</v>
      </c>
      <c r="LH5">
        <v>0.64859999779999999</v>
      </c>
      <c r="LI5">
        <v>5.6083199810000002</v>
      </c>
      <c r="LJ5">
        <v>0.25245100030000001</v>
      </c>
      <c r="LK5">
        <v>4.9307848260000002E-2</v>
      </c>
      <c r="LL5">
        <v>0.15421304599999999</v>
      </c>
      <c r="LM5">
        <v>0.40634089940000001</v>
      </c>
      <c r="LN5">
        <v>17.97648538</v>
      </c>
      <c r="LO5">
        <v>9.3376792010000003</v>
      </c>
      <c r="LP5">
        <v>1.5479876159999999</v>
      </c>
      <c r="LQ5">
        <v>43.571899930000001</v>
      </c>
      <c r="LR5">
        <v>3.5587800070000002</v>
      </c>
      <c r="LS5">
        <v>1.2033645070000001</v>
      </c>
      <c r="LT5">
        <v>1.308325811</v>
      </c>
      <c r="LU5">
        <v>6.7848526099999997</v>
      </c>
      <c r="LV5">
        <v>21.49522335</v>
      </c>
      <c r="LW5">
        <v>7.9772797410000003</v>
      </c>
      <c r="LX5">
        <v>0</v>
      </c>
      <c r="LY5">
        <v>40.424590889999998</v>
      </c>
      <c r="LZ5">
        <v>5.8246922440000004</v>
      </c>
      <c r="MA5">
        <v>2.7954793850000001</v>
      </c>
      <c r="MB5">
        <v>1.7830651660000001</v>
      </c>
      <c r="MC5">
        <v>15.41782306</v>
      </c>
      <c r="MD5">
        <v>3.4319564499999999</v>
      </c>
      <c r="ME5">
        <v>0.93912433019999997</v>
      </c>
      <c r="MF5">
        <v>1.761958763</v>
      </c>
      <c r="MG5">
        <v>6.1048553070000002</v>
      </c>
      <c r="MH5">
        <v>3.3051843710000002</v>
      </c>
      <c r="MI5">
        <v>0.89393983119999998</v>
      </c>
      <c r="MJ5">
        <v>1.3072127739999999</v>
      </c>
      <c r="MK5">
        <v>6.4539710489999997</v>
      </c>
      <c r="ML5">
        <v>6.7371408209999997</v>
      </c>
      <c r="MM5">
        <v>1.2324901610000001</v>
      </c>
      <c r="MN5">
        <v>3.250356</v>
      </c>
      <c r="MO5">
        <v>9.7327689999999993</v>
      </c>
      <c r="MP5">
        <v>5.0075330820000001</v>
      </c>
      <c r="MQ5">
        <v>1.4941378590000001</v>
      </c>
      <c r="MR5">
        <v>2.2455056670000002</v>
      </c>
      <c r="MS5">
        <v>8.1436050000000009</v>
      </c>
      <c r="MT5">
        <v>6.7371408209999997</v>
      </c>
      <c r="MU5">
        <v>1.2324901610000001</v>
      </c>
      <c r="MV5">
        <v>3.250356</v>
      </c>
      <c r="MW5">
        <v>9.7327689999999993</v>
      </c>
      <c r="MX5">
        <v>1.558739359</v>
      </c>
      <c r="MY5">
        <v>0.39971717280000002</v>
      </c>
      <c r="MZ5">
        <v>0.61781989280000005</v>
      </c>
      <c r="NA5">
        <v>2.6083003890000001</v>
      </c>
      <c r="NB5">
        <v>1.87612383</v>
      </c>
      <c r="NC5">
        <v>0.41686530729999999</v>
      </c>
      <c r="ND5">
        <v>0.77147232249999997</v>
      </c>
      <c r="NE5">
        <v>2.9220694379999999</v>
      </c>
      <c r="NF5">
        <v>0.14853992639999999</v>
      </c>
      <c r="NG5">
        <v>0.59789542630000003</v>
      </c>
      <c r="NH5">
        <v>-1.651349532</v>
      </c>
      <c r="NI5">
        <v>1.526964894</v>
      </c>
      <c r="NJ5">
        <v>2.4714204710000001</v>
      </c>
      <c r="NK5">
        <v>0.87569708390000001</v>
      </c>
      <c r="NL5">
        <v>1.353992885</v>
      </c>
      <c r="NM5">
        <v>6.2083908770000003</v>
      </c>
      <c r="NN5">
        <v>2.105633299</v>
      </c>
      <c r="NO5">
        <v>1.0025989900000001</v>
      </c>
      <c r="NP5">
        <v>0.64859999779999999</v>
      </c>
      <c r="NQ5">
        <v>5.606939981</v>
      </c>
      <c r="NR5">
        <v>0.25031174839999998</v>
      </c>
      <c r="NS5">
        <v>4.7067831659999997E-2</v>
      </c>
      <c r="NT5">
        <v>0.15421304599999999</v>
      </c>
      <c r="NU5">
        <v>0.38894299910000002</v>
      </c>
      <c r="NV5">
        <v>18.0178616</v>
      </c>
      <c r="NW5">
        <v>9.3367267280000004</v>
      </c>
      <c r="NX5">
        <v>1.724900487</v>
      </c>
      <c r="NY5">
        <v>43.571899930000001</v>
      </c>
      <c r="NZ5">
        <v>3.5508385929999999</v>
      </c>
      <c r="OA5">
        <v>1.1985428570000001</v>
      </c>
      <c r="OB5">
        <v>1.30562461</v>
      </c>
      <c r="OC5">
        <v>6.77878867</v>
      </c>
      <c r="OD5">
        <v>21.596672909999999</v>
      </c>
      <c r="OE5">
        <v>7.8877420569999996</v>
      </c>
      <c r="OF5">
        <v>3.0245004949999998</v>
      </c>
      <c r="OG5">
        <v>40.468819109999998</v>
      </c>
      <c r="OH5">
        <v>5.8477049110000001</v>
      </c>
      <c r="OI5">
        <v>2.761740986</v>
      </c>
      <c r="OJ5">
        <v>1.7835040209999999</v>
      </c>
      <c r="OK5">
        <v>15.41782306</v>
      </c>
      <c r="OL5">
        <v>2.1027492680000002</v>
      </c>
      <c r="OM5">
        <v>-7.3259703760000003E-2</v>
      </c>
      <c r="ON5">
        <v>2.5894944660000001</v>
      </c>
      <c r="OO5">
        <v>8.5207359999999994</v>
      </c>
      <c r="OP5">
        <v>8.9009440000000009</v>
      </c>
      <c r="OQ5">
        <v>17.421679999999999</v>
      </c>
      <c r="OR5">
        <v>1.7283617339999999</v>
      </c>
      <c r="OS5" s="2">
        <v>7.7718566210000005E-5</v>
      </c>
      <c r="OT5">
        <v>2.8370767270000001E-3</v>
      </c>
      <c r="OU5" s="2">
        <v>7.7718566210000005E-5</v>
      </c>
      <c r="OV5">
        <v>1.9928652870000001E-3</v>
      </c>
      <c r="OW5">
        <v>2.619281713E-3</v>
      </c>
      <c r="OX5">
        <v>2.1779501419999999E-4</v>
      </c>
      <c r="OY5">
        <v>6.0722547819999999</v>
      </c>
      <c r="OZ5">
        <v>1.4172958170000001</v>
      </c>
      <c r="PA5">
        <v>1.76115665</v>
      </c>
      <c r="PB5">
        <v>7.636106625</v>
      </c>
      <c r="PC5">
        <v>92.742183990000001</v>
      </c>
      <c r="PD5">
        <v>2.0846696150000001</v>
      </c>
      <c r="PE5">
        <v>-4.3136645420000001E-2</v>
      </c>
      <c r="PF5">
        <v>2.4569973219999999</v>
      </c>
      <c r="PG5">
        <v>7.6400629999999996</v>
      </c>
      <c r="PH5">
        <v>7.9652219999999998</v>
      </c>
      <c r="PI5">
        <v>15.605285</v>
      </c>
      <c r="PJ5">
        <v>1.720847359</v>
      </c>
      <c r="PK5" s="2">
        <v>7.5624791130000005E-5</v>
      </c>
      <c r="PL5">
        <v>2.8301577629999998E-3</v>
      </c>
      <c r="PM5" s="2">
        <v>7.5624791130000005E-5</v>
      </c>
      <c r="PN5">
        <v>1.992290727E-3</v>
      </c>
      <c r="PO5">
        <v>2.6173682729999999E-3</v>
      </c>
      <c r="PP5">
        <v>2.127894904E-4</v>
      </c>
      <c r="PQ5">
        <v>6.0679324110000001</v>
      </c>
      <c r="PR5">
        <v>1.36473124</v>
      </c>
      <c r="PS5">
        <v>1.620613114</v>
      </c>
      <c r="PT5">
        <v>7.6234838759999999</v>
      </c>
      <c r="PU5">
        <v>92.718803829999999</v>
      </c>
      <c r="PV5">
        <v>7.088749698</v>
      </c>
      <c r="PW5">
        <v>1.687829402</v>
      </c>
      <c r="PX5">
        <v>2.1690751179999999</v>
      </c>
      <c r="PY5">
        <v>9.4811879280000007</v>
      </c>
      <c r="PZ5">
        <v>92.614349669999996</v>
      </c>
      <c r="QA5">
        <v>7.0984690580000001</v>
      </c>
      <c r="QB5">
        <v>1.6359326759999999</v>
      </c>
      <c r="QC5">
        <v>2.0025190259999999</v>
      </c>
      <c r="QD5">
        <v>9.4137922740000004</v>
      </c>
      <c r="QE5">
        <v>92.636314740000003</v>
      </c>
      <c r="QF5" s="2">
        <v>8.5192168230000006E-5</v>
      </c>
      <c r="QG5">
        <v>2.4067303490000001E-3</v>
      </c>
      <c r="QH5">
        <v>3.254514651E-3</v>
      </c>
      <c r="QI5">
        <v>2.5877128310000002E-4</v>
      </c>
      <c r="QJ5" s="2">
        <v>8.2823096969999999E-5</v>
      </c>
      <c r="QK5">
        <v>2.4064745320000001E-3</v>
      </c>
      <c r="QL5">
        <v>3.2541364679999998E-3</v>
      </c>
      <c r="QM5">
        <v>2.5264150999999998E-4</v>
      </c>
      <c r="QN5">
        <v>4.9200155780000001</v>
      </c>
      <c r="QO5">
        <v>3.5122455600000002</v>
      </c>
      <c r="QP5">
        <v>10.23288894</v>
      </c>
      <c r="QQ5">
        <v>177.9799404</v>
      </c>
      <c r="QR5">
        <v>4.8983000140000001</v>
      </c>
      <c r="QS5">
        <v>3.5113172000000001</v>
      </c>
      <c r="QT5">
        <v>10.23535435</v>
      </c>
      <c r="QU5">
        <v>177.97849500000001</v>
      </c>
    </row>
    <row r="6" spans="1:463" x14ac:dyDescent="0.2">
      <c r="A6" t="s">
        <v>276</v>
      </c>
      <c r="B6" s="2">
        <v>-1.384038436E-12</v>
      </c>
      <c r="C6" s="2">
        <v>4.9176864469999999E-12</v>
      </c>
      <c r="D6">
        <v>9.1462618169999996E-2</v>
      </c>
      <c r="E6">
        <v>0.13516288470000001</v>
      </c>
      <c r="F6">
        <v>0.49285681219999999</v>
      </c>
      <c r="G6">
        <v>0.28095985810000002</v>
      </c>
      <c r="H6">
        <v>0.41520071980000001</v>
      </c>
      <c r="I6">
        <v>1.513984432</v>
      </c>
      <c r="J6">
        <v>32.462162220000003</v>
      </c>
      <c r="K6">
        <v>32.553624839999998</v>
      </c>
      <c r="L6">
        <v>32.553624839999998</v>
      </c>
      <c r="M6">
        <v>32.553624839999998</v>
      </c>
      <c r="N6">
        <v>32.418461950000001</v>
      </c>
      <c r="O6">
        <v>32.553624839999998</v>
      </c>
      <c r="P6">
        <v>32.060768029999998</v>
      </c>
      <c r="Q6">
        <v>32.553624839999998</v>
      </c>
      <c r="R6">
        <v>5.3415822840000002</v>
      </c>
      <c r="S6">
        <v>1.038920405</v>
      </c>
      <c r="T6">
        <v>3.0540250250000001</v>
      </c>
      <c r="U6">
        <v>8.203671903</v>
      </c>
      <c r="V6">
        <v>6.1583591679999996</v>
      </c>
      <c r="W6">
        <v>1.1581146330000001</v>
      </c>
      <c r="X6">
        <v>4.0023919790000004</v>
      </c>
      <c r="Y6">
        <v>9.618822733</v>
      </c>
      <c r="Z6">
        <v>11.49994145</v>
      </c>
      <c r="AA6">
        <v>1.4866239269999999</v>
      </c>
      <c r="AB6">
        <v>7.6604919999999996</v>
      </c>
      <c r="AC6">
        <v>15.063998</v>
      </c>
      <c r="AD6">
        <v>3.3364453749999998</v>
      </c>
      <c r="AE6">
        <v>0.66973194619999998</v>
      </c>
      <c r="AF6">
        <v>1.906267333</v>
      </c>
      <c r="AG6">
        <v>6.7065454999999998</v>
      </c>
      <c r="AH6">
        <v>11.49994145</v>
      </c>
      <c r="AI6">
        <v>1.4866239269999999</v>
      </c>
      <c r="AJ6">
        <v>7.6604919999999996</v>
      </c>
      <c r="AK6">
        <v>15.063998</v>
      </c>
      <c r="AL6">
        <v>1.9093520180000001</v>
      </c>
      <c r="AM6">
        <v>0.37304558409999999</v>
      </c>
      <c r="AN6">
        <v>1.057487973</v>
      </c>
      <c r="AO6">
        <v>2.93014456</v>
      </c>
      <c r="AP6">
        <v>2.311195611</v>
      </c>
      <c r="AQ6">
        <v>0.3896082991</v>
      </c>
      <c r="AR6">
        <v>1.356459874</v>
      </c>
      <c r="AS6">
        <v>3.21737458</v>
      </c>
      <c r="AT6">
        <v>4.7533544699999999E-2</v>
      </c>
      <c r="AU6">
        <v>0.46847311390000002</v>
      </c>
      <c r="AV6">
        <v>-1.54805682</v>
      </c>
      <c r="AW6">
        <v>1.122514902</v>
      </c>
      <c r="AX6">
        <v>2.5736889930000002</v>
      </c>
      <c r="AY6">
        <v>0.66068007880000001</v>
      </c>
      <c r="AZ6">
        <v>1.594118084</v>
      </c>
      <c r="BA6">
        <v>5.0917788670000004</v>
      </c>
      <c r="BB6">
        <v>0.24297033530000001</v>
      </c>
      <c r="BC6">
        <v>9.5906405419999993E-2</v>
      </c>
      <c r="BD6">
        <v>0.1178307688</v>
      </c>
      <c r="BE6">
        <v>0.65963999770000004</v>
      </c>
      <c r="BF6">
        <v>7.6002031299999997</v>
      </c>
      <c r="BG6">
        <v>0.99539125579999999</v>
      </c>
      <c r="BH6">
        <v>5.1999669730000004</v>
      </c>
      <c r="BI6">
        <v>9.931753337</v>
      </c>
      <c r="BJ6">
        <v>4.0913676260000003</v>
      </c>
      <c r="BK6">
        <v>4.3753786330000004</v>
      </c>
      <c r="BL6">
        <v>4.4228217600000001E-2</v>
      </c>
      <c r="BM6">
        <v>21.56125608</v>
      </c>
      <c r="BN6">
        <v>4.2749722930000003</v>
      </c>
      <c r="BO6">
        <v>1.067133254</v>
      </c>
      <c r="BP6">
        <v>2.06432284</v>
      </c>
      <c r="BQ6">
        <v>6.8033432749999996</v>
      </c>
      <c r="BR6">
        <v>46.461116910000001</v>
      </c>
      <c r="BS6">
        <v>14.907723499999999</v>
      </c>
      <c r="BT6">
        <v>15.159784180000001</v>
      </c>
      <c r="BU6">
        <v>84.86747647</v>
      </c>
      <c r="BV6">
        <v>5.1329671259999996</v>
      </c>
      <c r="BW6">
        <v>0.93557395789999998</v>
      </c>
      <c r="BX6">
        <v>3.0540250250000001</v>
      </c>
      <c r="BY6">
        <v>8.1135042259999999</v>
      </c>
      <c r="BZ6">
        <v>5.7279748850000001</v>
      </c>
      <c r="CA6">
        <v>0.96700548180000001</v>
      </c>
      <c r="CB6">
        <v>3.5534677239999999</v>
      </c>
      <c r="CC6">
        <v>7.808695009</v>
      </c>
      <c r="CD6">
        <v>10.86094201</v>
      </c>
      <c r="CE6">
        <v>1.029495386</v>
      </c>
      <c r="CF6">
        <v>7.6604919999999996</v>
      </c>
      <c r="CG6">
        <v>12.433973</v>
      </c>
      <c r="CH6">
        <v>3.2439300750000002</v>
      </c>
      <c r="CI6">
        <v>0.60707548749999996</v>
      </c>
      <c r="CJ6">
        <v>1.906267333</v>
      </c>
      <c r="CK6">
        <v>6.0772166360000002</v>
      </c>
      <c r="CL6">
        <v>10.86094201</v>
      </c>
      <c r="CM6">
        <v>1.029495386</v>
      </c>
      <c r="CN6">
        <v>7.6604919999999996</v>
      </c>
      <c r="CO6">
        <v>12.433973</v>
      </c>
      <c r="CP6">
        <v>1.899412825</v>
      </c>
      <c r="CQ6">
        <v>0.36711108640000001</v>
      </c>
      <c r="CR6">
        <v>1.0574879779999999</v>
      </c>
      <c r="CS6">
        <v>2.924860963</v>
      </c>
      <c r="CT6">
        <v>2.2930012749999999</v>
      </c>
      <c r="CU6">
        <v>0.37895350500000002</v>
      </c>
      <c r="CV6">
        <v>1.356459887</v>
      </c>
      <c r="CW6">
        <v>3.205812146</v>
      </c>
      <c r="CX6">
        <v>5.6117516989999998E-2</v>
      </c>
      <c r="CY6">
        <v>0.45487076599999998</v>
      </c>
      <c r="CZ6">
        <v>-1.4199101730000001</v>
      </c>
      <c r="DA6">
        <v>1.1346302530000001</v>
      </c>
      <c r="DB6">
        <v>2.514320412</v>
      </c>
      <c r="DC6">
        <v>0.61341863799999996</v>
      </c>
      <c r="DD6">
        <v>1.594118084</v>
      </c>
      <c r="DE6">
        <v>5.0778431700000004</v>
      </c>
      <c r="DF6">
        <v>0.23630496819999999</v>
      </c>
      <c r="DG6">
        <v>9.1255135330000001E-2</v>
      </c>
      <c r="DH6">
        <v>0.11026199959999999</v>
      </c>
      <c r="DI6">
        <v>0.65963999770000004</v>
      </c>
      <c r="DJ6">
        <v>7.550277736</v>
      </c>
      <c r="DK6">
        <v>0.9607122267</v>
      </c>
      <c r="DL6">
        <v>5.1999669730000004</v>
      </c>
      <c r="DM6">
        <v>9.756952364</v>
      </c>
      <c r="DN6">
        <v>4.8726820569999996</v>
      </c>
      <c r="DO6">
        <v>4.5988209170000003</v>
      </c>
      <c r="DP6">
        <v>8.8456435210000003E-2</v>
      </c>
      <c r="DQ6">
        <v>21.56125608</v>
      </c>
      <c r="DR6">
        <v>4.2706644249999997</v>
      </c>
      <c r="DS6">
        <v>1.062535046</v>
      </c>
      <c r="DT6">
        <v>2.0639565009999998</v>
      </c>
      <c r="DU6">
        <v>6.8035440380000001</v>
      </c>
      <c r="DV6">
        <v>47.693514929999999</v>
      </c>
      <c r="DW6">
        <v>15.39826923</v>
      </c>
      <c r="DX6">
        <v>15.159784180000001</v>
      </c>
      <c r="DY6">
        <v>90.6930768</v>
      </c>
      <c r="DZ6">
        <v>2.7115836880000002</v>
      </c>
      <c r="EA6">
        <v>0.5677385117</v>
      </c>
      <c r="EB6">
        <v>1.3089577299999999</v>
      </c>
      <c r="EC6">
        <v>4.607278451</v>
      </c>
      <c r="ED6">
        <v>2.7544725589999999</v>
      </c>
      <c r="EE6">
        <v>0.39989690690000002</v>
      </c>
      <c r="EF6">
        <v>1.7546193539999999</v>
      </c>
      <c r="EG6">
        <v>3.9610596949999999</v>
      </c>
      <c r="EH6">
        <v>5.466056247</v>
      </c>
      <c r="EI6">
        <v>0.82572003329999999</v>
      </c>
      <c r="EJ6">
        <v>3.1570352860000002</v>
      </c>
      <c r="EK6">
        <v>7.7855344290000001</v>
      </c>
      <c r="EL6">
        <v>2.1572488719999998</v>
      </c>
      <c r="EM6">
        <v>0.2955078478</v>
      </c>
      <c r="EN6">
        <v>1.4625675659999999</v>
      </c>
      <c r="EO6">
        <v>3.016252519</v>
      </c>
      <c r="EP6">
        <v>8.8928179259999993</v>
      </c>
      <c r="EQ6">
        <v>1.7831616910000001</v>
      </c>
      <c r="ER6">
        <v>4.6055729999999997</v>
      </c>
      <c r="ES6">
        <v>13.764001</v>
      </c>
      <c r="ET6">
        <v>0.75744383100000001</v>
      </c>
      <c r="EU6">
        <v>0.1114757223</v>
      </c>
      <c r="EV6">
        <v>0.48312899720000002</v>
      </c>
      <c r="EW6">
        <v>1.050537772</v>
      </c>
      <c r="EX6">
        <v>0.98934069920000001</v>
      </c>
      <c r="EY6">
        <v>0.14925983400000001</v>
      </c>
      <c r="EZ6">
        <v>0.61055079469999995</v>
      </c>
      <c r="FA6">
        <v>1.388096655</v>
      </c>
      <c r="FB6">
        <v>8.7004013190000007E-2</v>
      </c>
      <c r="FC6">
        <v>0.2884115907</v>
      </c>
      <c r="FD6">
        <v>-0.6296043979</v>
      </c>
      <c r="FE6">
        <v>0.97282279400000005</v>
      </c>
      <c r="FF6">
        <v>3.8430736539999999</v>
      </c>
      <c r="FG6">
        <v>0.53934144669999995</v>
      </c>
      <c r="FH6">
        <v>2.9861506750000002</v>
      </c>
      <c r="FI6">
        <v>5.566088948</v>
      </c>
      <c r="FJ6">
        <v>4.3739332539999998</v>
      </c>
      <c r="FK6">
        <v>1.129928005</v>
      </c>
      <c r="FL6">
        <v>2.0417381589999999</v>
      </c>
      <c r="FM6">
        <v>8.3658015510000006</v>
      </c>
      <c r="FN6">
        <v>4.5188846720000004</v>
      </c>
      <c r="FO6">
        <v>1.1814081000000001</v>
      </c>
      <c r="FP6">
        <v>2.2319773540000001</v>
      </c>
      <c r="FQ6">
        <v>9.9979218319999994</v>
      </c>
      <c r="FR6">
        <v>8.2822136000000004</v>
      </c>
      <c r="FS6">
        <v>1.693598801</v>
      </c>
      <c r="FT6">
        <v>4.3614519999999999</v>
      </c>
      <c r="FU6">
        <v>13.281558</v>
      </c>
      <c r="FV6">
        <v>6.410167758</v>
      </c>
      <c r="FW6">
        <v>1.841629975</v>
      </c>
      <c r="FX6">
        <v>2.5299149999999999</v>
      </c>
      <c r="FY6">
        <v>12.448145</v>
      </c>
      <c r="FZ6">
        <v>8.4312817999999998E-2</v>
      </c>
      <c r="GA6">
        <v>1.5473205429999999E-2</v>
      </c>
      <c r="GB6">
        <v>5.5833673280000003E-2</v>
      </c>
      <c r="GC6">
        <v>0.13325414590000001</v>
      </c>
      <c r="GD6">
        <v>7.4509822029999997</v>
      </c>
      <c r="GE6">
        <v>1.039290789</v>
      </c>
      <c r="GF6">
        <v>5.0805253639999997</v>
      </c>
      <c r="GG6">
        <v>9.8857214389999992</v>
      </c>
      <c r="GH6">
        <v>1.0467876039999999</v>
      </c>
      <c r="GI6">
        <v>1.034053329</v>
      </c>
      <c r="GJ6">
        <v>6.6112651310000006E-2</v>
      </c>
      <c r="GK6">
        <v>5.4173848810000003</v>
      </c>
      <c r="GL6">
        <v>1.4319060779999999</v>
      </c>
      <c r="GM6">
        <v>0.2102806763</v>
      </c>
      <c r="GN6">
        <v>0.92564519960000002</v>
      </c>
      <c r="GO6">
        <v>2.0208576319999998</v>
      </c>
      <c r="GP6">
        <v>7.7935151129999998</v>
      </c>
      <c r="GQ6">
        <v>1.5830394839999999</v>
      </c>
      <c r="GR6">
        <v>4.0630386600000001</v>
      </c>
      <c r="GS6">
        <v>11.67200197</v>
      </c>
      <c r="GT6">
        <v>122.36978379999999</v>
      </c>
      <c r="GU6">
        <v>20.982324689999999</v>
      </c>
      <c r="GV6">
        <v>75.044569409999994</v>
      </c>
      <c r="GW6">
        <v>179.10338709999999</v>
      </c>
      <c r="GX6">
        <v>2.6862172370000001</v>
      </c>
      <c r="GY6">
        <v>0.55700795569999995</v>
      </c>
      <c r="GZ6">
        <v>1.3089577299999999</v>
      </c>
      <c r="HA6">
        <v>4.6074443049999996</v>
      </c>
      <c r="HB6">
        <v>2.698616795</v>
      </c>
      <c r="HC6">
        <v>0.36017599610000001</v>
      </c>
      <c r="HD6">
        <v>1.7546193539999999</v>
      </c>
      <c r="HE6">
        <v>3.637740559</v>
      </c>
      <c r="HF6">
        <v>5.3848340319999997</v>
      </c>
      <c r="HG6">
        <v>0.78000156669999998</v>
      </c>
      <c r="HH6">
        <v>3.1570352860000002</v>
      </c>
      <c r="HI6">
        <v>7.6113980000000003</v>
      </c>
      <c r="HJ6">
        <v>2.1312821629999998</v>
      </c>
      <c r="HK6">
        <v>0.28060247739999999</v>
      </c>
      <c r="HL6">
        <v>1.4625675659999999</v>
      </c>
      <c r="HM6">
        <v>2.9684111510000002</v>
      </c>
      <c r="HN6">
        <v>8.6794298320000003</v>
      </c>
      <c r="HO6">
        <v>1.6057911629999999</v>
      </c>
      <c r="HP6">
        <v>4.6056150000000002</v>
      </c>
      <c r="HQ6">
        <v>13.887133</v>
      </c>
      <c r="HR6">
        <v>0.75215646899999999</v>
      </c>
      <c r="HS6">
        <v>0.1085795405</v>
      </c>
      <c r="HT6">
        <v>0.48312899720000002</v>
      </c>
      <c r="HU6">
        <v>1.049774939</v>
      </c>
      <c r="HV6">
        <v>0.98062075689999995</v>
      </c>
      <c r="HW6">
        <v>0.14453634630000001</v>
      </c>
      <c r="HX6">
        <v>0.61055079469999995</v>
      </c>
      <c r="HY6">
        <v>1.386238488</v>
      </c>
      <c r="HZ6">
        <v>9.5026538039999997E-2</v>
      </c>
      <c r="IA6">
        <v>0.28812516669999999</v>
      </c>
      <c r="IB6">
        <v>-0.65486549660000004</v>
      </c>
      <c r="IC6">
        <v>0.97248529989999999</v>
      </c>
      <c r="ID6">
        <v>3.8115859240000001</v>
      </c>
      <c r="IE6">
        <v>0.54762757240000004</v>
      </c>
      <c r="IF6">
        <v>2.9648237929999999</v>
      </c>
      <c r="IG6">
        <v>5.8753847400000003</v>
      </c>
      <c r="IH6">
        <v>4.3333854369999996</v>
      </c>
      <c r="II6">
        <v>1.085781874</v>
      </c>
      <c r="IJ6">
        <v>2.0417381589999999</v>
      </c>
      <c r="IK6">
        <v>8.3656425389999995</v>
      </c>
      <c r="IL6">
        <v>4.3460443949999998</v>
      </c>
      <c r="IM6">
        <v>1.034989793</v>
      </c>
      <c r="IN6">
        <v>2.2319773540000001</v>
      </c>
      <c r="IO6">
        <v>7.9286125629999997</v>
      </c>
      <c r="IP6">
        <v>8.0651943579999994</v>
      </c>
      <c r="IQ6">
        <v>1.477353286</v>
      </c>
      <c r="IR6">
        <v>4.361453</v>
      </c>
      <c r="IS6">
        <v>11.541306000000001</v>
      </c>
      <c r="IT6">
        <v>6.2724921949999999</v>
      </c>
      <c r="IU6">
        <v>1.7808520699999999</v>
      </c>
      <c r="IV6">
        <v>2.2875369999999999</v>
      </c>
      <c r="IW6">
        <v>11.119707999999999</v>
      </c>
      <c r="IX6">
        <v>8.3609245550000003E-2</v>
      </c>
      <c r="IY6">
        <v>1.5490149660000001E-2</v>
      </c>
      <c r="IZ6">
        <v>5.5833673280000003E-2</v>
      </c>
      <c r="JA6">
        <v>0.13325414590000001</v>
      </c>
      <c r="JB6">
        <v>7.405161133</v>
      </c>
      <c r="JC6">
        <v>1.0081633990000001</v>
      </c>
      <c r="JD6">
        <v>5.0805253639999997</v>
      </c>
      <c r="JE6">
        <v>9.7025746349999995</v>
      </c>
      <c r="JF6">
        <v>1.0556299659999999</v>
      </c>
      <c r="JG6">
        <v>1.038991011</v>
      </c>
      <c r="JH6">
        <v>7.3873430190000006E-2</v>
      </c>
      <c r="JI6">
        <v>5.4173848810000003</v>
      </c>
      <c r="JJ6">
        <v>1.4252716329999999</v>
      </c>
      <c r="JK6">
        <v>0.20778187200000001</v>
      </c>
      <c r="JL6">
        <v>0.92564519960000002</v>
      </c>
      <c r="JM6">
        <v>2.0211492120000001</v>
      </c>
      <c r="JN6">
        <v>7.9052474269999999</v>
      </c>
      <c r="JO6">
        <v>1.581082852</v>
      </c>
      <c r="JP6">
        <v>4.3092834279999996</v>
      </c>
      <c r="JQ6">
        <v>12.287613889999999</v>
      </c>
      <c r="JR6">
        <v>123.4351018</v>
      </c>
      <c r="JS6">
        <v>21.166792950000001</v>
      </c>
      <c r="JT6">
        <v>75.044569409999994</v>
      </c>
      <c r="JU6">
        <v>179.10338709999999</v>
      </c>
      <c r="JV6">
        <v>3.5048161609999999</v>
      </c>
      <c r="JW6">
        <v>0.97294824319999995</v>
      </c>
      <c r="JX6">
        <v>1.804716787</v>
      </c>
      <c r="JY6">
        <v>6.1386544040000004</v>
      </c>
      <c r="JZ6">
        <v>3.3854208909999999</v>
      </c>
      <c r="KA6">
        <v>0.93885481820000005</v>
      </c>
      <c r="KB6">
        <v>1.2981782129999999</v>
      </c>
      <c r="KC6">
        <v>6.8176660079999998</v>
      </c>
      <c r="KD6">
        <v>6.8902370529999999</v>
      </c>
      <c r="KE6">
        <v>1.311999621</v>
      </c>
      <c r="KF6">
        <v>3.1028950000000002</v>
      </c>
      <c r="KG6">
        <v>9.8338020000000004</v>
      </c>
      <c r="KH6">
        <v>5.2480628979999997</v>
      </c>
      <c r="KI6">
        <v>1.5953853200000001</v>
      </c>
      <c r="KJ6">
        <v>1.7384999999999999</v>
      </c>
      <c r="KK6">
        <v>8.5445879999999992</v>
      </c>
      <c r="KL6">
        <v>6.8902370529999999</v>
      </c>
      <c r="KM6">
        <v>1.311999621</v>
      </c>
      <c r="KN6">
        <v>3.1028950000000002</v>
      </c>
      <c r="KO6">
        <v>9.8338020000000004</v>
      </c>
      <c r="KP6">
        <v>1.5808750659999999</v>
      </c>
      <c r="KQ6">
        <v>0.410708874</v>
      </c>
      <c r="KR6">
        <v>0.60515823189999995</v>
      </c>
      <c r="KS6">
        <v>2.6800963069999999</v>
      </c>
      <c r="KT6">
        <v>1.905824731</v>
      </c>
      <c r="KU6">
        <v>0.43055109460000002</v>
      </c>
      <c r="KV6">
        <v>0.74737984879999997</v>
      </c>
      <c r="KW6">
        <v>2.8875987680000001</v>
      </c>
      <c r="KX6">
        <v>0.14765421819999999</v>
      </c>
      <c r="KY6">
        <v>0.61021331919999999</v>
      </c>
      <c r="KZ6">
        <v>-1.71362134</v>
      </c>
      <c r="LA6">
        <v>1.6248586739999999</v>
      </c>
      <c r="LB6">
        <v>2.4951215289999999</v>
      </c>
      <c r="LC6">
        <v>0.89551881479999995</v>
      </c>
      <c r="LD6">
        <v>1.379885458</v>
      </c>
      <c r="LE6">
        <v>5.798959752</v>
      </c>
      <c r="LF6">
        <v>2.0784246139999998</v>
      </c>
      <c r="LG6">
        <v>1.0245481670000001</v>
      </c>
      <c r="LH6">
        <v>0.59201999800000005</v>
      </c>
      <c r="LI6">
        <v>5.5351799809999997</v>
      </c>
      <c r="LJ6">
        <v>0.25773536629999999</v>
      </c>
      <c r="LK6">
        <v>5.0004336410000003E-2</v>
      </c>
      <c r="LL6">
        <v>0.16005039530000001</v>
      </c>
      <c r="LM6">
        <v>0.4067383255</v>
      </c>
      <c r="LN6">
        <v>17.305344949999999</v>
      </c>
      <c r="LO6">
        <v>8.7465550259999993</v>
      </c>
      <c r="LP6">
        <v>2.056612119</v>
      </c>
      <c r="LQ6">
        <v>42.918912149999997</v>
      </c>
      <c r="LR6">
        <v>3.5872670449999999</v>
      </c>
      <c r="LS6">
        <v>1.2156927909999999</v>
      </c>
      <c r="LT6">
        <v>1.2755691060000001</v>
      </c>
      <c r="LU6">
        <v>6.7547032920000003</v>
      </c>
      <c r="LV6">
        <v>21.318973759999999</v>
      </c>
      <c r="LW6">
        <v>7.7754515270000004</v>
      </c>
      <c r="LX6">
        <v>0</v>
      </c>
      <c r="LY6">
        <v>39.982308709999998</v>
      </c>
      <c r="LZ6">
        <v>6.0352070979999999</v>
      </c>
      <c r="MA6">
        <v>2.9729024229999998</v>
      </c>
      <c r="MB6">
        <v>1.806625988</v>
      </c>
      <c r="MC6">
        <v>16.891321300000001</v>
      </c>
      <c r="MD6">
        <v>3.4787421909999998</v>
      </c>
      <c r="ME6">
        <v>0.94281020569999996</v>
      </c>
      <c r="MF6">
        <v>1.804716784</v>
      </c>
      <c r="MG6">
        <v>6.0911464659999996</v>
      </c>
      <c r="MH6">
        <v>3.3427384510000002</v>
      </c>
      <c r="MI6">
        <v>0.90138732779999997</v>
      </c>
      <c r="MJ6">
        <v>1.2981782159999999</v>
      </c>
      <c r="MK6">
        <v>6.4437836229999998</v>
      </c>
      <c r="ML6">
        <v>6.821480642</v>
      </c>
      <c r="MM6">
        <v>1.2568696749999999</v>
      </c>
      <c r="MN6">
        <v>3.1028950000000002</v>
      </c>
      <c r="MO6">
        <v>9.7756489999999996</v>
      </c>
      <c r="MP6">
        <v>5.1815845129999998</v>
      </c>
      <c r="MQ6">
        <v>1.521348908</v>
      </c>
      <c r="MR6">
        <v>1.7385010000000001</v>
      </c>
      <c r="MS6">
        <v>8.1427230000000002</v>
      </c>
      <c r="MT6">
        <v>6.821480642</v>
      </c>
      <c r="MU6">
        <v>1.2568696749999999</v>
      </c>
      <c r="MV6">
        <v>3.1028950000000002</v>
      </c>
      <c r="MW6">
        <v>9.7756489999999996</v>
      </c>
      <c r="MX6">
        <v>1.5723914800000001</v>
      </c>
      <c r="MY6">
        <v>0.4074725756</v>
      </c>
      <c r="MZ6">
        <v>0.60515823420000003</v>
      </c>
      <c r="NA6">
        <v>2.6751835490000002</v>
      </c>
      <c r="NB6">
        <v>1.8925051500000001</v>
      </c>
      <c r="NC6">
        <v>0.42560030599999998</v>
      </c>
      <c r="ND6">
        <v>0.74737984609999997</v>
      </c>
      <c r="NE6">
        <v>2.8744164529999998</v>
      </c>
      <c r="NF6">
        <v>0.1493522538</v>
      </c>
      <c r="NG6">
        <v>0.59333122979999997</v>
      </c>
      <c r="NH6">
        <v>-1.667677345</v>
      </c>
      <c r="NI6">
        <v>1.4744710999999999</v>
      </c>
      <c r="NJ6">
        <v>2.4666106249999999</v>
      </c>
      <c r="NK6">
        <v>0.85060748819999998</v>
      </c>
      <c r="NL6">
        <v>1.3798666390000001</v>
      </c>
      <c r="NM6">
        <v>5.8055203769999997</v>
      </c>
      <c r="NN6">
        <v>2.0625223990000001</v>
      </c>
      <c r="NO6">
        <v>0.98233230250000003</v>
      </c>
      <c r="NP6">
        <v>0.590639998</v>
      </c>
      <c r="NQ6">
        <v>5.5351799809999997</v>
      </c>
      <c r="NR6">
        <v>0.25545200219999997</v>
      </c>
      <c r="NS6">
        <v>4.7725160820000001E-2</v>
      </c>
      <c r="NT6">
        <v>0.16005008609999999</v>
      </c>
      <c r="NU6">
        <v>0.39206907190000001</v>
      </c>
      <c r="NV6">
        <v>17.336291159999998</v>
      </c>
      <c r="NW6">
        <v>8.7664622659999996</v>
      </c>
      <c r="NX6">
        <v>1.724900487</v>
      </c>
      <c r="NY6">
        <v>42.918912149999997</v>
      </c>
      <c r="NZ6">
        <v>3.578962202</v>
      </c>
      <c r="OA6">
        <v>1.2097874070000001</v>
      </c>
      <c r="OB6">
        <v>1.2755691060000001</v>
      </c>
      <c r="OC6">
        <v>6.7526960970000003</v>
      </c>
      <c r="OD6">
        <v>21.451911039999999</v>
      </c>
      <c r="OE6">
        <v>7.7048315169999997</v>
      </c>
      <c r="OF6">
        <v>0</v>
      </c>
      <c r="OG6">
        <v>40.026536929999999</v>
      </c>
      <c r="OH6">
        <v>6.0312562329999997</v>
      </c>
      <c r="OI6">
        <v>2.9508275610000001</v>
      </c>
      <c r="OJ6">
        <v>1.806625988</v>
      </c>
      <c r="OK6">
        <v>16.930786999999999</v>
      </c>
      <c r="OL6">
        <v>2.1582324709999998</v>
      </c>
      <c r="OM6">
        <v>-9.5194273450000005E-2</v>
      </c>
      <c r="ON6">
        <v>2.6450682950000002</v>
      </c>
      <c r="OO6">
        <v>8.5285919999999997</v>
      </c>
      <c r="OP6">
        <v>10.447842</v>
      </c>
      <c r="OQ6">
        <v>18.976434000000001</v>
      </c>
      <c r="OR6">
        <v>1.7692513240000001</v>
      </c>
      <c r="OS6" s="2">
        <v>8.0322820839999996E-5</v>
      </c>
      <c r="OT6">
        <v>2.8992814100000002E-3</v>
      </c>
      <c r="OU6" s="2">
        <v>8.0322820839999996E-5</v>
      </c>
      <c r="OV6">
        <v>2.0364710370000001E-3</v>
      </c>
      <c r="OW6">
        <v>2.6715439629999998E-3</v>
      </c>
      <c r="OX6">
        <v>2.277374471E-4</v>
      </c>
      <c r="OY6">
        <v>6.1941749489999998</v>
      </c>
      <c r="OZ6">
        <v>1.4675958769999999</v>
      </c>
      <c r="PA6">
        <v>1.8867805040000001</v>
      </c>
      <c r="PB6">
        <v>7.622342229</v>
      </c>
      <c r="PC6">
        <v>92.545256370000004</v>
      </c>
      <c r="PD6">
        <v>2.1372676570000002</v>
      </c>
      <c r="PE6">
        <v>-5.9580588599999998E-2</v>
      </c>
      <c r="PF6">
        <v>2.491060772</v>
      </c>
      <c r="PG6">
        <v>7.6817260000000003</v>
      </c>
      <c r="PH6">
        <v>8.0736489999999996</v>
      </c>
      <c r="PI6">
        <v>15.755375000000001</v>
      </c>
      <c r="PJ6">
        <v>1.760558807</v>
      </c>
      <c r="PK6" s="2">
        <v>7.8112679759999998E-5</v>
      </c>
      <c r="PL6">
        <v>2.8908772930000002E-3</v>
      </c>
      <c r="PM6" s="2">
        <v>7.8112679759999998E-5</v>
      </c>
      <c r="PN6">
        <v>2.0355895140000001E-3</v>
      </c>
      <c r="PO6">
        <v>2.6690094860000002E-3</v>
      </c>
      <c r="PP6">
        <v>2.218678071E-4</v>
      </c>
      <c r="PQ6">
        <v>6.1910816889999998</v>
      </c>
      <c r="PR6">
        <v>1.411273784</v>
      </c>
      <c r="PS6">
        <v>1.7267608729999999</v>
      </c>
      <c r="PT6">
        <v>7.5998691750000003</v>
      </c>
      <c r="PU6">
        <v>92.536420469999996</v>
      </c>
      <c r="PV6">
        <v>7.234229966</v>
      </c>
      <c r="PW6">
        <v>1.7423793839999999</v>
      </c>
      <c r="PX6">
        <v>2.25135979</v>
      </c>
      <c r="PY6">
        <v>9.2615015280000001</v>
      </c>
      <c r="PZ6">
        <v>92.463377940000001</v>
      </c>
      <c r="QA6">
        <v>7.2352286670000003</v>
      </c>
      <c r="QB6">
        <v>1.6872731700000001</v>
      </c>
      <c r="QC6">
        <v>2.071077319</v>
      </c>
      <c r="QD6">
        <v>9.2496350249999999</v>
      </c>
      <c r="QE6">
        <v>92.482556389999999</v>
      </c>
      <c r="QF6" s="2">
        <v>8.8596720100000005E-5</v>
      </c>
      <c r="QG6">
        <v>2.4521418449999998E-3</v>
      </c>
      <c r="QH6">
        <v>3.3010731550000001E-3</v>
      </c>
      <c r="QI6">
        <v>2.680265287E-4</v>
      </c>
      <c r="QJ6" s="2">
        <v>8.6083947429999995E-5</v>
      </c>
      <c r="QK6">
        <v>2.4515287450000002E-3</v>
      </c>
      <c r="QL6">
        <v>3.3004392549999999E-3</v>
      </c>
      <c r="QM6">
        <v>2.6102024669999999E-4</v>
      </c>
      <c r="QN6">
        <v>4.8676212400000001</v>
      </c>
      <c r="QO6">
        <v>3.5133957530000002</v>
      </c>
      <c r="QP6">
        <v>10.23163053</v>
      </c>
      <c r="QQ6">
        <v>177.9995739</v>
      </c>
      <c r="QR6">
        <v>4.8771042050000002</v>
      </c>
      <c r="QS6">
        <v>3.5115845399999999</v>
      </c>
      <c r="QT6">
        <v>10.232378990000001</v>
      </c>
      <c r="QU6">
        <v>177.99811099999999</v>
      </c>
    </row>
    <row r="7" spans="1:463" x14ac:dyDescent="0.2">
      <c r="A7" t="s">
        <v>277</v>
      </c>
      <c r="B7" s="2">
        <v>5.4402721070000002E-13</v>
      </c>
      <c r="C7" s="2">
        <v>-1.5529679339999999E-12</v>
      </c>
      <c r="D7">
        <v>1.7120555879999999E-3</v>
      </c>
      <c r="E7">
        <v>4.9758162860000003E-2</v>
      </c>
      <c r="F7">
        <v>0.43716453900000002</v>
      </c>
      <c r="G7">
        <v>5.2591857180000002E-3</v>
      </c>
      <c r="H7">
        <v>0.1528498381</v>
      </c>
      <c r="I7">
        <v>1.3429058700000001</v>
      </c>
      <c r="J7">
        <v>32.551912780000002</v>
      </c>
      <c r="K7">
        <v>32.553624839999998</v>
      </c>
      <c r="L7">
        <v>32.553624839999998</v>
      </c>
      <c r="M7">
        <v>32.553624839999998</v>
      </c>
      <c r="N7">
        <v>32.503866680000002</v>
      </c>
      <c r="O7">
        <v>32.553624839999998</v>
      </c>
      <c r="P7">
        <v>32.1164603</v>
      </c>
      <c r="Q7">
        <v>32.553624839999998</v>
      </c>
      <c r="R7">
        <v>6.0242515819999998</v>
      </c>
      <c r="S7">
        <v>1.2175978279999999</v>
      </c>
      <c r="T7">
        <v>3.2210213429999999</v>
      </c>
      <c r="U7">
        <v>9.3158141860000008</v>
      </c>
      <c r="V7">
        <v>5.5887834439999997</v>
      </c>
      <c r="W7">
        <v>1.0524254580000001</v>
      </c>
      <c r="X7">
        <v>3.347675261</v>
      </c>
      <c r="Y7">
        <v>9.2586680660000003</v>
      </c>
      <c r="Z7">
        <v>11.613035030000001</v>
      </c>
      <c r="AA7">
        <v>1.5312283419999999</v>
      </c>
      <c r="AB7">
        <v>8.1</v>
      </c>
      <c r="AC7">
        <v>15.29992</v>
      </c>
      <c r="AD7">
        <v>3.1130027920000001</v>
      </c>
      <c r="AE7">
        <v>0.7053555185</v>
      </c>
      <c r="AF7">
        <v>1.989002774</v>
      </c>
      <c r="AG7">
        <v>7.4957779999999996</v>
      </c>
      <c r="AH7">
        <v>11.613035030000001</v>
      </c>
      <c r="AI7">
        <v>1.5312283419999999</v>
      </c>
      <c r="AJ7">
        <v>8.1</v>
      </c>
      <c r="AK7">
        <v>15.29992</v>
      </c>
      <c r="AL7">
        <v>1.862311391</v>
      </c>
      <c r="AM7">
        <v>0.34819901640000001</v>
      </c>
      <c r="AN7">
        <v>1.104666108</v>
      </c>
      <c r="AO7">
        <v>2.7647962760000002</v>
      </c>
      <c r="AP7">
        <v>2.2562643439999999</v>
      </c>
      <c r="AQ7">
        <v>0.36278983889999999</v>
      </c>
      <c r="AR7">
        <v>1.3559986639999999</v>
      </c>
      <c r="AS7">
        <v>3.1704121820000002</v>
      </c>
      <c r="AT7">
        <v>9.1135880480000001E-2</v>
      </c>
      <c r="AU7">
        <v>0.4790722852</v>
      </c>
      <c r="AV7">
        <v>-1.5518166449999999</v>
      </c>
      <c r="AW7">
        <v>1.507279788</v>
      </c>
      <c r="AX7">
        <v>2.6162525529999998</v>
      </c>
      <c r="AY7">
        <v>0.77530809359999997</v>
      </c>
      <c r="AZ7">
        <v>1.4994936759999999</v>
      </c>
      <c r="BA7">
        <v>6.7636188109999997</v>
      </c>
      <c r="BB7">
        <v>0.20691747460000001</v>
      </c>
      <c r="BC7">
        <v>0.10857681750000001</v>
      </c>
      <c r="BD7">
        <v>9.6173454209999995E-2</v>
      </c>
      <c r="BE7">
        <v>1.0562519960000001</v>
      </c>
      <c r="BF7">
        <v>10.10450814</v>
      </c>
      <c r="BG7">
        <v>1.6461763730000001</v>
      </c>
      <c r="BH7">
        <v>6.5983324799999998</v>
      </c>
      <c r="BI7">
        <v>15.896279229999999</v>
      </c>
      <c r="BJ7">
        <v>1.6611396899999999</v>
      </c>
      <c r="BK7">
        <v>3.2843406740000001</v>
      </c>
      <c r="BL7">
        <v>4.4228217600000001E-2</v>
      </c>
      <c r="BM7">
        <v>21.915081820000001</v>
      </c>
      <c r="BN7">
        <v>4.1641061019999999</v>
      </c>
      <c r="BO7">
        <v>1.010269463</v>
      </c>
      <c r="BP7">
        <v>2.1091261170000002</v>
      </c>
      <c r="BQ7">
        <v>6.8127286229999999</v>
      </c>
      <c r="BR7">
        <v>56.0861637</v>
      </c>
      <c r="BS7">
        <v>18.875041020000001</v>
      </c>
      <c r="BT7">
        <v>9.4674377280000002</v>
      </c>
      <c r="BU7">
        <v>103.97879620000001</v>
      </c>
      <c r="BV7">
        <v>5.2789389499999997</v>
      </c>
      <c r="BW7">
        <v>0.91436889040000002</v>
      </c>
      <c r="BX7">
        <v>3.2210213429999999</v>
      </c>
      <c r="BY7">
        <v>8.0304722799999997</v>
      </c>
      <c r="BZ7">
        <v>5.3134344340000004</v>
      </c>
      <c r="CA7">
        <v>0.90700327049999996</v>
      </c>
      <c r="CB7">
        <v>3.3425924079999998</v>
      </c>
      <c r="CC7">
        <v>7.4932986619999999</v>
      </c>
      <c r="CD7">
        <v>10.59237338</v>
      </c>
      <c r="CE7">
        <v>1.0154975879999999</v>
      </c>
      <c r="CF7">
        <v>8.1</v>
      </c>
      <c r="CG7">
        <v>12.085705000000001</v>
      </c>
      <c r="CH7">
        <v>2.977241019</v>
      </c>
      <c r="CI7">
        <v>0.65117493289999995</v>
      </c>
      <c r="CJ7">
        <v>1.9245933639999999</v>
      </c>
      <c r="CK7">
        <v>7.3585381999999999</v>
      </c>
      <c r="CL7">
        <v>10.59237338</v>
      </c>
      <c r="CM7">
        <v>1.0154975879999999</v>
      </c>
      <c r="CN7">
        <v>8.1</v>
      </c>
      <c r="CO7">
        <v>12.085705000000001</v>
      </c>
      <c r="CP7">
        <v>1.8496475290000001</v>
      </c>
      <c r="CQ7">
        <v>0.34396090969999998</v>
      </c>
      <c r="CR7">
        <v>1.104666108</v>
      </c>
      <c r="CS7">
        <v>2.7634071969999998</v>
      </c>
      <c r="CT7">
        <v>2.2315699530000002</v>
      </c>
      <c r="CU7">
        <v>0.35419231309999999</v>
      </c>
      <c r="CV7">
        <v>1.3559986639999999</v>
      </c>
      <c r="CW7">
        <v>3.1517154330000001</v>
      </c>
      <c r="CX7">
        <v>7.3754427009999998E-2</v>
      </c>
      <c r="CY7">
        <v>0.4585429841</v>
      </c>
      <c r="CZ7">
        <v>-1.4116030589999999</v>
      </c>
      <c r="DA7">
        <v>1.2410059769999999</v>
      </c>
      <c r="DB7">
        <v>2.5040355490000001</v>
      </c>
      <c r="DC7">
        <v>0.63640330359999997</v>
      </c>
      <c r="DD7">
        <v>1.4994936759999999</v>
      </c>
      <c r="DE7">
        <v>4.8863279390000001</v>
      </c>
      <c r="DF7">
        <v>0.19899962669999999</v>
      </c>
      <c r="DG7">
        <v>0.10903590270000001</v>
      </c>
      <c r="DH7">
        <v>9.1797599679999994E-2</v>
      </c>
      <c r="DI7">
        <v>1.0562519960000001</v>
      </c>
      <c r="DJ7">
        <v>9.8552677729999996</v>
      </c>
      <c r="DK7">
        <v>1.447309454</v>
      </c>
      <c r="DL7">
        <v>6.5750254010000004</v>
      </c>
      <c r="DM7">
        <v>14.69617408</v>
      </c>
      <c r="DN7">
        <v>3.4990130210000001</v>
      </c>
      <c r="DO7">
        <v>4.0615728459999998</v>
      </c>
      <c r="DP7">
        <v>6.6342326399999998E-2</v>
      </c>
      <c r="DQ7">
        <v>21.915081820000001</v>
      </c>
      <c r="DR7">
        <v>4.1572590260000002</v>
      </c>
      <c r="DS7">
        <v>1.0037947330000001</v>
      </c>
      <c r="DT7">
        <v>2.1100392819999998</v>
      </c>
      <c r="DU7">
        <v>6.812320938</v>
      </c>
      <c r="DV7">
        <v>58.695473419999999</v>
      </c>
      <c r="DW7">
        <v>19.89960855</v>
      </c>
      <c r="DX7">
        <v>9.4674377280000002</v>
      </c>
      <c r="DY7">
        <v>108.9353102</v>
      </c>
      <c r="DZ7">
        <v>3.0512860549999998</v>
      </c>
      <c r="EA7">
        <v>0.68897979870000003</v>
      </c>
      <c r="EB7">
        <v>1.7587709140000001</v>
      </c>
      <c r="EC7">
        <v>5.3140234619999998</v>
      </c>
      <c r="ED7">
        <v>2.410305449</v>
      </c>
      <c r="EE7">
        <v>0.31933811810000001</v>
      </c>
      <c r="EF7">
        <v>1.630292292</v>
      </c>
      <c r="EG7">
        <v>3.2837161689999999</v>
      </c>
      <c r="EH7">
        <v>5.4615915050000003</v>
      </c>
      <c r="EI7">
        <v>0.89458137589999998</v>
      </c>
      <c r="EJ7">
        <v>3.4496137139999998</v>
      </c>
      <c r="EK7">
        <v>8.1163384290000007</v>
      </c>
      <c r="EL7">
        <v>1.9647451570000001</v>
      </c>
      <c r="EM7">
        <v>0.26750008209999998</v>
      </c>
      <c r="EN7">
        <v>1.4210489040000001</v>
      </c>
      <c r="EO7">
        <v>2.6865105690000002</v>
      </c>
      <c r="EP7">
        <v>8.7484348999999995</v>
      </c>
      <c r="EQ7">
        <v>1.787112429</v>
      </c>
      <c r="ER7">
        <v>5.2575839999999996</v>
      </c>
      <c r="ES7">
        <v>14.427149</v>
      </c>
      <c r="ET7">
        <v>0.71280696060000004</v>
      </c>
      <c r="EU7">
        <v>0.10654916590000001</v>
      </c>
      <c r="EV7">
        <v>0.42399862640000002</v>
      </c>
      <c r="EW7">
        <v>1.004301806</v>
      </c>
      <c r="EX7">
        <v>0.93969699129999995</v>
      </c>
      <c r="EY7">
        <v>0.1478655938</v>
      </c>
      <c r="EZ7">
        <v>0.56264716309999996</v>
      </c>
      <c r="FA7">
        <v>1.365080635</v>
      </c>
      <c r="FB7">
        <v>0.3831630479</v>
      </c>
      <c r="FC7">
        <v>0.30759859569999998</v>
      </c>
      <c r="FD7">
        <v>-0.49010896529999998</v>
      </c>
      <c r="FE7">
        <v>1.291000207</v>
      </c>
      <c r="FF7">
        <v>4.1841531009999997</v>
      </c>
      <c r="FG7">
        <v>0.81898496789999997</v>
      </c>
      <c r="FH7">
        <v>2.979199135</v>
      </c>
      <c r="FI7">
        <v>7.3583242279999999</v>
      </c>
      <c r="FJ7">
        <v>4.9632258880000002</v>
      </c>
      <c r="FK7">
        <v>1.3235111209999999</v>
      </c>
      <c r="FL7">
        <v>2.5502579139999999</v>
      </c>
      <c r="FM7">
        <v>9.1670604959999995</v>
      </c>
      <c r="FN7">
        <v>3.7852090120000002</v>
      </c>
      <c r="FO7">
        <v>0.85876901269999995</v>
      </c>
      <c r="FP7">
        <v>1.9618788629999999</v>
      </c>
      <c r="FQ7">
        <v>6.2953872899999999</v>
      </c>
      <c r="FR7">
        <v>8.1876548469999992</v>
      </c>
      <c r="FS7">
        <v>1.6270904100000001</v>
      </c>
      <c r="FT7">
        <v>4.4881250000000001</v>
      </c>
      <c r="FU7">
        <v>13.616360999999999</v>
      </c>
      <c r="FV7">
        <v>6.084696847</v>
      </c>
      <c r="FW7">
        <v>1.679059504</v>
      </c>
      <c r="FX7">
        <v>1.862994</v>
      </c>
      <c r="FY7">
        <v>11.200365</v>
      </c>
      <c r="FZ7">
        <v>6.6133988520000006E-2</v>
      </c>
      <c r="GA7">
        <v>1.1864797890000001E-2</v>
      </c>
      <c r="GB7">
        <v>4.6321999840000003E-2</v>
      </c>
      <c r="GC7">
        <v>0.1127938772</v>
      </c>
      <c r="GD7">
        <v>9.6717158330000004</v>
      </c>
      <c r="GE7">
        <v>1.564067645</v>
      </c>
      <c r="GF7">
        <v>6.1276846139999996</v>
      </c>
      <c r="GG7">
        <v>15.05537936</v>
      </c>
      <c r="GH7">
        <v>0.54707432990000004</v>
      </c>
      <c r="GI7">
        <v>0.53782001670000001</v>
      </c>
      <c r="GJ7">
        <v>4.9248953460000001E-2</v>
      </c>
      <c r="GK7">
        <v>2.5366734609999999</v>
      </c>
      <c r="GL7">
        <v>1.3244167630000001</v>
      </c>
      <c r="GM7">
        <v>0.18872720749999999</v>
      </c>
      <c r="GN7">
        <v>0.79657094520000005</v>
      </c>
      <c r="GO7">
        <v>1.89237089</v>
      </c>
      <c r="GP7">
        <v>7.4147473919999998</v>
      </c>
      <c r="GQ7">
        <v>1.6434276059999999</v>
      </c>
      <c r="GR7">
        <v>3.1435542349999999</v>
      </c>
      <c r="GS7">
        <v>12.67116852</v>
      </c>
      <c r="GT7">
        <v>155.65670119999999</v>
      </c>
      <c r="GU7">
        <v>25.51198368</v>
      </c>
      <c r="GV7">
        <v>88.657294629999996</v>
      </c>
      <c r="GW7">
        <v>215.8801441</v>
      </c>
      <c r="GX7">
        <v>2.943898608</v>
      </c>
      <c r="GY7">
        <v>0.65346819020000002</v>
      </c>
      <c r="GZ7">
        <v>1.7587709140000001</v>
      </c>
      <c r="HA7">
        <v>5.1069764800000002</v>
      </c>
      <c r="HB7">
        <v>2.3761365149999998</v>
      </c>
      <c r="HC7">
        <v>0.30920170879999997</v>
      </c>
      <c r="HD7">
        <v>1.630292292</v>
      </c>
      <c r="HE7">
        <v>3.1661478619999999</v>
      </c>
      <c r="HF7">
        <v>5.3200351230000003</v>
      </c>
      <c r="HG7">
        <v>0.84687337220000003</v>
      </c>
      <c r="HH7">
        <v>3.4496137139999998</v>
      </c>
      <c r="HI7">
        <v>7.9119911429999998</v>
      </c>
      <c r="HJ7">
        <v>1.918123263</v>
      </c>
      <c r="HK7">
        <v>0.24909627109999999</v>
      </c>
      <c r="HL7">
        <v>1.4210489040000001</v>
      </c>
      <c r="HM7">
        <v>2.627161707</v>
      </c>
      <c r="HN7">
        <v>8.4444524110000003</v>
      </c>
      <c r="HO7">
        <v>1.6574732919999999</v>
      </c>
      <c r="HP7">
        <v>5.2575839999999996</v>
      </c>
      <c r="HQ7">
        <v>13.416295</v>
      </c>
      <c r="HR7">
        <v>0.70598417130000002</v>
      </c>
      <c r="HS7">
        <v>0.1048857413</v>
      </c>
      <c r="HT7">
        <v>0.42247331449999997</v>
      </c>
      <c r="HU7">
        <v>1.0035853859999999</v>
      </c>
      <c r="HV7">
        <v>0.92671127340000004</v>
      </c>
      <c r="HW7">
        <v>0.14467274199999999</v>
      </c>
      <c r="HX7">
        <v>0.55528949780000003</v>
      </c>
      <c r="HY7">
        <v>1.3603970919999999</v>
      </c>
      <c r="HZ7">
        <v>0.35499576710000003</v>
      </c>
      <c r="IA7">
        <v>0.3051061544</v>
      </c>
      <c r="IB7">
        <v>-0.54487488539999995</v>
      </c>
      <c r="IC7">
        <v>1.148571231</v>
      </c>
      <c r="ID7">
        <v>4.0800448500000002</v>
      </c>
      <c r="IE7">
        <v>0.76810176029999999</v>
      </c>
      <c r="IF7">
        <v>2.9461715210000001</v>
      </c>
      <c r="IG7">
        <v>6.8836385590000004</v>
      </c>
      <c r="IH7">
        <v>4.7362400920000001</v>
      </c>
      <c r="II7">
        <v>1.246118332</v>
      </c>
      <c r="IJ7">
        <v>2.452669325</v>
      </c>
      <c r="IK7">
        <v>8.9444454869999994</v>
      </c>
      <c r="IL7">
        <v>3.7082123180000002</v>
      </c>
      <c r="IM7">
        <v>0.80967446669999998</v>
      </c>
      <c r="IN7">
        <v>1.9618788629999999</v>
      </c>
      <c r="IO7">
        <v>6.2953979000000002</v>
      </c>
      <c r="IP7">
        <v>7.8174220740000004</v>
      </c>
      <c r="IQ7">
        <v>1.475196009</v>
      </c>
      <c r="IR7">
        <v>4.4881250000000001</v>
      </c>
      <c r="IS7">
        <v>13.416295</v>
      </c>
      <c r="IT7">
        <v>5.8542940950000002</v>
      </c>
      <c r="IU7">
        <v>1.6393387749999999</v>
      </c>
      <c r="IV7">
        <v>1.776572</v>
      </c>
      <c r="IW7">
        <v>10.470345</v>
      </c>
      <c r="IX7">
        <v>6.4941827310000005E-2</v>
      </c>
      <c r="IY7">
        <v>1.120102249E-2</v>
      </c>
      <c r="IZ7">
        <v>4.4827741779999999E-2</v>
      </c>
      <c r="JA7">
        <v>0.11053799960000001</v>
      </c>
      <c r="JB7">
        <v>9.4771530209999995</v>
      </c>
      <c r="JC7">
        <v>1.437214078</v>
      </c>
      <c r="JD7">
        <v>6.148549139</v>
      </c>
      <c r="JE7">
        <v>13.77270156</v>
      </c>
      <c r="JF7">
        <v>0.61761721439999995</v>
      </c>
      <c r="JG7">
        <v>0.64500277959999996</v>
      </c>
      <c r="JH7">
        <v>2.4624476730000001E-2</v>
      </c>
      <c r="JI7">
        <v>4.9987687760000004</v>
      </c>
      <c r="JJ7">
        <v>1.319141908</v>
      </c>
      <c r="JK7">
        <v>0.1887292492</v>
      </c>
      <c r="JL7">
        <v>0.7985473944</v>
      </c>
      <c r="JM7">
        <v>1.892175451</v>
      </c>
      <c r="JN7">
        <v>7.6529154579999998</v>
      </c>
      <c r="JO7">
        <v>1.649043563</v>
      </c>
      <c r="JP7">
        <v>3.6222390550000001</v>
      </c>
      <c r="JQ7">
        <v>12.85397685</v>
      </c>
      <c r="JR7">
        <v>158.22940130000001</v>
      </c>
      <c r="JS7">
        <v>25.236408109999999</v>
      </c>
      <c r="JT7">
        <v>90.466627169999995</v>
      </c>
      <c r="JU7">
        <v>223.07614889999999</v>
      </c>
      <c r="JV7">
        <v>3.405287328</v>
      </c>
      <c r="JW7">
        <v>0.9638497077</v>
      </c>
      <c r="JX7">
        <v>1.380671245</v>
      </c>
      <c r="JY7">
        <v>6.0804169290000001</v>
      </c>
      <c r="JZ7">
        <v>3.3247664459999999</v>
      </c>
      <c r="KA7">
        <v>0.95012063030000005</v>
      </c>
      <c r="KB7">
        <v>1.350952229</v>
      </c>
      <c r="KC7">
        <v>6.9887672380000003</v>
      </c>
      <c r="KD7">
        <v>6.7300537739999999</v>
      </c>
      <c r="KE7">
        <v>1.2911302389999999</v>
      </c>
      <c r="KF7">
        <v>3.0131899999999998</v>
      </c>
      <c r="KG7">
        <v>9.759112</v>
      </c>
      <c r="KH7">
        <v>4.9756453069999997</v>
      </c>
      <c r="KI7">
        <v>1.618539178</v>
      </c>
      <c r="KJ7">
        <v>2.1849846670000002</v>
      </c>
      <c r="KK7">
        <v>8.3223990000000008</v>
      </c>
      <c r="KL7">
        <v>6.7300537739999999</v>
      </c>
      <c r="KM7">
        <v>1.2911302389999999</v>
      </c>
      <c r="KN7">
        <v>3.0131899999999998</v>
      </c>
      <c r="KO7">
        <v>9.759112</v>
      </c>
      <c r="KP7">
        <v>1.551577312</v>
      </c>
      <c r="KQ7">
        <v>0.39376322990000001</v>
      </c>
      <c r="KR7">
        <v>0.63685770559999999</v>
      </c>
      <c r="KS7">
        <v>2.5461390279999998</v>
      </c>
      <c r="KT7">
        <v>1.870396806</v>
      </c>
      <c r="KU7">
        <v>0.41004036980000003</v>
      </c>
      <c r="KV7">
        <v>0.75501712030000001</v>
      </c>
      <c r="KW7">
        <v>2.9391911880000001</v>
      </c>
      <c r="KX7">
        <v>0.1269737715</v>
      </c>
      <c r="KY7">
        <v>0.61829023230000002</v>
      </c>
      <c r="KZ7">
        <v>-1.6776872389999999</v>
      </c>
      <c r="LA7">
        <v>1.8061866120000001</v>
      </c>
      <c r="LB7">
        <v>2.5065235000000001</v>
      </c>
      <c r="LC7">
        <v>0.95232977350000003</v>
      </c>
      <c r="LD7">
        <v>1.369977711</v>
      </c>
      <c r="LE7">
        <v>6.3539434080000001</v>
      </c>
      <c r="LF7">
        <v>2.0855209929999998</v>
      </c>
      <c r="LG7">
        <v>1.020900267</v>
      </c>
      <c r="LH7">
        <v>0.66239999770000002</v>
      </c>
      <c r="LI7">
        <v>5.3295599820000001</v>
      </c>
      <c r="LJ7">
        <v>0.24876818570000001</v>
      </c>
      <c r="LK7">
        <v>5.1331825310000002E-2</v>
      </c>
      <c r="LL7">
        <v>0.1409676336</v>
      </c>
      <c r="LM7">
        <v>0.4094507067</v>
      </c>
      <c r="LN7">
        <v>18.634890110000001</v>
      </c>
      <c r="LO7">
        <v>10.244571280000001</v>
      </c>
      <c r="LP7">
        <v>2.0123839010000002</v>
      </c>
      <c r="LQ7">
        <v>50.401716729999997</v>
      </c>
      <c r="LR7">
        <v>3.5216544120000002</v>
      </c>
      <c r="LS7">
        <v>1.173734652</v>
      </c>
      <c r="LT7">
        <v>1.4002896570000001</v>
      </c>
      <c r="LU7">
        <v>6.7404034060000004</v>
      </c>
      <c r="LV7">
        <v>21.562971950000001</v>
      </c>
      <c r="LW7">
        <v>8.4514746479999996</v>
      </c>
      <c r="LX7">
        <v>3.3392304290000001</v>
      </c>
      <c r="LY7">
        <v>41.154356479999997</v>
      </c>
      <c r="LZ7">
        <v>5.9529173159999997</v>
      </c>
      <c r="MA7">
        <v>2.8488197030000002</v>
      </c>
      <c r="MB7">
        <v>1.8763275079999999</v>
      </c>
      <c r="MC7">
        <v>15.09661841</v>
      </c>
      <c r="MD7">
        <v>3.3606134399999998</v>
      </c>
      <c r="ME7">
        <v>0.92596460229999999</v>
      </c>
      <c r="MF7">
        <v>1.378424307</v>
      </c>
      <c r="MG7">
        <v>5.9549692350000001</v>
      </c>
      <c r="MH7">
        <v>3.2787036810000001</v>
      </c>
      <c r="MI7">
        <v>0.90837800440000005</v>
      </c>
      <c r="MJ7">
        <v>1.350952229</v>
      </c>
      <c r="MK7">
        <v>6.5268976370000003</v>
      </c>
      <c r="ML7">
        <v>6.6393171210000004</v>
      </c>
      <c r="MM7">
        <v>1.2252457480000001</v>
      </c>
      <c r="MN7">
        <v>2.986958</v>
      </c>
      <c r="MO7">
        <v>9.4852030000000003</v>
      </c>
      <c r="MP7">
        <v>4.9601720580000004</v>
      </c>
      <c r="MQ7">
        <v>1.5356270869999999</v>
      </c>
      <c r="MR7">
        <v>2.177603333</v>
      </c>
      <c r="MS7">
        <v>7.8578489999999999</v>
      </c>
      <c r="MT7">
        <v>6.6393171210000004</v>
      </c>
      <c r="MU7">
        <v>1.2252457480000001</v>
      </c>
      <c r="MV7">
        <v>2.986958</v>
      </c>
      <c r="MW7">
        <v>9.4852030000000003</v>
      </c>
      <c r="MX7">
        <v>1.540760782</v>
      </c>
      <c r="MY7">
        <v>0.39162179180000001</v>
      </c>
      <c r="MZ7">
        <v>0.63535642660000002</v>
      </c>
      <c r="NA7">
        <v>2.5447793060000001</v>
      </c>
      <c r="NB7">
        <v>1.853670438</v>
      </c>
      <c r="NC7">
        <v>0.40625738779999998</v>
      </c>
      <c r="ND7">
        <v>0.75201133340000004</v>
      </c>
      <c r="NE7">
        <v>2.9249342469999999</v>
      </c>
      <c r="NF7">
        <v>0.1247638392</v>
      </c>
      <c r="NG7">
        <v>0.60103044670000005</v>
      </c>
      <c r="NH7">
        <v>-1.616983861</v>
      </c>
      <c r="NI7">
        <v>1.601245392</v>
      </c>
      <c r="NJ7">
        <v>2.4720402890000002</v>
      </c>
      <c r="NK7">
        <v>0.89172551840000003</v>
      </c>
      <c r="NL7">
        <v>1.369963598</v>
      </c>
      <c r="NM7">
        <v>6.1412673289999997</v>
      </c>
      <c r="NN7">
        <v>2.0670208049999999</v>
      </c>
      <c r="NO7">
        <v>0.97726904800000003</v>
      </c>
      <c r="NP7">
        <v>0.66239999770000002</v>
      </c>
      <c r="NQ7">
        <v>5.3226599820000002</v>
      </c>
      <c r="NR7">
        <v>0.2457090935</v>
      </c>
      <c r="NS7">
        <v>4.9150082489999997E-2</v>
      </c>
      <c r="NT7">
        <v>0.14095801760000001</v>
      </c>
      <c r="NU7">
        <v>0.39507637480000002</v>
      </c>
      <c r="NV7">
        <v>18.871192019999999</v>
      </c>
      <c r="NW7">
        <v>10.230710029999999</v>
      </c>
      <c r="NX7">
        <v>1.724900487</v>
      </c>
      <c r="NY7">
        <v>50.046066740000001</v>
      </c>
      <c r="NZ7">
        <v>3.5088261580000002</v>
      </c>
      <c r="OA7">
        <v>1.170365039</v>
      </c>
      <c r="OB7">
        <v>1.397956083</v>
      </c>
      <c r="OC7">
        <v>6.7270446310000001</v>
      </c>
      <c r="OD7">
        <v>21.6936632</v>
      </c>
      <c r="OE7">
        <v>8.3041980120000005</v>
      </c>
      <c r="OF7">
        <v>4.7987616099999997</v>
      </c>
      <c r="OG7">
        <v>41.154356479999997</v>
      </c>
      <c r="OH7">
        <v>5.9538071060000002</v>
      </c>
      <c r="OI7">
        <v>2.802802319</v>
      </c>
      <c r="OJ7">
        <v>1.8787598750000001</v>
      </c>
      <c r="OK7">
        <v>15.09661841</v>
      </c>
      <c r="OL7">
        <v>2.0881520999999998</v>
      </c>
      <c r="OM7">
        <v>-6.4353189699999994E-2</v>
      </c>
      <c r="ON7">
        <v>2.6308420739999998</v>
      </c>
      <c r="OO7">
        <v>9.5203769999999999</v>
      </c>
      <c r="OP7">
        <v>8.2654829999999997</v>
      </c>
      <c r="OQ7">
        <v>17.78586</v>
      </c>
      <c r="OR7">
        <v>1.7145780509999999</v>
      </c>
      <c r="OS7" s="2">
        <v>7.961015438E-5</v>
      </c>
      <c r="OT7">
        <v>2.7925242079999998E-3</v>
      </c>
      <c r="OU7" s="2">
        <v>7.961015438E-5</v>
      </c>
      <c r="OV7">
        <v>1.9821143360000001E-3</v>
      </c>
      <c r="OW7">
        <v>2.5763366640000002E-3</v>
      </c>
      <c r="OX7">
        <v>2.161875444E-4</v>
      </c>
      <c r="OY7">
        <v>6.0363998890000001</v>
      </c>
      <c r="OZ7">
        <v>1.458540006</v>
      </c>
      <c r="PA7">
        <v>1.7334311680000001</v>
      </c>
      <c r="PB7">
        <v>7.297157415</v>
      </c>
      <c r="PC7">
        <v>92.627944049999996</v>
      </c>
      <c r="PD7">
        <v>2.0630563400000002</v>
      </c>
      <c r="PE7">
        <v>-5.9299148230000001E-2</v>
      </c>
      <c r="PF7">
        <v>2.4587452989999998</v>
      </c>
      <c r="PG7">
        <v>7.4538549999999999</v>
      </c>
      <c r="PH7">
        <v>7.2031150000000004</v>
      </c>
      <c r="PI7">
        <v>14.656969999999999</v>
      </c>
      <c r="PJ7">
        <v>1.7035995690000001</v>
      </c>
      <c r="PK7" s="2">
        <v>7.4623883850000004E-5</v>
      </c>
      <c r="PL7">
        <v>2.7833045820000002E-3</v>
      </c>
      <c r="PM7" s="2">
        <v>7.4623883850000004E-5</v>
      </c>
      <c r="PN7">
        <v>1.9804840779999999E-3</v>
      </c>
      <c r="PO7">
        <v>2.5717779220000001E-3</v>
      </c>
      <c r="PP7">
        <v>2.1152665959999999E-4</v>
      </c>
      <c r="PQ7">
        <v>6.0326019310000003</v>
      </c>
      <c r="PR7">
        <v>1.32227261</v>
      </c>
      <c r="PS7">
        <v>1.6023545960000001</v>
      </c>
      <c r="PT7">
        <v>7.2557978150000002</v>
      </c>
      <c r="PU7">
        <v>92.605851049999998</v>
      </c>
      <c r="PV7">
        <v>7.079730026</v>
      </c>
      <c r="PW7">
        <v>1.719545162</v>
      </c>
      <c r="PX7">
        <v>2.1605649659999999</v>
      </c>
      <c r="PY7">
        <v>8.795211922</v>
      </c>
      <c r="PZ7">
        <v>92.626151519999993</v>
      </c>
      <c r="QA7">
        <v>7.0844208130000004</v>
      </c>
      <c r="QB7">
        <v>1.597896304</v>
      </c>
      <c r="QC7">
        <v>2.0052689940000001</v>
      </c>
      <c r="QD7">
        <v>8.6976258150000003</v>
      </c>
      <c r="QE7">
        <v>92.637410009999996</v>
      </c>
      <c r="QF7" s="2">
        <v>8.7272668690000006E-5</v>
      </c>
      <c r="QG7">
        <v>2.393052564E-3</v>
      </c>
      <c r="QH7">
        <v>3.1940884359999999E-3</v>
      </c>
      <c r="QI7">
        <v>2.5756549220000001E-4</v>
      </c>
      <c r="QJ7" s="2">
        <v>8.1900430539999999E-5</v>
      </c>
      <c r="QK7">
        <v>2.3917151459999998E-3</v>
      </c>
      <c r="QL7">
        <v>3.1898798540000001E-3</v>
      </c>
      <c r="QM7">
        <v>2.5183519549999998E-4</v>
      </c>
      <c r="QN7">
        <v>5.0027832329999997</v>
      </c>
      <c r="QO7">
        <v>3.5144058079999998</v>
      </c>
      <c r="QP7">
        <v>10.226203999999999</v>
      </c>
      <c r="QQ7">
        <v>177.97507529999999</v>
      </c>
      <c r="QR7">
        <v>4.9952225200000004</v>
      </c>
      <c r="QS7">
        <v>3.5140582880000002</v>
      </c>
      <c r="QT7">
        <v>10.22870595</v>
      </c>
      <c r="QU7">
        <v>177.9697879</v>
      </c>
    </row>
    <row r="8" spans="1:463" x14ac:dyDescent="0.2">
      <c r="A8" t="s">
        <v>278</v>
      </c>
      <c r="B8" s="2">
        <v>7.5101595579999997E-13</v>
      </c>
      <c r="C8" s="2">
        <v>2.9073538040000002E-12</v>
      </c>
      <c r="D8">
        <v>1.0131407929999999E-3</v>
      </c>
      <c r="E8">
        <v>5.138642484E-2</v>
      </c>
      <c r="F8">
        <v>0.44039440140000002</v>
      </c>
      <c r="G8">
        <v>3.112221137E-3</v>
      </c>
      <c r="H8">
        <v>0.157851622</v>
      </c>
      <c r="I8">
        <v>1.3528275380000001</v>
      </c>
      <c r="J8">
        <v>32.5526117</v>
      </c>
      <c r="K8">
        <v>32.553624839999998</v>
      </c>
      <c r="L8">
        <v>32.553624839999998</v>
      </c>
      <c r="M8">
        <v>32.553624839999998</v>
      </c>
      <c r="N8">
        <v>32.502238409999997</v>
      </c>
      <c r="O8">
        <v>32.553624839999998</v>
      </c>
      <c r="P8">
        <v>32.113230440000002</v>
      </c>
      <c r="Q8">
        <v>32.553624839999998</v>
      </c>
      <c r="R8">
        <v>5.5727010620000001</v>
      </c>
      <c r="S8">
        <v>1.091507405</v>
      </c>
      <c r="T8">
        <v>3.2321373040000001</v>
      </c>
      <c r="U8">
        <v>8.8772298729999992</v>
      </c>
      <c r="V8">
        <v>6.2461818119999997</v>
      </c>
      <c r="W8">
        <v>1.0962605999999999</v>
      </c>
      <c r="X8">
        <v>4.0311314539999996</v>
      </c>
      <c r="Y8">
        <v>9.4655871810000001</v>
      </c>
      <c r="Z8">
        <v>11.818882869999999</v>
      </c>
      <c r="AA8">
        <v>1.45983661</v>
      </c>
      <c r="AB8">
        <v>7.8862959999999998</v>
      </c>
      <c r="AC8">
        <v>15.238998</v>
      </c>
      <c r="AD8">
        <v>3.213484206</v>
      </c>
      <c r="AE8">
        <v>0.61893294799999998</v>
      </c>
      <c r="AF8">
        <v>1.940842146</v>
      </c>
      <c r="AG8">
        <v>6.1542448890000001</v>
      </c>
      <c r="AH8">
        <v>11.818882869999999</v>
      </c>
      <c r="AI8">
        <v>1.45983661</v>
      </c>
      <c r="AJ8">
        <v>7.8862959999999998</v>
      </c>
      <c r="AK8">
        <v>15.238998</v>
      </c>
      <c r="AL8">
        <v>1.9002284899999999</v>
      </c>
      <c r="AM8">
        <v>0.35780868049999998</v>
      </c>
      <c r="AN8">
        <v>1.104857797</v>
      </c>
      <c r="AO8">
        <v>2.8521855239999998</v>
      </c>
      <c r="AP8">
        <v>2.3011015979999998</v>
      </c>
      <c r="AQ8">
        <v>0.3742497736</v>
      </c>
      <c r="AR8">
        <v>1.4044534900000001</v>
      </c>
      <c r="AS8">
        <v>3.1887029560000002</v>
      </c>
      <c r="AT8">
        <v>5.5567859300000001E-2</v>
      </c>
      <c r="AU8">
        <v>0.4604815075</v>
      </c>
      <c r="AV8">
        <v>-1.504514428</v>
      </c>
      <c r="AW8">
        <v>1.244204801</v>
      </c>
      <c r="AX8">
        <v>2.5778069229999998</v>
      </c>
      <c r="AY8">
        <v>0.66984400450000003</v>
      </c>
      <c r="AZ8">
        <v>1.6080093280000001</v>
      </c>
      <c r="BA8">
        <v>5.7656035839999999</v>
      </c>
      <c r="BB8">
        <v>0.18464626749999999</v>
      </c>
      <c r="BC8">
        <v>7.5426752540000003E-2</v>
      </c>
      <c r="BD8">
        <v>8.2904150659999995E-2</v>
      </c>
      <c r="BE8">
        <v>0.59600666459999996</v>
      </c>
      <c r="BF8">
        <v>10.41379034</v>
      </c>
      <c r="BG8">
        <v>1.541321999</v>
      </c>
      <c r="BH8">
        <v>7.104604685</v>
      </c>
      <c r="BI8">
        <v>16.56482042</v>
      </c>
      <c r="BJ8">
        <v>2.9858511139999999</v>
      </c>
      <c r="BK8">
        <v>4.3234896369999998</v>
      </c>
      <c r="BL8">
        <v>4.4228217600000001E-2</v>
      </c>
      <c r="BM8">
        <v>24.965400509999998</v>
      </c>
      <c r="BN8">
        <v>4.2594436250000003</v>
      </c>
      <c r="BO8">
        <v>1.0294380460000001</v>
      </c>
      <c r="BP8">
        <v>2.1574921389999999</v>
      </c>
      <c r="BQ8">
        <v>6.830504243</v>
      </c>
      <c r="BR8">
        <v>61.370245130000001</v>
      </c>
      <c r="BS8">
        <v>20.219295590000002</v>
      </c>
      <c r="BT8">
        <v>16.778335869999999</v>
      </c>
      <c r="BU8">
        <v>120.6212225</v>
      </c>
      <c r="BV8">
        <v>5.2071097699999997</v>
      </c>
      <c r="BW8">
        <v>0.90758942669999998</v>
      </c>
      <c r="BX8">
        <v>3.2321373040000001</v>
      </c>
      <c r="BY8">
        <v>7.9239333380000003</v>
      </c>
      <c r="BZ8">
        <v>5.7815146930000001</v>
      </c>
      <c r="CA8">
        <v>0.94898003180000001</v>
      </c>
      <c r="CB8">
        <v>3.5160751819999998</v>
      </c>
      <c r="CC8">
        <v>7.741170758</v>
      </c>
      <c r="CD8">
        <v>10.98862446</v>
      </c>
      <c r="CE8">
        <v>0.90471756169999995</v>
      </c>
      <c r="CF8">
        <v>7.8862959999999998</v>
      </c>
      <c r="CG8">
        <v>12.314792000000001</v>
      </c>
      <c r="CH8">
        <v>3.1244370990000001</v>
      </c>
      <c r="CI8">
        <v>0.58371079619999999</v>
      </c>
      <c r="CJ8">
        <v>1.940842146</v>
      </c>
      <c r="CK8">
        <v>5.9202347780000002</v>
      </c>
      <c r="CL8">
        <v>10.98862446</v>
      </c>
      <c r="CM8">
        <v>0.90471756169999995</v>
      </c>
      <c r="CN8">
        <v>7.8862959999999998</v>
      </c>
      <c r="CO8">
        <v>12.314792000000001</v>
      </c>
      <c r="CP8">
        <v>1.88950953</v>
      </c>
      <c r="CQ8">
        <v>0.352551261</v>
      </c>
      <c r="CR8">
        <v>1.1040542769999999</v>
      </c>
      <c r="CS8">
        <v>2.847417949</v>
      </c>
      <c r="CT8">
        <v>2.2807940640000002</v>
      </c>
      <c r="CU8">
        <v>0.36404243260000002</v>
      </c>
      <c r="CV8">
        <v>1.402372612</v>
      </c>
      <c r="CW8">
        <v>3.1685859289999998</v>
      </c>
      <c r="CX8">
        <v>5.8510203779999999E-2</v>
      </c>
      <c r="CY8">
        <v>0.44419132119999999</v>
      </c>
      <c r="CZ8">
        <v>-1.369454264</v>
      </c>
      <c r="DA8">
        <v>1.199056664</v>
      </c>
      <c r="DB8">
        <v>2.5047521380000002</v>
      </c>
      <c r="DC8">
        <v>0.59963431779999998</v>
      </c>
      <c r="DD8">
        <v>1.6080093280000001</v>
      </c>
      <c r="DE8">
        <v>5.2864716380000001</v>
      </c>
      <c r="DF8">
        <v>0.17939447920000001</v>
      </c>
      <c r="DG8">
        <v>7.5068024479999995E-2</v>
      </c>
      <c r="DH8">
        <v>8.1291627630000002E-2</v>
      </c>
      <c r="DI8">
        <v>0.59600666459999996</v>
      </c>
      <c r="DJ8">
        <v>10.28057858</v>
      </c>
      <c r="DK8">
        <v>1.3955415449999999</v>
      </c>
      <c r="DL8">
        <v>7.104604685</v>
      </c>
      <c r="DM8">
        <v>13.90431762</v>
      </c>
      <c r="DN8">
        <v>4.2493279199999998</v>
      </c>
      <c r="DO8">
        <v>4.6012427950000001</v>
      </c>
      <c r="DP8">
        <v>8.8456435210000003E-2</v>
      </c>
      <c r="DQ8">
        <v>24.965400509999998</v>
      </c>
      <c r="DR8">
        <v>4.2546023550000003</v>
      </c>
      <c r="DS8">
        <v>1.0247580919999999</v>
      </c>
      <c r="DT8">
        <v>2.1564931299999999</v>
      </c>
      <c r="DU8">
        <v>6.829577445</v>
      </c>
      <c r="DV8">
        <v>63.396156679999997</v>
      </c>
      <c r="DW8">
        <v>21.131937000000001</v>
      </c>
      <c r="DX8">
        <v>16.778335869999999</v>
      </c>
      <c r="DY8">
        <v>123.01389810000001</v>
      </c>
      <c r="DZ8">
        <v>2.8835698449999998</v>
      </c>
      <c r="EA8">
        <v>0.58834228249999998</v>
      </c>
      <c r="EB8">
        <v>1.7191593300000001</v>
      </c>
      <c r="EC8">
        <v>4.8251029110000001</v>
      </c>
      <c r="ED8">
        <v>2.9241917559999999</v>
      </c>
      <c r="EE8">
        <v>0.39918316059999998</v>
      </c>
      <c r="EF8">
        <v>1.8845809090000001</v>
      </c>
      <c r="EG8">
        <v>4.0576770939999998</v>
      </c>
      <c r="EH8">
        <v>5.8077616010000002</v>
      </c>
      <c r="EI8">
        <v>0.83775063770000002</v>
      </c>
      <c r="EJ8">
        <v>3.8805341430000002</v>
      </c>
      <c r="EK8">
        <v>7.9527485709999999</v>
      </c>
      <c r="EL8">
        <v>2.1798438770000002</v>
      </c>
      <c r="EM8">
        <v>0.2566222869</v>
      </c>
      <c r="EN8">
        <v>1.5717676110000001</v>
      </c>
      <c r="EO8">
        <v>2.8099340690000001</v>
      </c>
      <c r="EP8">
        <v>9.2395835529999992</v>
      </c>
      <c r="EQ8">
        <v>1.7151437270000001</v>
      </c>
      <c r="ER8">
        <v>5.3583879999999997</v>
      </c>
      <c r="ES8">
        <v>14.810309</v>
      </c>
      <c r="ET8">
        <v>0.76828978910000001</v>
      </c>
      <c r="EU8">
        <v>0.1080206563</v>
      </c>
      <c r="EV8">
        <v>0.47789220789999998</v>
      </c>
      <c r="EW8">
        <v>1.0467121070000001</v>
      </c>
      <c r="EX8">
        <v>1.0043843079999999</v>
      </c>
      <c r="EY8">
        <v>0.14553200320000001</v>
      </c>
      <c r="EZ8">
        <v>0.63257068940000005</v>
      </c>
      <c r="FA8">
        <v>1.3693177839999999</v>
      </c>
      <c r="FB8">
        <v>8.8087643150000006E-2</v>
      </c>
      <c r="FC8">
        <v>0.29216564890000002</v>
      </c>
      <c r="FD8">
        <v>-0.58694129520000005</v>
      </c>
      <c r="FE8">
        <v>0.89593746360000004</v>
      </c>
      <c r="FF8">
        <v>3.9494627869999999</v>
      </c>
      <c r="FG8">
        <v>0.59067078819999996</v>
      </c>
      <c r="FH8">
        <v>2.9359774170000001</v>
      </c>
      <c r="FI8">
        <v>5.6775809690000001</v>
      </c>
      <c r="FJ8">
        <v>4.6244836249999999</v>
      </c>
      <c r="FK8">
        <v>1.1740701330000001</v>
      </c>
      <c r="FL8">
        <v>2.4617317590000001</v>
      </c>
      <c r="FM8">
        <v>8.6746296209999993</v>
      </c>
      <c r="FN8">
        <v>4.6150999280000002</v>
      </c>
      <c r="FO8">
        <v>1.05112812</v>
      </c>
      <c r="FP8">
        <v>2.4896279090000002</v>
      </c>
      <c r="FQ8">
        <v>8.390070562</v>
      </c>
      <c r="FR8">
        <v>8.5815486679999999</v>
      </c>
      <c r="FS8">
        <v>1.6042531099999999</v>
      </c>
      <c r="FT8">
        <v>5.0773989999999998</v>
      </c>
      <c r="FU8">
        <v>12.590017</v>
      </c>
      <c r="FV8">
        <v>6.5778549679999996</v>
      </c>
      <c r="FW8">
        <v>1.710765047</v>
      </c>
      <c r="FX8">
        <v>2.7233230000000002</v>
      </c>
      <c r="FY8">
        <v>11.445418999999999</v>
      </c>
      <c r="FZ8">
        <v>6.596444538E-2</v>
      </c>
      <c r="GA8">
        <v>1.1724196189999999E-2</v>
      </c>
      <c r="GB8">
        <v>4.8433157730000002E-2</v>
      </c>
      <c r="GC8">
        <v>0.119683636</v>
      </c>
      <c r="GD8">
        <v>10.058268500000001</v>
      </c>
      <c r="GE8">
        <v>1.444256977</v>
      </c>
      <c r="GF8">
        <v>6.8739170679999999</v>
      </c>
      <c r="GG8">
        <v>13.816136780000001</v>
      </c>
      <c r="GH8">
        <v>0.72397255699999996</v>
      </c>
      <c r="GI8">
        <v>0.59332329130000006</v>
      </c>
      <c r="GJ8">
        <v>4.9248953460000001E-2</v>
      </c>
      <c r="GK8">
        <v>2.684067964</v>
      </c>
      <c r="GL8">
        <v>1.457713925</v>
      </c>
      <c r="GM8">
        <v>0.2039101981</v>
      </c>
      <c r="GN8">
        <v>0.88328555710000001</v>
      </c>
      <c r="GO8">
        <v>1.958987984</v>
      </c>
      <c r="GP8">
        <v>7.1036737600000004</v>
      </c>
      <c r="GQ8">
        <v>1.54286959</v>
      </c>
      <c r="GR8">
        <v>4.1369120910000001</v>
      </c>
      <c r="GS8">
        <v>11.770499879999999</v>
      </c>
      <c r="GT8">
        <v>155.72774630000001</v>
      </c>
      <c r="GU8">
        <v>23.99245543</v>
      </c>
      <c r="GV8">
        <v>83.553611320000002</v>
      </c>
      <c r="GW8">
        <v>206.47012230000001</v>
      </c>
      <c r="GX8">
        <v>2.8421563120000002</v>
      </c>
      <c r="GY8">
        <v>0.57471170640000002</v>
      </c>
      <c r="GZ8">
        <v>1.7191701020000001</v>
      </c>
      <c r="HA8">
        <v>4.6814047560000001</v>
      </c>
      <c r="HB8">
        <v>2.8587580739999998</v>
      </c>
      <c r="HC8">
        <v>0.36173833620000001</v>
      </c>
      <c r="HD8">
        <v>1.8530087660000001</v>
      </c>
      <c r="HE8">
        <v>3.9316561769999998</v>
      </c>
      <c r="HF8">
        <v>5.700914386</v>
      </c>
      <c r="HG8">
        <v>0.78324295870000005</v>
      </c>
      <c r="HH8">
        <v>3.8805341430000002</v>
      </c>
      <c r="HI8">
        <v>7.7490927139999997</v>
      </c>
      <c r="HJ8">
        <v>2.146223301</v>
      </c>
      <c r="HK8">
        <v>0.2402595142</v>
      </c>
      <c r="HL8">
        <v>1.5717676110000001</v>
      </c>
      <c r="HM8">
        <v>2.8040784169999999</v>
      </c>
      <c r="HN8">
        <v>8.9656561000000004</v>
      </c>
      <c r="HO8">
        <v>1.5244730630000001</v>
      </c>
      <c r="HP8">
        <v>5.358447</v>
      </c>
      <c r="HQ8">
        <v>13.566052000000001</v>
      </c>
      <c r="HR8">
        <v>0.7627668756</v>
      </c>
      <c r="HS8">
        <v>0.10524550840000001</v>
      </c>
      <c r="HT8">
        <v>0.47789220789999998</v>
      </c>
      <c r="HU8">
        <v>1.0453688489999999</v>
      </c>
      <c r="HV8">
        <v>0.995103344</v>
      </c>
      <c r="HW8">
        <v>0.1413719289</v>
      </c>
      <c r="HX8">
        <v>0.63257068940000005</v>
      </c>
      <c r="HY8">
        <v>1.3658371439999999</v>
      </c>
      <c r="HZ8">
        <v>9.1231156980000006E-2</v>
      </c>
      <c r="IA8">
        <v>0.29280231270000001</v>
      </c>
      <c r="IB8">
        <v>-0.60770172990000004</v>
      </c>
      <c r="IC8">
        <v>0.88656695860000001</v>
      </c>
      <c r="ID8">
        <v>3.9138906919999998</v>
      </c>
      <c r="IE8">
        <v>0.60201895230000002</v>
      </c>
      <c r="IF8">
        <v>2.9341264630000001</v>
      </c>
      <c r="IG8">
        <v>5.8453842119999999</v>
      </c>
      <c r="IH8">
        <v>4.5265468789999996</v>
      </c>
      <c r="II8">
        <v>1.1302318899999999</v>
      </c>
      <c r="IJ8">
        <v>2.4618038169999998</v>
      </c>
      <c r="IK8">
        <v>8.5726796079999996</v>
      </c>
      <c r="IL8">
        <v>4.4391092209999998</v>
      </c>
      <c r="IM8">
        <v>0.93362882329999997</v>
      </c>
      <c r="IN8">
        <v>2.2686249090000001</v>
      </c>
      <c r="IO8">
        <v>7.6759465269999998</v>
      </c>
      <c r="IP8">
        <v>8.2792972210000002</v>
      </c>
      <c r="IQ8">
        <v>1.3774765870000001</v>
      </c>
      <c r="IR8">
        <v>5.0773989999999998</v>
      </c>
      <c r="IS8">
        <v>12.378731</v>
      </c>
      <c r="IT8">
        <v>6.4300419890000002</v>
      </c>
      <c r="IU8">
        <v>1.6883702330000001</v>
      </c>
      <c r="IV8">
        <v>2.5113780000000001</v>
      </c>
      <c r="IW8">
        <v>11.256728000000001</v>
      </c>
      <c r="IX8">
        <v>6.5325117700000004E-2</v>
      </c>
      <c r="IY8">
        <v>1.186190027E-2</v>
      </c>
      <c r="IZ8">
        <v>4.6711260339999998E-2</v>
      </c>
      <c r="JA8">
        <v>0.119683636</v>
      </c>
      <c r="JB8">
        <v>9.961700402</v>
      </c>
      <c r="JC8">
        <v>1.379846648</v>
      </c>
      <c r="JD8">
        <v>6.8739170679999999</v>
      </c>
      <c r="JE8">
        <v>13.39585525</v>
      </c>
      <c r="JF8">
        <v>0.77554339859999999</v>
      </c>
      <c r="JG8">
        <v>0.63735472469999999</v>
      </c>
      <c r="JH8">
        <v>4.9248953460000001E-2</v>
      </c>
      <c r="JI8">
        <v>3.0780595910000002</v>
      </c>
      <c r="JJ8">
        <v>1.451765312</v>
      </c>
      <c r="JK8">
        <v>0.20177839650000001</v>
      </c>
      <c r="JL8">
        <v>0.88328555710000001</v>
      </c>
      <c r="JM8">
        <v>1.9604907220000001</v>
      </c>
      <c r="JN8">
        <v>7.2423590080000002</v>
      </c>
      <c r="JO8">
        <v>1.494096482</v>
      </c>
      <c r="JP8">
        <v>4.210785521</v>
      </c>
      <c r="JQ8">
        <v>13.00172371</v>
      </c>
      <c r="JR8">
        <v>157.41836259999999</v>
      </c>
      <c r="JS8">
        <v>24.684297040000001</v>
      </c>
      <c r="JT8">
        <v>83.553611320000002</v>
      </c>
      <c r="JU8">
        <v>214.0811429</v>
      </c>
      <c r="JV8">
        <v>3.4654524210000002</v>
      </c>
      <c r="JW8">
        <v>0.95889675200000002</v>
      </c>
      <c r="JX8">
        <v>1.8283823770000001</v>
      </c>
      <c r="JY8">
        <v>6.1063183280000004</v>
      </c>
      <c r="JZ8">
        <v>3.351146763</v>
      </c>
      <c r="KA8">
        <v>0.93376713450000004</v>
      </c>
      <c r="KB8">
        <v>1.3078729659999999</v>
      </c>
      <c r="KC8">
        <v>6.8379473879999999</v>
      </c>
      <c r="KD8">
        <v>6.8165991840000002</v>
      </c>
      <c r="KE8">
        <v>1.2860541649999999</v>
      </c>
      <c r="KF8">
        <v>3.2531159999999999</v>
      </c>
      <c r="KG8">
        <v>9.7687100000000004</v>
      </c>
      <c r="KH8">
        <v>5.0632940890000002</v>
      </c>
      <c r="KI8">
        <v>1.6105272719999999</v>
      </c>
      <c r="KJ8">
        <v>2.245298333</v>
      </c>
      <c r="KK8">
        <v>8.4449109999999994</v>
      </c>
      <c r="KL8">
        <v>6.8165991840000002</v>
      </c>
      <c r="KM8">
        <v>1.2860541649999999</v>
      </c>
      <c r="KN8">
        <v>3.2531159999999999</v>
      </c>
      <c r="KO8">
        <v>9.7687100000000004</v>
      </c>
      <c r="KP8">
        <v>1.5678248530000001</v>
      </c>
      <c r="KQ8">
        <v>0.40266750810000002</v>
      </c>
      <c r="KR8">
        <v>0.62019432649999995</v>
      </c>
      <c r="KS8">
        <v>2.6124298330000002</v>
      </c>
      <c r="KT8">
        <v>1.8906814329999999</v>
      </c>
      <c r="KU8">
        <v>0.4213141688</v>
      </c>
      <c r="KV8">
        <v>0.77317390029999999</v>
      </c>
      <c r="KW8">
        <v>2.9225822309999998</v>
      </c>
      <c r="KX8">
        <v>0.14576257510000001</v>
      </c>
      <c r="KY8">
        <v>0.61327180049999996</v>
      </c>
      <c r="KZ8">
        <v>-1.6799965349999999</v>
      </c>
      <c r="LA8">
        <v>1.73342259</v>
      </c>
      <c r="LB8">
        <v>2.49866046</v>
      </c>
      <c r="LC8">
        <v>0.91334811920000003</v>
      </c>
      <c r="LD8">
        <v>1.3568794</v>
      </c>
      <c r="LE8">
        <v>6.0037246160000004</v>
      </c>
      <c r="LF8">
        <v>2.1365325529999999</v>
      </c>
      <c r="LG8">
        <v>1.06276631</v>
      </c>
      <c r="LH8">
        <v>0.64997999780000004</v>
      </c>
      <c r="LI8">
        <v>5.5751999809999999</v>
      </c>
      <c r="LJ8">
        <v>0.25305888240000002</v>
      </c>
      <c r="LK8">
        <v>4.9195935369999999E-2</v>
      </c>
      <c r="LL8">
        <v>0.15701063370000001</v>
      </c>
      <c r="LM8">
        <v>0.4082379686</v>
      </c>
      <c r="LN8">
        <v>17.871449009999999</v>
      </c>
      <c r="LO8">
        <v>9.2687072920000002</v>
      </c>
      <c r="LP8">
        <v>2.0192427930000001</v>
      </c>
      <c r="LQ8">
        <v>40.917887370000003</v>
      </c>
      <c r="LR8">
        <v>3.5594589430000001</v>
      </c>
      <c r="LS8">
        <v>1.2043988999999999</v>
      </c>
      <c r="LT8">
        <v>1.312581021</v>
      </c>
      <c r="LU8">
        <v>6.757273487</v>
      </c>
      <c r="LV8">
        <v>21.43503041</v>
      </c>
      <c r="LW8">
        <v>7.9178017729999999</v>
      </c>
      <c r="LX8">
        <v>2.344095533</v>
      </c>
      <c r="LY8">
        <v>40.424590889999998</v>
      </c>
      <c r="LZ8">
        <v>5.8170855640000001</v>
      </c>
      <c r="MA8">
        <v>2.750390114</v>
      </c>
      <c r="MB8">
        <v>1.793657633</v>
      </c>
      <c r="MC8">
        <v>15.385088830000001</v>
      </c>
      <c r="MD8">
        <v>3.43204756</v>
      </c>
      <c r="ME8">
        <v>0.92863011470000001</v>
      </c>
      <c r="MF8">
        <v>1.8283823770000001</v>
      </c>
      <c r="MG8">
        <v>6.0180272639999997</v>
      </c>
      <c r="MH8">
        <v>3.3041792399999999</v>
      </c>
      <c r="MI8">
        <v>0.89255722550000005</v>
      </c>
      <c r="MJ8">
        <v>1.3088326690000001</v>
      </c>
      <c r="MK8">
        <v>6.4045220860000001</v>
      </c>
      <c r="ML8">
        <v>6.7362267999999998</v>
      </c>
      <c r="MM8">
        <v>1.228204238</v>
      </c>
      <c r="MN8">
        <v>3.2531159999999999</v>
      </c>
      <c r="MO8">
        <v>9.6665770000000002</v>
      </c>
      <c r="MP8">
        <v>4.948784571</v>
      </c>
      <c r="MQ8">
        <v>1.4792466360000001</v>
      </c>
      <c r="MR8">
        <v>2.245298333</v>
      </c>
      <c r="MS8">
        <v>7.9981460000000002</v>
      </c>
      <c r="MT8">
        <v>6.7362267999999998</v>
      </c>
      <c r="MU8">
        <v>1.228204238</v>
      </c>
      <c r="MV8">
        <v>3.2531159999999999</v>
      </c>
      <c r="MW8">
        <v>9.6665770000000002</v>
      </c>
      <c r="MX8">
        <v>1.5584918729999999</v>
      </c>
      <c r="MY8">
        <v>0.40007371870000003</v>
      </c>
      <c r="MZ8">
        <v>0.61948248230000003</v>
      </c>
      <c r="NA8">
        <v>2.6079708359999998</v>
      </c>
      <c r="NB8">
        <v>1.8756634910000001</v>
      </c>
      <c r="NC8">
        <v>0.41687124850000001</v>
      </c>
      <c r="ND8">
        <v>0.77297691479999997</v>
      </c>
      <c r="NE8">
        <v>2.9071891089999999</v>
      </c>
      <c r="NF8">
        <v>0.14655297619999999</v>
      </c>
      <c r="NG8">
        <v>0.59513086079999999</v>
      </c>
      <c r="NH8">
        <v>-1.6288686960000001</v>
      </c>
      <c r="NI8">
        <v>1.557183454</v>
      </c>
      <c r="NJ8">
        <v>2.4662051709999999</v>
      </c>
      <c r="NK8">
        <v>0.86308781000000001</v>
      </c>
      <c r="NL8">
        <v>1.3571411499999999</v>
      </c>
      <c r="NM8">
        <v>6.0208485859999996</v>
      </c>
      <c r="NN8">
        <v>2.0967785640000001</v>
      </c>
      <c r="NO8">
        <v>0.98453855599999995</v>
      </c>
      <c r="NP8">
        <v>0.64997999780000004</v>
      </c>
      <c r="NQ8">
        <v>5.5710599810000003</v>
      </c>
      <c r="NR8">
        <v>0.250535442</v>
      </c>
      <c r="NS8">
        <v>4.6845451189999998E-2</v>
      </c>
      <c r="NT8">
        <v>0.15701063370000001</v>
      </c>
      <c r="NU8">
        <v>0.38746356230000001</v>
      </c>
      <c r="NV8">
        <v>17.953946309999999</v>
      </c>
      <c r="NW8">
        <v>9.2324921010000001</v>
      </c>
      <c r="NX8">
        <v>1.724900487</v>
      </c>
      <c r="NY8">
        <v>40.873659150000002</v>
      </c>
      <c r="NZ8">
        <v>3.5502341409999998</v>
      </c>
      <c r="OA8">
        <v>1.200031004</v>
      </c>
      <c r="OB8">
        <v>1.3153978340000001</v>
      </c>
      <c r="OC8">
        <v>6.7466154439999997</v>
      </c>
      <c r="OD8">
        <v>21.5612399</v>
      </c>
      <c r="OE8">
        <v>7.8150624579999999</v>
      </c>
      <c r="OF8">
        <v>3.9120440200000002</v>
      </c>
      <c r="OG8">
        <v>40.462276410000001</v>
      </c>
      <c r="OH8">
        <v>5.8380157290000003</v>
      </c>
      <c r="OI8">
        <v>2.7105014180000002</v>
      </c>
      <c r="OJ8">
        <v>1.794990547</v>
      </c>
      <c r="OK8">
        <v>15.385088830000001</v>
      </c>
      <c r="OL8">
        <v>2.1379647730000002</v>
      </c>
      <c r="OM8">
        <v>-8.5022312510000003E-2</v>
      </c>
      <c r="ON8">
        <v>2.6155298</v>
      </c>
      <c r="OO8">
        <v>8.7906659999999999</v>
      </c>
      <c r="OP8">
        <v>9.1100890000000003</v>
      </c>
      <c r="OQ8">
        <v>17.900755</v>
      </c>
      <c r="OR8">
        <v>1.7546140619999999</v>
      </c>
      <c r="OS8" s="2">
        <v>7.9580436459999998E-5</v>
      </c>
      <c r="OT8">
        <v>2.8732393929999998E-3</v>
      </c>
      <c r="OU8" s="2">
        <v>7.9580436459999998E-5</v>
      </c>
      <c r="OV8">
        <v>2.0210115450000001E-3</v>
      </c>
      <c r="OW8">
        <v>2.6486914549999998E-3</v>
      </c>
      <c r="OX8">
        <v>2.245479383E-4</v>
      </c>
      <c r="OY8">
        <v>6.1479539479999996</v>
      </c>
      <c r="OZ8">
        <v>1.4532541489999999</v>
      </c>
      <c r="PA8">
        <v>1.8335602440000001</v>
      </c>
      <c r="PB8">
        <v>7.5946352460000002</v>
      </c>
      <c r="PC8">
        <v>92.56080145</v>
      </c>
      <c r="PD8">
        <v>2.1166241650000002</v>
      </c>
      <c r="PE8">
        <v>-5.7339968730000003E-2</v>
      </c>
      <c r="PF8">
        <v>2.468688464</v>
      </c>
      <c r="PG8">
        <v>7.5987679999999997</v>
      </c>
      <c r="PH8">
        <v>8.0345870000000001</v>
      </c>
      <c r="PI8">
        <v>15.633355</v>
      </c>
      <c r="PJ8">
        <v>1.7455474630000001</v>
      </c>
      <c r="PK8" s="2">
        <v>7.6651874690000004E-5</v>
      </c>
      <c r="PL8">
        <v>2.8650195709999998E-3</v>
      </c>
      <c r="PM8" s="2">
        <v>7.6651874690000004E-5</v>
      </c>
      <c r="PN8">
        <v>2.0202642850000001E-3</v>
      </c>
      <c r="PO8">
        <v>2.645973715E-3</v>
      </c>
      <c r="PP8">
        <v>2.1904585550000001E-4</v>
      </c>
      <c r="PQ8">
        <v>6.1413434349999996</v>
      </c>
      <c r="PR8">
        <v>1.379274374</v>
      </c>
      <c r="PS8">
        <v>1.6838479660000001</v>
      </c>
      <c r="PT8">
        <v>7.5800937599999996</v>
      </c>
      <c r="PU8">
        <v>92.535190510000007</v>
      </c>
      <c r="PV8">
        <v>7.1871044480000004</v>
      </c>
      <c r="PW8">
        <v>1.7173223520000001</v>
      </c>
      <c r="PX8">
        <v>2.2182073359999999</v>
      </c>
      <c r="PY8">
        <v>9.2384027960000008</v>
      </c>
      <c r="PZ8">
        <v>92.491137469999998</v>
      </c>
      <c r="QA8">
        <v>7.1835359780000001</v>
      </c>
      <c r="QB8">
        <v>1.6454629869999999</v>
      </c>
      <c r="QC8">
        <v>2.041945729</v>
      </c>
      <c r="QD8">
        <v>9.2465729999999997</v>
      </c>
      <c r="QE8">
        <v>92.485364200000006</v>
      </c>
      <c r="QF8" s="2">
        <v>8.7012106140000001E-5</v>
      </c>
      <c r="QG8">
        <v>2.4334973380000001E-3</v>
      </c>
      <c r="QH8">
        <v>3.2801736619999999E-3</v>
      </c>
      <c r="QI8">
        <v>2.653947328E-4</v>
      </c>
      <c r="QJ8" s="2">
        <v>8.3710210469999999E-5</v>
      </c>
      <c r="QK8">
        <v>2.4330247990000001E-3</v>
      </c>
      <c r="QL8">
        <v>3.2788292010000001E-3</v>
      </c>
      <c r="QM8">
        <v>2.587228158E-4</v>
      </c>
      <c r="QN8">
        <v>4.9329595499999996</v>
      </c>
      <c r="QO8">
        <v>3.5087101280000002</v>
      </c>
      <c r="QP8">
        <v>177.97998190000001</v>
      </c>
      <c r="QQ8">
        <v>10.227908709999999</v>
      </c>
      <c r="QR8">
        <v>4.9461453649999996</v>
      </c>
      <c r="QS8">
        <v>3.508051697</v>
      </c>
      <c r="QT8">
        <v>10.22962484</v>
      </c>
      <c r="QU8">
        <v>177.97645</v>
      </c>
    </row>
    <row r="9" spans="1:463" x14ac:dyDescent="0.2">
      <c r="A9" t="s">
        <v>279</v>
      </c>
      <c r="B9" s="2">
        <v>-3.4875823699999999E-12</v>
      </c>
      <c r="C9" s="2">
        <v>1.610798577E-13</v>
      </c>
      <c r="D9">
        <v>9.1030319370000005E-4</v>
      </c>
      <c r="E9">
        <v>5.3540301229999997E-2</v>
      </c>
      <c r="F9">
        <v>0.45472501129999998</v>
      </c>
      <c r="G9">
        <v>2.7963189909999998E-3</v>
      </c>
      <c r="H9">
        <v>0.16446801699999999</v>
      </c>
      <c r="I9">
        <v>1.3968490870000001</v>
      </c>
      <c r="J9">
        <v>32.552714539999997</v>
      </c>
      <c r="K9">
        <v>32.553624839999998</v>
      </c>
      <c r="L9">
        <v>32.553624839999998</v>
      </c>
      <c r="M9">
        <v>32.553624839999998</v>
      </c>
      <c r="N9">
        <v>32.500084540000003</v>
      </c>
      <c r="O9">
        <v>32.553624839999998</v>
      </c>
      <c r="P9">
        <v>32.098899830000001</v>
      </c>
      <c r="Q9">
        <v>32.553624839999998</v>
      </c>
      <c r="R9">
        <v>5.6963693720000004</v>
      </c>
      <c r="S9">
        <v>1.0722765089999999</v>
      </c>
      <c r="T9">
        <v>3.3811780420000002</v>
      </c>
      <c r="U9">
        <v>8.8003503389999995</v>
      </c>
      <c r="V9">
        <v>6.8392659599999996</v>
      </c>
      <c r="W9">
        <v>1.211575434</v>
      </c>
      <c r="X9">
        <v>4.4293788489999999</v>
      </c>
      <c r="Y9">
        <v>9.9766971630000008</v>
      </c>
      <c r="Z9">
        <v>12.53563533</v>
      </c>
      <c r="AA9">
        <v>1.5180696490000001</v>
      </c>
      <c r="AB9">
        <v>8.2011939999999992</v>
      </c>
      <c r="AC9">
        <v>15.506902</v>
      </c>
      <c r="AD9">
        <v>3.4508029740000001</v>
      </c>
      <c r="AE9">
        <v>0.63248516659999998</v>
      </c>
      <c r="AF9">
        <v>2.0503836600000001</v>
      </c>
      <c r="AG9">
        <v>6.074303231</v>
      </c>
      <c r="AH9">
        <v>12.53563533</v>
      </c>
      <c r="AI9">
        <v>1.5180696490000001</v>
      </c>
      <c r="AJ9">
        <v>8.2011939999999992</v>
      </c>
      <c r="AK9">
        <v>15.506902</v>
      </c>
      <c r="AL9">
        <v>1.948151414</v>
      </c>
      <c r="AM9">
        <v>0.36566515820000001</v>
      </c>
      <c r="AN9">
        <v>1.1290798339999999</v>
      </c>
      <c r="AO9">
        <v>2.943729845</v>
      </c>
      <c r="AP9">
        <v>2.3641628849999998</v>
      </c>
      <c r="AQ9">
        <v>0.38358360889999998</v>
      </c>
      <c r="AR9">
        <v>1.43446852</v>
      </c>
      <c r="AS9">
        <v>3.3040000269999998</v>
      </c>
      <c r="AT9">
        <v>2.4107553069999999E-2</v>
      </c>
      <c r="AU9">
        <v>0.44606801439999999</v>
      </c>
      <c r="AV9">
        <v>-1.4842726260000001</v>
      </c>
      <c r="AW9">
        <v>1.1043088889999999</v>
      </c>
      <c r="AX9">
        <v>2.6103066959999999</v>
      </c>
      <c r="AY9">
        <v>0.63128461229999999</v>
      </c>
      <c r="AZ9">
        <v>1.645396853</v>
      </c>
      <c r="BA9">
        <v>5.2898851530000002</v>
      </c>
      <c r="BB9">
        <v>0.16905676510000001</v>
      </c>
      <c r="BC9">
        <v>7.2515504470000006E-2</v>
      </c>
      <c r="BD9">
        <v>8.1675555270000005E-2</v>
      </c>
      <c r="BE9">
        <v>0.74192249740000005</v>
      </c>
      <c r="BF9">
        <v>11.676408289999999</v>
      </c>
      <c r="BG9">
        <v>1.704405875</v>
      </c>
      <c r="BH9">
        <v>7.1521000900000002</v>
      </c>
      <c r="BI9">
        <v>17.701119899999998</v>
      </c>
      <c r="BJ9">
        <v>2.7687376989999999</v>
      </c>
      <c r="BK9">
        <v>3.6349280730000002</v>
      </c>
      <c r="BL9">
        <v>6.6342326399999998E-2</v>
      </c>
      <c r="BM9">
        <v>21.994230000000002</v>
      </c>
      <c r="BN9">
        <v>4.3515065259999997</v>
      </c>
      <c r="BO9">
        <v>1.0387728629999999</v>
      </c>
      <c r="BP9">
        <v>2.2499522600000001</v>
      </c>
      <c r="BQ9">
        <v>6.9245478570000003</v>
      </c>
      <c r="BR9">
        <v>66.768390319999995</v>
      </c>
      <c r="BS9">
        <v>21.20055357</v>
      </c>
      <c r="BT9">
        <v>13.478496789999999</v>
      </c>
      <c r="BU9">
        <v>122.4356537</v>
      </c>
      <c r="BV9">
        <v>5.3519666560000001</v>
      </c>
      <c r="BW9">
        <v>0.9188448588</v>
      </c>
      <c r="BX9">
        <v>3.3811780420000002</v>
      </c>
      <c r="BY9">
        <v>8.1795409659999994</v>
      </c>
      <c r="BZ9">
        <v>6.1696596540000002</v>
      </c>
      <c r="CA9">
        <v>0.97639829460000005</v>
      </c>
      <c r="CB9">
        <v>3.7465833470000001</v>
      </c>
      <c r="CC9">
        <v>8.0512617819999992</v>
      </c>
      <c r="CD9">
        <v>11.52162631</v>
      </c>
      <c r="CE9">
        <v>0.90297337050000004</v>
      </c>
      <c r="CF9">
        <v>8.2011939999999992</v>
      </c>
      <c r="CG9">
        <v>12.707331999999999</v>
      </c>
      <c r="CH9">
        <v>3.3428198139999998</v>
      </c>
      <c r="CI9">
        <v>0.58222206359999995</v>
      </c>
      <c r="CJ9">
        <v>2.0503836600000001</v>
      </c>
      <c r="CK9">
        <v>5.6040112860000004</v>
      </c>
      <c r="CL9">
        <v>11.52162631</v>
      </c>
      <c r="CM9">
        <v>0.90297337050000004</v>
      </c>
      <c r="CN9">
        <v>8.2011939999999992</v>
      </c>
      <c r="CO9">
        <v>12.707331999999999</v>
      </c>
      <c r="CP9">
        <v>1.936539032</v>
      </c>
      <c r="CQ9">
        <v>0.35932885860000002</v>
      </c>
      <c r="CR9">
        <v>1.1277150549999999</v>
      </c>
      <c r="CS9">
        <v>2.9351568270000001</v>
      </c>
      <c r="CT9">
        <v>2.3418120079999998</v>
      </c>
      <c r="CU9">
        <v>0.3717958214</v>
      </c>
      <c r="CV9">
        <v>1.4304104419999999</v>
      </c>
      <c r="CW9">
        <v>3.2778731419999998</v>
      </c>
      <c r="CX9">
        <v>3.2218199939999997E-2</v>
      </c>
      <c r="CY9">
        <v>0.43069329639999998</v>
      </c>
      <c r="CZ9">
        <v>-1.3490022150000001</v>
      </c>
      <c r="DA9">
        <v>1.094037572</v>
      </c>
      <c r="DB9">
        <v>2.526618681</v>
      </c>
      <c r="DC9">
        <v>0.57119182059999996</v>
      </c>
      <c r="DD9">
        <v>1.6357127890000001</v>
      </c>
      <c r="DE9">
        <v>5.0622951010000001</v>
      </c>
      <c r="DF9">
        <v>0.1635667388</v>
      </c>
      <c r="DG9">
        <v>6.9199749199999994E-2</v>
      </c>
      <c r="DH9">
        <v>7.7376841840000002E-2</v>
      </c>
      <c r="DI9">
        <v>0.65948666440000003</v>
      </c>
      <c r="DJ9">
        <v>11.49494007</v>
      </c>
      <c r="DK9">
        <v>1.5644845780000001</v>
      </c>
      <c r="DL9">
        <v>7.1521000900000002</v>
      </c>
      <c r="DM9">
        <v>16.317385819999998</v>
      </c>
      <c r="DN9">
        <v>3.94620996</v>
      </c>
      <c r="DO9">
        <v>4.056404841</v>
      </c>
      <c r="DP9">
        <v>6.6342326399999998E-2</v>
      </c>
      <c r="DQ9">
        <v>21.994230000000002</v>
      </c>
      <c r="DR9">
        <v>4.3470536099999997</v>
      </c>
      <c r="DS9">
        <v>1.0339714529999999</v>
      </c>
      <c r="DT9">
        <v>2.249862024</v>
      </c>
      <c r="DU9">
        <v>6.9254059000000003</v>
      </c>
      <c r="DV9">
        <v>69.148537829999995</v>
      </c>
      <c r="DW9">
        <v>22.11976078</v>
      </c>
      <c r="DX9">
        <v>15.16330889</v>
      </c>
      <c r="DY9">
        <v>129.23763439999999</v>
      </c>
      <c r="DZ9">
        <v>3.0220952620000001</v>
      </c>
      <c r="EA9">
        <v>0.59408231820000001</v>
      </c>
      <c r="EB9">
        <v>1.7187029300000001</v>
      </c>
      <c r="EC9">
        <v>5.2649299389999999</v>
      </c>
      <c r="ED9">
        <v>3.3436002189999998</v>
      </c>
      <c r="EE9">
        <v>0.46026108850000003</v>
      </c>
      <c r="EF9">
        <v>2.1466688230000002</v>
      </c>
      <c r="EG9">
        <v>5.1773481190000004</v>
      </c>
      <c r="EH9">
        <v>6.3656954810000004</v>
      </c>
      <c r="EI9">
        <v>0.89090628049999998</v>
      </c>
      <c r="EJ9">
        <v>4.3881871429999997</v>
      </c>
      <c r="EK9">
        <v>8.9869297140000004</v>
      </c>
      <c r="EL9">
        <v>2.4074320079999998</v>
      </c>
      <c r="EM9">
        <v>0.28859297649999999</v>
      </c>
      <c r="EN9">
        <v>1.777656635</v>
      </c>
      <c r="EO9">
        <v>3.1193584630000002</v>
      </c>
      <c r="EP9">
        <v>10.010406959999999</v>
      </c>
      <c r="EQ9">
        <v>1.8095116259999999</v>
      </c>
      <c r="ER9">
        <v>6.1125939999999996</v>
      </c>
      <c r="ES9">
        <v>14.684347000000001</v>
      </c>
      <c r="ET9">
        <v>0.83115336480000002</v>
      </c>
      <c r="EU9">
        <v>0.1174794198</v>
      </c>
      <c r="EV9">
        <v>0.54464034169999997</v>
      </c>
      <c r="EW9">
        <v>1.1230636549999999</v>
      </c>
      <c r="EX9">
        <v>1.0860329369999999</v>
      </c>
      <c r="EY9">
        <v>0.15393190879999999</v>
      </c>
      <c r="EZ9">
        <v>0.71196704590000004</v>
      </c>
      <c r="FA9">
        <v>1.476788</v>
      </c>
      <c r="FB9">
        <v>-3.8585774890000001E-2</v>
      </c>
      <c r="FC9">
        <v>0.28414821359999998</v>
      </c>
      <c r="FD9">
        <v>-0.70144136369999999</v>
      </c>
      <c r="FE9">
        <v>0.8468344766</v>
      </c>
      <c r="FF9">
        <v>3.9573843360000001</v>
      </c>
      <c r="FG9">
        <v>0.57847186260000005</v>
      </c>
      <c r="FH9">
        <v>2.955626842</v>
      </c>
      <c r="FI9">
        <v>5.7499299869999998</v>
      </c>
      <c r="FJ9">
        <v>4.7778584659999996</v>
      </c>
      <c r="FK9">
        <v>1.2214467550000001</v>
      </c>
      <c r="FL9">
        <v>2.6600952430000002</v>
      </c>
      <c r="FM9">
        <v>8.8747632830000001</v>
      </c>
      <c r="FN9">
        <v>5.2325484910000002</v>
      </c>
      <c r="FO9">
        <v>1.194315408</v>
      </c>
      <c r="FP9">
        <v>2.858409843</v>
      </c>
      <c r="FQ9">
        <v>9.842160281</v>
      </c>
      <c r="FR9">
        <v>9.3455985049999999</v>
      </c>
      <c r="FS9">
        <v>1.6944555370000001</v>
      </c>
      <c r="FT9">
        <v>5.8581099999999999</v>
      </c>
      <c r="FU9">
        <v>14.209746000000001</v>
      </c>
      <c r="FV9">
        <v>7.3483142580000003</v>
      </c>
      <c r="FW9">
        <v>1.9805599700000001</v>
      </c>
      <c r="FX9">
        <v>3.5213649999999999</v>
      </c>
      <c r="FY9">
        <v>13.876925999999999</v>
      </c>
      <c r="FZ9">
        <v>6.215899984E-2</v>
      </c>
      <c r="GA9">
        <v>1.081783796E-2</v>
      </c>
      <c r="GB9">
        <v>4.5197851079999997E-2</v>
      </c>
      <c r="GC9">
        <v>0.1116391833</v>
      </c>
      <c r="GD9">
        <v>11.34952644</v>
      </c>
      <c r="GE9">
        <v>1.6271076470000001</v>
      </c>
      <c r="GF9">
        <v>7.0155066279999998</v>
      </c>
      <c r="GG9">
        <v>15.244533669999999</v>
      </c>
      <c r="GH9">
        <v>0.71297069759999998</v>
      </c>
      <c r="GI9">
        <v>0.658032387</v>
      </c>
      <c r="GJ9">
        <v>2.4624476730000001E-2</v>
      </c>
      <c r="GK9">
        <v>3.669047033</v>
      </c>
      <c r="GL9">
        <v>1.588181096</v>
      </c>
      <c r="GM9">
        <v>0.23680191549999999</v>
      </c>
      <c r="GN9">
        <v>1.0347187799999999</v>
      </c>
      <c r="GO9">
        <v>2.1933924280000001</v>
      </c>
      <c r="GP9">
        <v>6.675413099</v>
      </c>
      <c r="GQ9">
        <v>1.457260392</v>
      </c>
      <c r="GR9">
        <v>3.9645407540000002</v>
      </c>
      <c r="GS9">
        <v>10.563900520000001</v>
      </c>
      <c r="GT9">
        <v>165.23641810000001</v>
      </c>
      <c r="GU9">
        <v>25.76460866</v>
      </c>
      <c r="GV9">
        <v>89.574284809999995</v>
      </c>
      <c r="GW9">
        <v>221.24945679999999</v>
      </c>
      <c r="GX9">
        <v>2.9815531649999998</v>
      </c>
      <c r="GY9">
        <v>0.57348614440000001</v>
      </c>
      <c r="GZ9">
        <v>1.718703077</v>
      </c>
      <c r="HA9">
        <v>4.9727422309999998</v>
      </c>
      <c r="HB9">
        <v>3.2277660039999998</v>
      </c>
      <c r="HC9">
        <v>0.39288977000000003</v>
      </c>
      <c r="HD9">
        <v>2.1466688230000002</v>
      </c>
      <c r="HE9">
        <v>4.3185658350000002</v>
      </c>
      <c r="HF9">
        <v>6.2093191689999996</v>
      </c>
      <c r="HG9">
        <v>0.80058147160000004</v>
      </c>
      <c r="HH9">
        <v>4.3881925710000003</v>
      </c>
      <c r="HI9">
        <v>8.3564855710000003</v>
      </c>
      <c r="HJ9">
        <v>2.3570230919999999</v>
      </c>
      <c r="HK9">
        <v>0.26402283659999998</v>
      </c>
      <c r="HL9">
        <v>1.7738472139999999</v>
      </c>
      <c r="HM9">
        <v>3.0347058090000001</v>
      </c>
      <c r="HN9">
        <v>9.5783295319999997</v>
      </c>
      <c r="HO9">
        <v>1.4672672440000001</v>
      </c>
      <c r="HP9">
        <v>6.1126560000000003</v>
      </c>
      <c r="HQ9">
        <v>14.054275000000001</v>
      </c>
      <c r="HR9">
        <v>0.82421685140000001</v>
      </c>
      <c r="HS9">
        <v>0.11358301329999999</v>
      </c>
      <c r="HT9">
        <v>0.54464034169999997</v>
      </c>
      <c r="HU9">
        <v>1.117174103</v>
      </c>
      <c r="HV9">
        <v>1.073640894</v>
      </c>
      <c r="HW9">
        <v>0.14707291659999999</v>
      </c>
      <c r="HX9">
        <v>0.71196704590000004</v>
      </c>
      <c r="HY9">
        <v>1.4602627020000001</v>
      </c>
      <c r="HZ9">
        <v>-2.485074323E-2</v>
      </c>
      <c r="IA9">
        <v>0.28426188619999998</v>
      </c>
      <c r="IB9">
        <v>-0.67882376779999998</v>
      </c>
      <c r="IC9">
        <v>0.79937687930000001</v>
      </c>
      <c r="ID9">
        <v>3.8910754440000002</v>
      </c>
      <c r="IE9">
        <v>0.57795251079999999</v>
      </c>
      <c r="IF9">
        <v>2.8958588729999999</v>
      </c>
      <c r="IG9">
        <v>5.7674768360000002</v>
      </c>
      <c r="IH9">
        <v>4.6806109060000001</v>
      </c>
      <c r="II9">
        <v>1.102658374</v>
      </c>
      <c r="IJ9">
        <v>2.6600952430000002</v>
      </c>
      <c r="IK9">
        <v>8.7982822709999997</v>
      </c>
      <c r="IL9">
        <v>4.8977186250000004</v>
      </c>
      <c r="IM9">
        <v>0.99644822020000001</v>
      </c>
      <c r="IN9">
        <v>2.8584098180000002</v>
      </c>
      <c r="IO9">
        <v>7.9875792380000004</v>
      </c>
      <c r="IP9">
        <v>8.8770595889999999</v>
      </c>
      <c r="IQ9">
        <v>1.301934988</v>
      </c>
      <c r="IR9">
        <v>5.8581490000000001</v>
      </c>
      <c r="IS9">
        <v>12.328913</v>
      </c>
      <c r="IT9">
        <v>7.0793682159999998</v>
      </c>
      <c r="IU9">
        <v>1.7869563559999999</v>
      </c>
      <c r="IV9">
        <v>2.8961329999999998</v>
      </c>
      <c r="IW9">
        <v>11.302129000000001</v>
      </c>
      <c r="IX9">
        <v>6.1162317250000001E-2</v>
      </c>
      <c r="IY9">
        <v>1.0665008760000001E-2</v>
      </c>
      <c r="IZ9">
        <v>4.286558125E-2</v>
      </c>
      <c r="JA9">
        <v>0.1116391833</v>
      </c>
      <c r="JB9">
        <v>11.197779779999999</v>
      </c>
      <c r="JC9">
        <v>1.5255923</v>
      </c>
      <c r="JD9">
        <v>7.0155066279999998</v>
      </c>
      <c r="JE9">
        <v>14.74416411</v>
      </c>
      <c r="JF9">
        <v>0.71839043339999997</v>
      </c>
      <c r="JG9">
        <v>0.64514653970000002</v>
      </c>
      <c r="JH9">
        <v>2.4624476730000001E-2</v>
      </c>
      <c r="JI9">
        <v>3.6444225559999999</v>
      </c>
      <c r="JJ9">
        <v>1.5815976540000001</v>
      </c>
      <c r="JK9">
        <v>0.23443754159999999</v>
      </c>
      <c r="JL9">
        <v>1.034718665</v>
      </c>
      <c r="JM9">
        <v>2.1885237399999999</v>
      </c>
      <c r="JN9">
        <v>6.8701942039999997</v>
      </c>
      <c r="JO9">
        <v>1.464399346</v>
      </c>
      <c r="JP9">
        <v>3.8167938929999998</v>
      </c>
      <c r="JQ9">
        <v>10.73627185</v>
      </c>
      <c r="JR9">
        <v>167.9554665</v>
      </c>
      <c r="JS9">
        <v>26.34919077</v>
      </c>
      <c r="JT9">
        <v>89.574284809999995</v>
      </c>
      <c r="JU9">
        <v>233.28739999999999</v>
      </c>
      <c r="JV9">
        <v>3.531495499</v>
      </c>
      <c r="JW9">
        <v>0.97304838569999996</v>
      </c>
      <c r="JX9">
        <v>1.760838846</v>
      </c>
      <c r="JY9">
        <v>6.1822752320000003</v>
      </c>
      <c r="JZ9">
        <v>3.398216417</v>
      </c>
      <c r="KA9">
        <v>0.94006104609999996</v>
      </c>
      <c r="KB9">
        <v>1.3572161540000001</v>
      </c>
      <c r="KC9">
        <v>6.8401340900000003</v>
      </c>
      <c r="KD9">
        <v>6.9297119159999996</v>
      </c>
      <c r="KE9">
        <v>1.308882812</v>
      </c>
      <c r="KF9">
        <v>3.118055</v>
      </c>
      <c r="KG9">
        <v>9.9263399999999997</v>
      </c>
      <c r="KH9">
        <v>5.2490182689999996</v>
      </c>
      <c r="KI9">
        <v>1.595903359</v>
      </c>
      <c r="KJ9">
        <v>2.170788333</v>
      </c>
      <c r="KK9">
        <v>8.6566770000000002</v>
      </c>
      <c r="KL9">
        <v>6.9297119159999996</v>
      </c>
      <c r="KM9">
        <v>1.308882812</v>
      </c>
      <c r="KN9">
        <v>3.118055</v>
      </c>
      <c r="KO9">
        <v>9.9263399999999997</v>
      </c>
      <c r="KP9">
        <v>1.5887703259999999</v>
      </c>
      <c r="KQ9">
        <v>0.4096631879</v>
      </c>
      <c r="KR9">
        <v>0.61589083899999997</v>
      </c>
      <c r="KS9">
        <v>2.673209333</v>
      </c>
      <c r="KT9">
        <v>1.9160567230000001</v>
      </c>
      <c r="KU9">
        <v>0.42996234220000001</v>
      </c>
      <c r="KV9">
        <v>0.75698869430000004</v>
      </c>
      <c r="KW9">
        <v>2.9887890509999999</v>
      </c>
      <c r="KX9">
        <v>0.14902814650000001</v>
      </c>
      <c r="KY9">
        <v>0.61080680720000002</v>
      </c>
      <c r="KZ9">
        <v>-1.694263726</v>
      </c>
      <c r="LA9">
        <v>1.6712906240000001</v>
      </c>
      <c r="LB9">
        <v>2.49769642</v>
      </c>
      <c r="LC9">
        <v>0.90202484709999997</v>
      </c>
      <c r="LD9">
        <v>1.3856379860000001</v>
      </c>
      <c r="LE9">
        <v>5.8631825590000002</v>
      </c>
      <c r="LF9">
        <v>2.174395031</v>
      </c>
      <c r="LG9">
        <v>1.0471285260000001</v>
      </c>
      <c r="LH9">
        <v>0.64307999780000002</v>
      </c>
      <c r="LI9">
        <v>5.5324199810000003</v>
      </c>
      <c r="LJ9">
        <v>0.25904058880000003</v>
      </c>
      <c r="LK9">
        <v>4.9525798900000001E-2</v>
      </c>
      <c r="LL9">
        <v>0.1620531134</v>
      </c>
      <c r="LM9">
        <v>0.41345507279999999</v>
      </c>
      <c r="LN9">
        <v>17.091926619999999</v>
      </c>
      <c r="LO9">
        <v>8.7699906680000002</v>
      </c>
      <c r="LP9">
        <v>2.0787262270000002</v>
      </c>
      <c r="LQ9">
        <v>39.47509282</v>
      </c>
      <c r="LR9">
        <v>3.602250411</v>
      </c>
      <c r="LS9">
        <v>1.2255718840000001</v>
      </c>
      <c r="LT9">
        <v>1.272244457</v>
      </c>
      <c r="LU9">
        <v>6.879559102</v>
      </c>
      <c r="LV9">
        <v>21.252917849999999</v>
      </c>
      <c r="LW9">
        <v>7.8205990390000002</v>
      </c>
      <c r="LX9">
        <v>0</v>
      </c>
      <c r="LY9">
        <v>40.004422820000002</v>
      </c>
      <c r="LZ9">
        <v>5.748938689</v>
      </c>
      <c r="MA9">
        <v>2.8543053970000001</v>
      </c>
      <c r="MB9">
        <v>1.807527273</v>
      </c>
      <c r="MC9">
        <v>15.55016489</v>
      </c>
      <c r="MD9">
        <v>3.4972386329999998</v>
      </c>
      <c r="ME9">
        <v>0.93683897709999997</v>
      </c>
      <c r="MF9">
        <v>1.7593294189999999</v>
      </c>
      <c r="MG9">
        <v>6.0804174299999998</v>
      </c>
      <c r="MH9">
        <v>3.3509080670000002</v>
      </c>
      <c r="MI9">
        <v>0.89976408649999995</v>
      </c>
      <c r="MJ9">
        <v>1.3587255810000001</v>
      </c>
      <c r="MK9">
        <v>6.426546493</v>
      </c>
      <c r="ML9">
        <v>6.8481467</v>
      </c>
      <c r="MM9">
        <v>1.2486663689999999</v>
      </c>
      <c r="MN9">
        <v>3.118055</v>
      </c>
      <c r="MO9">
        <v>9.8077860000000001</v>
      </c>
      <c r="MP9">
        <v>5.1682637700000003</v>
      </c>
      <c r="MQ9">
        <v>1.5121034900000001</v>
      </c>
      <c r="MR9">
        <v>2.1699663330000001</v>
      </c>
      <c r="MS9">
        <v>8.4435230000000008</v>
      </c>
      <c r="MT9">
        <v>6.8481467</v>
      </c>
      <c r="MU9">
        <v>1.2486663689999999</v>
      </c>
      <c r="MV9">
        <v>3.118055</v>
      </c>
      <c r="MW9">
        <v>9.8077860000000001</v>
      </c>
      <c r="MX9">
        <v>1.578829861</v>
      </c>
      <c r="MY9">
        <v>0.40635392660000003</v>
      </c>
      <c r="MZ9">
        <v>0.61490547210000002</v>
      </c>
      <c r="NA9">
        <v>2.6652326830000002</v>
      </c>
      <c r="NB9">
        <v>1.9004216620000001</v>
      </c>
      <c r="NC9">
        <v>0.42475119140000001</v>
      </c>
      <c r="ND9">
        <v>0.75654778119999999</v>
      </c>
      <c r="NE9">
        <v>2.9683998140000001</v>
      </c>
      <c r="NF9">
        <v>0.14970056440000001</v>
      </c>
      <c r="NG9">
        <v>0.59274324599999995</v>
      </c>
      <c r="NH9">
        <v>-1.6481342400000001</v>
      </c>
      <c r="NI9">
        <v>1.5224325000000001</v>
      </c>
      <c r="NJ9">
        <v>2.4654192730000002</v>
      </c>
      <c r="NK9">
        <v>0.85280846430000001</v>
      </c>
      <c r="NL9">
        <v>1.385755104</v>
      </c>
      <c r="NM9">
        <v>5.8290087850000001</v>
      </c>
      <c r="NN9">
        <v>2.1494302250000001</v>
      </c>
      <c r="NO9">
        <v>1.007420497</v>
      </c>
      <c r="NP9">
        <v>0.64307999780000002</v>
      </c>
      <c r="NQ9">
        <v>5.529659981</v>
      </c>
      <c r="NR9">
        <v>0.25637501839999999</v>
      </c>
      <c r="NS9">
        <v>4.7227690580000002E-2</v>
      </c>
      <c r="NT9">
        <v>0.1620531134</v>
      </c>
      <c r="NU9">
        <v>0.39126971249999998</v>
      </c>
      <c r="NV9">
        <v>17.17890817</v>
      </c>
      <c r="NW9">
        <v>8.776936697</v>
      </c>
      <c r="NX9">
        <v>1.7027863780000001</v>
      </c>
      <c r="NY9">
        <v>39.653635989999998</v>
      </c>
      <c r="NZ9">
        <v>3.5909256780000001</v>
      </c>
      <c r="OA9">
        <v>1.2194358599999999</v>
      </c>
      <c r="OB9">
        <v>1.2726712630000001</v>
      </c>
      <c r="OC9">
        <v>6.8664005570000004</v>
      </c>
      <c r="OD9">
        <v>21.3765368</v>
      </c>
      <c r="OE9">
        <v>7.7351357060000003</v>
      </c>
      <c r="OF9">
        <v>0</v>
      </c>
      <c r="OG9">
        <v>40.092879259999997</v>
      </c>
      <c r="OH9">
        <v>5.7595961940000002</v>
      </c>
      <c r="OI9">
        <v>2.8088155920000002</v>
      </c>
      <c r="OJ9">
        <v>1.808429458</v>
      </c>
      <c r="OK9">
        <v>15.55016489</v>
      </c>
      <c r="OL9">
        <v>2.2035216900000001</v>
      </c>
      <c r="OM9">
        <v>-0.1137745034</v>
      </c>
      <c r="ON9">
        <v>2.6793927740000001</v>
      </c>
      <c r="OO9">
        <v>8.9751119999999993</v>
      </c>
      <c r="OP9">
        <v>10.045055</v>
      </c>
      <c r="OQ9">
        <v>19.020167000000001</v>
      </c>
      <c r="OR9">
        <v>1.8028552879999999</v>
      </c>
      <c r="OS9" s="2">
        <v>8.2707817490000003E-5</v>
      </c>
      <c r="OT9">
        <v>2.9433499580000001E-3</v>
      </c>
      <c r="OU9" s="2">
        <v>8.2707817490000003E-5</v>
      </c>
      <c r="OV9">
        <v>2.072546906E-3</v>
      </c>
      <c r="OW9">
        <v>2.7064170940000001E-3</v>
      </c>
      <c r="OX9">
        <v>2.3693286399999999E-4</v>
      </c>
      <c r="OY9">
        <v>6.2933703459999997</v>
      </c>
      <c r="OZ9">
        <v>1.5085376829999999</v>
      </c>
      <c r="PA9">
        <v>1.9777057039999999</v>
      </c>
      <c r="PB9">
        <v>7.539561086</v>
      </c>
      <c r="PC9">
        <v>92.288967790000001</v>
      </c>
      <c r="PD9">
        <v>2.1797129659999999</v>
      </c>
      <c r="PE9">
        <v>-7.9991213490000004E-2</v>
      </c>
      <c r="PF9">
        <v>2.5113935359999999</v>
      </c>
      <c r="PG9">
        <v>7.7348030000000003</v>
      </c>
      <c r="PH9">
        <v>8.3968539999999994</v>
      </c>
      <c r="PI9">
        <v>16.131657000000001</v>
      </c>
      <c r="PJ9">
        <v>1.7929443860000001</v>
      </c>
      <c r="PK9" s="2">
        <v>7.9701366680000004E-5</v>
      </c>
      <c r="PL9">
        <v>2.9344150539999999E-3</v>
      </c>
      <c r="PM9" s="2">
        <v>7.9701366680000004E-5</v>
      </c>
      <c r="PN9">
        <v>2.0719129899999999E-3</v>
      </c>
      <c r="PO9">
        <v>2.7038070099999999E-3</v>
      </c>
      <c r="PP9">
        <v>2.306080441E-4</v>
      </c>
      <c r="PQ9">
        <v>6.2975184180000001</v>
      </c>
      <c r="PR9">
        <v>1.4309898320000001</v>
      </c>
      <c r="PS9">
        <v>1.8104722689999999</v>
      </c>
      <c r="PT9">
        <v>7.4716211570000004</v>
      </c>
      <c r="PU9">
        <v>92.301399520000004</v>
      </c>
      <c r="PV9">
        <v>7.3528021089999998</v>
      </c>
      <c r="PW9">
        <v>1.7755092020000001</v>
      </c>
      <c r="PX9">
        <v>2.3243798259999999</v>
      </c>
      <c r="PY9">
        <v>9.0016446749999997</v>
      </c>
      <c r="PZ9">
        <v>92.293968829999997</v>
      </c>
      <c r="QA9">
        <v>7.3557513270000001</v>
      </c>
      <c r="QB9">
        <v>1.6997602430000001</v>
      </c>
      <c r="QC9">
        <v>2.13174961</v>
      </c>
      <c r="QD9">
        <v>8.9671574730000003</v>
      </c>
      <c r="QE9">
        <v>92.307956559999994</v>
      </c>
      <c r="QF9" s="2">
        <v>9.0729142740000001E-5</v>
      </c>
      <c r="QG9">
        <v>2.487897265E-3</v>
      </c>
      <c r="QH9">
        <v>3.332997735E-3</v>
      </c>
      <c r="QI9">
        <v>2.7666899680000001E-4</v>
      </c>
      <c r="QJ9" s="2">
        <v>8.7331525560000001E-5</v>
      </c>
      <c r="QK9">
        <v>2.4874437890000001E-3</v>
      </c>
      <c r="QL9">
        <v>3.3317852109999999E-3</v>
      </c>
      <c r="QM9">
        <v>2.6914578290000002E-4</v>
      </c>
      <c r="QN9">
        <v>4.8964767409999999</v>
      </c>
      <c r="QO9">
        <v>3.5017098679999998</v>
      </c>
      <c r="QP9">
        <v>177.98276229999999</v>
      </c>
      <c r="QQ9">
        <v>10.244955559999999</v>
      </c>
      <c r="QR9">
        <v>4.9128698560000004</v>
      </c>
      <c r="QS9">
        <v>3.5010807590000002</v>
      </c>
      <c r="QT9">
        <v>10.246737939999999</v>
      </c>
      <c r="QU9">
        <v>177.97944290000001</v>
      </c>
    </row>
    <row r="10" spans="1:463" x14ac:dyDescent="0.2">
      <c r="A10" t="s">
        <v>280</v>
      </c>
      <c r="B10" s="2">
        <v>3.5043255599999998E-12</v>
      </c>
      <c r="C10" s="2">
        <v>-2.1635409529999999E-12</v>
      </c>
      <c r="D10">
        <v>1.4340131899999999E-3</v>
      </c>
      <c r="E10">
        <v>3.8798340930000001E-2</v>
      </c>
      <c r="F10">
        <v>0.36610375789999999</v>
      </c>
      <c r="G10">
        <v>4.3965347369999998E-3</v>
      </c>
      <c r="H10">
        <v>0.1189516629</v>
      </c>
      <c r="I10">
        <v>1.1224359020000001</v>
      </c>
      <c r="J10">
        <v>32.615462610000002</v>
      </c>
      <c r="K10">
        <v>32.616896619999999</v>
      </c>
      <c r="L10">
        <v>32.616896619999999</v>
      </c>
      <c r="M10">
        <v>32.616896619999999</v>
      </c>
      <c r="N10">
        <v>32.578098279999999</v>
      </c>
      <c r="O10">
        <v>32.616896619999999</v>
      </c>
      <c r="P10">
        <v>32.250792869999998</v>
      </c>
      <c r="Q10">
        <v>32.616896619999999</v>
      </c>
      <c r="R10">
        <v>5.092477454</v>
      </c>
      <c r="S10">
        <v>0.96472870040000003</v>
      </c>
      <c r="T10">
        <v>3.1096002999999999</v>
      </c>
      <c r="U10">
        <v>7.4953392719999998</v>
      </c>
      <c r="V10">
        <v>5.3198408199999996</v>
      </c>
      <c r="W10">
        <v>1.03023782</v>
      </c>
      <c r="X10">
        <v>2.9467164069999998</v>
      </c>
      <c r="Y10">
        <v>8.5913786600000002</v>
      </c>
      <c r="Z10">
        <v>10.41231827</v>
      </c>
      <c r="AA10">
        <v>1.2715129489999999</v>
      </c>
      <c r="AB10">
        <v>7.3643429999999999</v>
      </c>
      <c r="AC10">
        <v>13.624064000000001</v>
      </c>
      <c r="AD10">
        <v>3.2382133419999999</v>
      </c>
      <c r="AE10">
        <v>0.73219542000000004</v>
      </c>
      <c r="AF10">
        <v>1.6599178619999999</v>
      </c>
      <c r="AG10">
        <v>6.32863825</v>
      </c>
      <c r="AH10">
        <v>10.41231827</v>
      </c>
      <c r="AI10">
        <v>1.2715129489999999</v>
      </c>
      <c r="AJ10">
        <v>7.3643429999999999</v>
      </c>
      <c r="AK10">
        <v>13.624064000000001</v>
      </c>
      <c r="AL10">
        <v>1.833442931</v>
      </c>
      <c r="AM10">
        <v>0.34455122539999999</v>
      </c>
      <c r="AN10">
        <v>1.037745554</v>
      </c>
      <c r="AO10">
        <v>2.7558958969999998</v>
      </c>
      <c r="AP10">
        <v>2.2156262130000002</v>
      </c>
      <c r="AQ10">
        <v>0.35744258509999999</v>
      </c>
      <c r="AR10">
        <v>1.368279955</v>
      </c>
      <c r="AS10">
        <v>3.1911667100000001</v>
      </c>
      <c r="AT10">
        <v>6.6286215479999994E-2</v>
      </c>
      <c r="AU10">
        <v>0.44042610049999997</v>
      </c>
      <c r="AV10">
        <v>-1.4907702780000001</v>
      </c>
      <c r="AW10">
        <v>1.043519058</v>
      </c>
      <c r="AX10">
        <v>2.5215645659999999</v>
      </c>
      <c r="AY10">
        <v>0.62450096170000002</v>
      </c>
      <c r="AZ10">
        <v>1.5967427789999999</v>
      </c>
      <c r="BA10">
        <v>4.6946015699999997</v>
      </c>
      <c r="BB10">
        <v>0.36358939350000002</v>
      </c>
      <c r="BC10">
        <v>0.1751087794</v>
      </c>
      <c r="BD10">
        <v>0.1189559996</v>
      </c>
      <c r="BE10">
        <v>1.307549995</v>
      </c>
      <c r="BF10">
        <v>4.3696697379999998</v>
      </c>
      <c r="BG10">
        <v>0.5615150659</v>
      </c>
      <c r="BH10">
        <v>3.15826115</v>
      </c>
      <c r="BI10">
        <v>6.1441820079999996</v>
      </c>
      <c r="BJ10">
        <v>4.5574165620000002</v>
      </c>
      <c r="BK10">
        <v>4.3665547150000004</v>
      </c>
      <c r="BL10">
        <v>4.4189129469999998E-2</v>
      </c>
      <c r="BM10">
        <v>20.25239242</v>
      </c>
      <c r="BN10">
        <v>4.0868145069999997</v>
      </c>
      <c r="BO10">
        <v>0.98325083000000002</v>
      </c>
      <c r="BP10">
        <v>2.0106798160000001</v>
      </c>
      <c r="BQ10">
        <v>6.8968974330000004</v>
      </c>
      <c r="BR10">
        <v>32.877891869999999</v>
      </c>
      <c r="BS10">
        <v>12.951361889999999</v>
      </c>
      <c r="BT10">
        <v>7.6478911199999997</v>
      </c>
      <c r="BU10">
        <v>84.064696479999995</v>
      </c>
      <c r="BV10">
        <v>4.8533134020000004</v>
      </c>
      <c r="BW10">
        <v>0.82104479139999997</v>
      </c>
      <c r="BX10">
        <v>3.1080977060000001</v>
      </c>
      <c r="BY10">
        <v>7.0539155750000004</v>
      </c>
      <c r="BZ10">
        <v>5.0990747819999998</v>
      </c>
      <c r="CA10">
        <v>0.92060326969999995</v>
      </c>
      <c r="CB10">
        <v>2.9467164069999998</v>
      </c>
      <c r="CC10">
        <v>7.6705946889999996</v>
      </c>
      <c r="CD10">
        <v>9.9523881840000001</v>
      </c>
      <c r="CE10">
        <v>1.049493456</v>
      </c>
      <c r="CF10">
        <v>7.3236559999999997</v>
      </c>
      <c r="CG10">
        <v>11.805254</v>
      </c>
      <c r="CH10">
        <v>3.1683376480000001</v>
      </c>
      <c r="CI10">
        <v>0.70247618489999997</v>
      </c>
      <c r="CJ10">
        <v>1.6599178619999999</v>
      </c>
      <c r="CK10">
        <v>6.1655677500000001</v>
      </c>
      <c r="CL10">
        <v>9.9523881840000001</v>
      </c>
      <c r="CM10">
        <v>1.049493456</v>
      </c>
      <c r="CN10">
        <v>7.3236559999999997</v>
      </c>
      <c r="CO10">
        <v>11.805254</v>
      </c>
      <c r="CP10">
        <v>1.82583753</v>
      </c>
      <c r="CQ10">
        <v>0.34049498010000001</v>
      </c>
      <c r="CR10">
        <v>1.037745554</v>
      </c>
      <c r="CS10">
        <v>2.7411704330000002</v>
      </c>
      <c r="CT10">
        <v>2.2015635530000002</v>
      </c>
      <c r="CU10">
        <v>0.35025557880000002</v>
      </c>
      <c r="CV10">
        <v>1.368279955</v>
      </c>
      <c r="CW10">
        <v>3.1647480090000002</v>
      </c>
      <c r="CX10">
        <v>6.5320131739999995E-2</v>
      </c>
      <c r="CY10">
        <v>0.4231869727</v>
      </c>
      <c r="CZ10">
        <v>-1.409139377</v>
      </c>
      <c r="DA10">
        <v>1.043519058</v>
      </c>
      <c r="DB10">
        <v>2.4702238740000002</v>
      </c>
      <c r="DC10">
        <v>0.581640249</v>
      </c>
      <c r="DD10">
        <v>1.5967427789999999</v>
      </c>
      <c r="DE10">
        <v>4.5020551309999997</v>
      </c>
      <c r="DF10">
        <v>0.35630554450000002</v>
      </c>
      <c r="DG10">
        <v>0.17371179749999999</v>
      </c>
      <c r="DH10">
        <v>0.1156516663</v>
      </c>
      <c r="DI10">
        <v>1.307549995</v>
      </c>
      <c r="DJ10">
        <v>4.3507702850000003</v>
      </c>
      <c r="DK10">
        <v>0.55160365720000004</v>
      </c>
      <c r="DL10">
        <v>3.15826115</v>
      </c>
      <c r="DM10">
        <v>6.0943558299999996</v>
      </c>
      <c r="DN10">
        <v>5.6441965979999997</v>
      </c>
      <c r="DO10">
        <v>4.5737991669999998</v>
      </c>
      <c r="DP10">
        <v>0.26513477680000003</v>
      </c>
      <c r="DQ10">
        <v>20.25239242</v>
      </c>
      <c r="DR10">
        <v>4.0837215210000002</v>
      </c>
      <c r="DS10">
        <v>0.97726955540000005</v>
      </c>
      <c r="DT10">
        <v>2.0106798160000001</v>
      </c>
      <c r="DU10">
        <v>6.8966539539999996</v>
      </c>
      <c r="DV10">
        <v>33.50666184</v>
      </c>
      <c r="DW10">
        <v>13.03103728</v>
      </c>
      <c r="DX10">
        <v>7.6478911199999997</v>
      </c>
      <c r="DY10">
        <v>86.466544949999999</v>
      </c>
      <c r="DZ10">
        <v>2.3526673339999999</v>
      </c>
      <c r="EA10">
        <v>0.5112617586</v>
      </c>
      <c r="EB10">
        <v>1.336023739</v>
      </c>
      <c r="EC10">
        <v>4.1634133479999997</v>
      </c>
      <c r="ED10">
        <v>2.0766730849999999</v>
      </c>
      <c r="EE10">
        <v>0.28653530230000002</v>
      </c>
      <c r="EF10">
        <v>1.3178295470000001</v>
      </c>
      <c r="EG10">
        <v>3.0740821390000002</v>
      </c>
      <c r="EH10">
        <v>4.4293404179999998</v>
      </c>
      <c r="EI10">
        <v>0.71664699949999999</v>
      </c>
      <c r="EJ10">
        <v>2.6538532859999999</v>
      </c>
      <c r="EK10">
        <v>6.4738927139999998</v>
      </c>
      <c r="EL10">
        <v>1.838439071</v>
      </c>
      <c r="EM10">
        <v>0.26923987890000001</v>
      </c>
      <c r="EN10">
        <v>1.168234014</v>
      </c>
      <c r="EO10">
        <v>2.6786207559999999</v>
      </c>
      <c r="EP10">
        <v>7.0332076680000002</v>
      </c>
      <c r="EQ10">
        <v>1.5777943640000001</v>
      </c>
      <c r="ER10">
        <v>3.5626820000000001</v>
      </c>
      <c r="ES10">
        <v>11.682548000000001</v>
      </c>
      <c r="ET10">
        <v>0.68001906720000005</v>
      </c>
      <c r="EU10">
        <v>9.9478129949999994E-2</v>
      </c>
      <c r="EV10">
        <v>0.45412512989999998</v>
      </c>
      <c r="EW10">
        <v>0.97760093969999995</v>
      </c>
      <c r="EX10">
        <v>0.87882532810000002</v>
      </c>
      <c r="EY10">
        <v>0.13800128149999999</v>
      </c>
      <c r="EZ10">
        <v>0.56411834419999995</v>
      </c>
      <c r="FA10">
        <v>1.2874618840000001</v>
      </c>
      <c r="FB10">
        <v>0.22631383469999999</v>
      </c>
      <c r="FC10">
        <v>0.25924236579999999</v>
      </c>
      <c r="FD10">
        <v>-0.55435169029999998</v>
      </c>
      <c r="FE10">
        <v>1.1688615490000001</v>
      </c>
      <c r="FF10">
        <v>3.4785781830000002</v>
      </c>
      <c r="FG10">
        <v>0.56437114929999999</v>
      </c>
      <c r="FH10">
        <v>2.5657440230000002</v>
      </c>
      <c r="FI10">
        <v>5.642497852</v>
      </c>
      <c r="FJ10">
        <v>3.826313619</v>
      </c>
      <c r="FK10">
        <v>1.113306109</v>
      </c>
      <c r="FL10">
        <v>1.640791154</v>
      </c>
      <c r="FM10">
        <v>7.6224840269999996</v>
      </c>
      <c r="FN10">
        <v>3.2068940499999998</v>
      </c>
      <c r="FO10">
        <v>0.76811592370000004</v>
      </c>
      <c r="FP10">
        <v>1.758269547</v>
      </c>
      <c r="FQ10">
        <v>5.9013354739999997</v>
      </c>
      <c r="FR10">
        <v>6.7042893259999996</v>
      </c>
      <c r="FS10">
        <v>1.5944101049999999</v>
      </c>
      <c r="FT10">
        <v>3.5626820000000001</v>
      </c>
      <c r="FU10">
        <v>11.682548000000001</v>
      </c>
      <c r="FV10">
        <v>5.1152330319999999</v>
      </c>
      <c r="FW10">
        <v>1.4775653179999999</v>
      </c>
      <c r="FX10">
        <v>1.747703</v>
      </c>
      <c r="FY10">
        <v>9.4738679999999995</v>
      </c>
      <c r="FZ10">
        <v>0.1028498251</v>
      </c>
      <c r="GA10">
        <v>1.6663622310000001E-2</v>
      </c>
      <c r="GB10">
        <v>6.5990602179999996E-2</v>
      </c>
      <c r="GC10">
        <v>0.15829411709999999</v>
      </c>
      <c r="GD10">
        <v>4.2624723050000002</v>
      </c>
      <c r="GE10">
        <v>0.56306896790000005</v>
      </c>
      <c r="GF10">
        <v>3.0005824489999999</v>
      </c>
      <c r="GG10">
        <v>6.1097646289999998</v>
      </c>
      <c r="GH10">
        <v>1.7731568950000001</v>
      </c>
      <c r="GI10">
        <v>1.7543098260000001</v>
      </c>
      <c r="GJ10">
        <v>0.14774686040000001</v>
      </c>
      <c r="GK10">
        <v>14.22147079</v>
      </c>
      <c r="GL10">
        <v>1.2925904580000001</v>
      </c>
      <c r="GM10">
        <v>0.1775509368</v>
      </c>
      <c r="GN10">
        <v>0.88128249280000004</v>
      </c>
      <c r="GO10">
        <v>1.8705675230000001</v>
      </c>
      <c r="GP10">
        <v>9.5546686439999995</v>
      </c>
      <c r="GQ10">
        <v>1.8868413829999999</v>
      </c>
      <c r="GR10">
        <v>5.2919985020000002</v>
      </c>
      <c r="GS10">
        <v>16.760431220000001</v>
      </c>
      <c r="GT10">
        <v>99.750333889999993</v>
      </c>
      <c r="GU10">
        <v>15.971113770000001</v>
      </c>
      <c r="GV10">
        <v>63.173541649999997</v>
      </c>
      <c r="GW10">
        <v>151.53672900000001</v>
      </c>
      <c r="GX10">
        <v>2.3307979579999998</v>
      </c>
      <c r="GY10">
        <v>0.50822222370000003</v>
      </c>
      <c r="GZ10">
        <v>1.336023739</v>
      </c>
      <c r="HA10">
        <v>4.1419641980000002</v>
      </c>
      <c r="HB10">
        <v>2.059469966</v>
      </c>
      <c r="HC10">
        <v>0.27919636050000002</v>
      </c>
      <c r="HD10">
        <v>1.3178295470000001</v>
      </c>
      <c r="HE10">
        <v>2.992757573</v>
      </c>
      <c r="HF10">
        <v>4.3902679239999998</v>
      </c>
      <c r="HG10">
        <v>0.70601547789999997</v>
      </c>
      <c r="HH10">
        <v>2.6538532859999999</v>
      </c>
      <c r="HI10">
        <v>6.467533714</v>
      </c>
      <c r="HJ10">
        <v>1.8289665129999999</v>
      </c>
      <c r="HK10">
        <v>0.26618270249999998</v>
      </c>
      <c r="HL10">
        <v>1.168234014</v>
      </c>
      <c r="HM10">
        <v>2.6783547109999999</v>
      </c>
      <c r="HN10">
        <v>6.9656528</v>
      </c>
      <c r="HO10">
        <v>1.518543188</v>
      </c>
      <c r="HP10">
        <v>3.5626820000000001</v>
      </c>
      <c r="HQ10">
        <v>11.496352999999999</v>
      </c>
      <c r="HR10">
        <v>0.67690725480000002</v>
      </c>
      <c r="HS10">
        <v>9.8698367539999998E-2</v>
      </c>
      <c r="HT10">
        <v>0.45412512989999998</v>
      </c>
      <c r="HU10">
        <v>0.97744442539999998</v>
      </c>
      <c r="HV10">
        <v>0.87395979140000002</v>
      </c>
      <c r="HW10">
        <v>0.13680737400000001</v>
      </c>
      <c r="HX10">
        <v>0.56411834419999995</v>
      </c>
      <c r="HY10">
        <v>1.2834847330000001</v>
      </c>
      <c r="HZ10">
        <v>0.2204259864</v>
      </c>
      <c r="IA10">
        <v>0.26267892069999998</v>
      </c>
      <c r="IB10">
        <v>-0.55435169029999998</v>
      </c>
      <c r="IC10">
        <v>1.1540135170000001</v>
      </c>
      <c r="ID10">
        <v>3.477774835</v>
      </c>
      <c r="IE10">
        <v>0.56269831069999998</v>
      </c>
      <c r="IF10">
        <v>2.5414313370000001</v>
      </c>
      <c r="IG10">
        <v>5.642497852</v>
      </c>
      <c r="IH10">
        <v>3.7982230879999999</v>
      </c>
      <c r="II10">
        <v>1.0848830759999999</v>
      </c>
      <c r="IJ10">
        <v>1.640791154</v>
      </c>
      <c r="IK10">
        <v>7.5877200440000001</v>
      </c>
      <c r="IL10">
        <v>3.1674297120000001</v>
      </c>
      <c r="IM10">
        <v>0.73216141970000004</v>
      </c>
      <c r="IN10">
        <v>1.758269547</v>
      </c>
      <c r="IO10">
        <v>4.9987804689999997</v>
      </c>
      <c r="IP10">
        <v>6.616015558</v>
      </c>
      <c r="IQ10">
        <v>1.5266448269999999</v>
      </c>
      <c r="IR10">
        <v>3.5626820000000001</v>
      </c>
      <c r="IS10">
        <v>11.496352999999999</v>
      </c>
      <c r="IT10">
        <v>5.0021113259999996</v>
      </c>
      <c r="IU10">
        <v>1.4781248199999999</v>
      </c>
      <c r="IV10">
        <v>1.5773360000000001</v>
      </c>
      <c r="IW10">
        <v>9.4738679999999995</v>
      </c>
      <c r="IX10">
        <v>0.1029425383</v>
      </c>
      <c r="IY10">
        <v>1.6690977579999999E-2</v>
      </c>
      <c r="IZ10">
        <v>6.5990602179999996E-2</v>
      </c>
      <c r="JA10">
        <v>0.16041454490000001</v>
      </c>
      <c r="JB10">
        <v>4.2439853769999996</v>
      </c>
      <c r="JC10">
        <v>0.55901987980000001</v>
      </c>
      <c r="JD10">
        <v>3.0005824489999999</v>
      </c>
      <c r="JE10">
        <v>6.0632233299999996</v>
      </c>
      <c r="JF10">
        <v>1.7521173489999999</v>
      </c>
      <c r="JG10">
        <v>1.7202898879999999</v>
      </c>
      <c r="JH10">
        <v>0.14774686040000001</v>
      </c>
      <c r="JI10">
        <v>14.22147079</v>
      </c>
      <c r="JJ10">
        <v>1.288949565</v>
      </c>
      <c r="JK10">
        <v>0.17794378720000001</v>
      </c>
      <c r="JL10">
        <v>0.88128249280000004</v>
      </c>
      <c r="JM10">
        <v>1.8707919749999999</v>
      </c>
      <c r="JN10">
        <v>9.6081620080000008</v>
      </c>
      <c r="JO10">
        <v>1.856539344</v>
      </c>
      <c r="JP10">
        <v>5.3927604039999997</v>
      </c>
      <c r="JQ10">
        <v>16.84314208</v>
      </c>
      <c r="JR10">
        <v>99.663621660000004</v>
      </c>
      <c r="JS10">
        <v>15.990080369999999</v>
      </c>
      <c r="JT10">
        <v>62.338486860000003</v>
      </c>
      <c r="JU10">
        <v>151.53672900000001</v>
      </c>
      <c r="JV10">
        <v>3.387552092</v>
      </c>
      <c r="JW10">
        <v>0.83486675700000001</v>
      </c>
      <c r="JX10">
        <v>1.760960066</v>
      </c>
      <c r="JY10">
        <v>5.5411544179999996</v>
      </c>
      <c r="JZ10">
        <v>3.3370848450000001</v>
      </c>
      <c r="KA10">
        <v>0.92356991669999999</v>
      </c>
      <c r="KB10">
        <v>1.225935494</v>
      </c>
      <c r="KC10">
        <v>6.8045284610000003</v>
      </c>
      <c r="KD10">
        <v>6.7246369369999996</v>
      </c>
      <c r="KE10">
        <v>1.2202939989999999</v>
      </c>
      <c r="KF10">
        <v>3.0561759999999998</v>
      </c>
      <c r="KG10">
        <v>9.3946310000000004</v>
      </c>
      <c r="KH10">
        <v>5.1838947129999999</v>
      </c>
      <c r="KI10">
        <v>1.6323582059999999</v>
      </c>
      <c r="KJ10">
        <v>1.9019507499999999</v>
      </c>
      <c r="KK10">
        <v>8.5743930000000006</v>
      </c>
      <c r="KL10">
        <v>6.7246369369999996</v>
      </c>
      <c r="KM10">
        <v>1.2202939989999999</v>
      </c>
      <c r="KN10">
        <v>3.0561759999999998</v>
      </c>
      <c r="KO10">
        <v>9.3946310000000004</v>
      </c>
      <c r="KP10">
        <v>1.546409624</v>
      </c>
      <c r="KQ10">
        <v>0.39167802470000002</v>
      </c>
      <c r="KR10">
        <v>0.57311005010000005</v>
      </c>
      <c r="KS10">
        <v>2.5654055740000001</v>
      </c>
      <c r="KT10">
        <v>1.8582194729999999</v>
      </c>
      <c r="KU10">
        <v>0.41123809249999999</v>
      </c>
      <c r="KV10">
        <v>0.74018514700000004</v>
      </c>
      <c r="KW10">
        <v>2.9807097950000001</v>
      </c>
      <c r="KX10">
        <v>0.12761904900000001</v>
      </c>
      <c r="KY10">
        <v>0.55389107459999998</v>
      </c>
      <c r="KZ10">
        <v>-1.6782330990000001</v>
      </c>
      <c r="LA10">
        <v>1.3935449900000001</v>
      </c>
      <c r="LB10">
        <v>2.4258604859999999</v>
      </c>
      <c r="LC10">
        <v>0.75908467349999997</v>
      </c>
      <c r="LD10">
        <v>1.3407414040000001</v>
      </c>
      <c r="LE10">
        <v>5.0793244739999999</v>
      </c>
      <c r="LF10">
        <v>2.1531205440000001</v>
      </c>
      <c r="LG10">
        <v>0.99844800389999999</v>
      </c>
      <c r="LH10">
        <v>0.63755999779999994</v>
      </c>
      <c r="LI10">
        <v>5.3778599810000003</v>
      </c>
      <c r="LJ10">
        <v>0.24882282750000001</v>
      </c>
      <c r="LK10">
        <v>4.5137929930000001E-2</v>
      </c>
      <c r="LL10">
        <v>0.15981325090000001</v>
      </c>
      <c r="LM10">
        <v>0.40050491199999999</v>
      </c>
      <c r="LN10">
        <v>17.52531905</v>
      </c>
      <c r="LO10">
        <v>8.5989908289999999</v>
      </c>
      <c r="LP10">
        <v>2.2978347330000002</v>
      </c>
      <c r="LQ10">
        <v>42.156654459999999</v>
      </c>
      <c r="LR10">
        <v>3.4847949969999998</v>
      </c>
      <c r="LS10">
        <v>1.1502075700000001</v>
      </c>
      <c r="LT10">
        <v>1.092387499</v>
      </c>
      <c r="LU10">
        <v>6.6972463089999996</v>
      </c>
      <c r="LV10">
        <v>21.110555269999999</v>
      </c>
      <c r="LW10">
        <v>7.7567098339999996</v>
      </c>
      <c r="LX10">
        <v>0</v>
      </c>
      <c r="LY10">
        <v>40.609809990000002</v>
      </c>
      <c r="LZ10">
        <v>5.6469154399999999</v>
      </c>
      <c r="MA10">
        <v>2.6130260320000001</v>
      </c>
      <c r="MB10">
        <v>1.859475709</v>
      </c>
      <c r="MC10">
        <v>15.684798349999999</v>
      </c>
      <c r="MD10">
        <v>3.3560461419999998</v>
      </c>
      <c r="ME10">
        <v>0.80123991979999998</v>
      </c>
      <c r="MF10">
        <v>1.758885101</v>
      </c>
      <c r="MG10">
        <v>5.5395880719999999</v>
      </c>
      <c r="MH10">
        <v>3.3052835319999998</v>
      </c>
      <c r="MI10">
        <v>0.89805611770000005</v>
      </c>
      <c r="MJ10">
        <v>1.225935494</v>
      </c>
      <c r="MK10">
        <v>6.4666882819999998</v>
      </c>
      <c r="ML10">
        <v>6.6613296740000001</v>
      </c>
      <c r="MM10">
        <v>1.1895930210000001</v>
      </c>
      <c r="MN10">
        <v>3.0561759999999998</v>
      </c>
      <c r="MO10">
        <v>9.3070590000000006</v>
      </c>
      <c r="MP10">
        <v>5.1296860310000003</v>
      </c>
      <c r="MQ10">
        <v>1.571104501</v>
      </c>
      <c r="MR10">
        <v>1.9019507499999999</v>
      </c>
      <c r="MS10">
        <v>8.1311140000000002</v>
      </c>
      <c r="MT10">
        <v>6.6613296740000001</v>
      </c>
      <c r="MU10">
        <v>1.1895930210000001</v>
      </c>
      <c r="MV10">
        <v>3.0561759999999998</v>
      </c>
      <c r="MW10">
        <v>9.3070590000000006</v>
      </c>
      <c r="MX10">
        <v>1.5392991</v>
      </c>
      <c r="MY10">
        <v>0.38959711299999999</v>
      </c>
      <c r="MZ10">
        <v>0.57311005010000005</v>
      </c>
      <c r="NA10">
        <v>2.5504594370000002</v>
      </c>
      <c r="NB10">
        <v>1.8468141520000001</v>
      </c>
      <c r="NC10">
        <v>0.40698257440000002</v>
      </c>
      <c r="ND10">
        <v>0.74018514700000004</v>
      </c>
      <c r="NE10">
        <v>2.9586623580000002</v>
      </c>
      <c r="NF10">
        <v>0.1264612708</v>
      </c>
      <c r="NG10">
        <v>0.5381170918</v>
      </c>
      <c r="NH10">
        <v>-1.6385477850000001</v>
      </c>
      <c r="NI10">
        <v>1.228254153</v>
      </c>
      <c r="NJ10">
        <v>2.4004539490000001</v>
      </c>
      <c r="NK10">
        <v>0.72721183359999997</v>
      </c>
      <c r="NL10">
        <v>1.3407414040000001</v>
      </c>
      <c r="NM10">
        <v>5.0534427669999999</v>
      </c>
      <c r="NN10">
        <v>2.127361633</v>
      </c>
      <c r="NO10">
        <v>0.95395739899999998</v>
      </c>
      <c r="NP10">
        <v>0.63755999779999994</v>
      </c>
      <c r="NQ10">
        <v>5.3764799810000001</v>
      </c>
      <c r="NR10">
        <v>0.24705983549999999</v>
      </c>
      <c r="NS10">
        <v>4.3849478759999998E-2</v>
      </c>
      <c r="NT10">
        <v>0.15981325090000001</v>
      </c>
      <c r="NU10">
        <v>0.377590961</v>
      </c>
      <c r="NV10">
        <v>17.647206919999999</v>
      </c>
      <c r="NW10">
        <v>8.5830324719999993</v>
      </c>
      <c r="NX10">
        <v>2.2978347330000002</v>
      </c>
      <c r="NY10">
        <v>41.913623829999999</v>
      </c>
      <c r="NZ10">
        <v>3.477793819</v>
      </c>
      <c r="OA10">
        <v>1.145099595</v>
      </c>
      <c r="OB10">
        <v>1.092387499</v>
      </c>
      <c r="OC10">
        <v>6.6939197540000004</v>
      </c>
      <c r="OD10">
        <v>21.245566319999998</v>
      </c>
      <c r="OE10">
        <v>7.6661006550000002</v>
      </c>
      <c r="OF10">
        <v>2.106771358</v>
      </c>
      <c r="OG10">
        <v>40.653999120000002</v>
      </c>
      <c r="OH10">
        <v>5.6653862630000003</v>
      </c>
      <c r="OI10">
        <v>2.583888746</v>
      </c>
      <c r="OJ10">
        <v>1.859952987</v>
      </c>
      <c r="OK10">
        <v>15.684798349999999</v>
      </c>
      <c r="OL10">
        <v>2.0414408179999999</v>
      </c>
      <c r="OM10">
        <v>-7.7478851629999998E-2</v>
      </c>
      <c r="ON10">
        <v>2.5815739629999999</v>
      </c>
      <c r="OO10">
        <v>8.2990739999999992</v>
      </c>
      <c r="OP10">
        <v>7.844862</v>
      </c>
      <c r="OQ10">
        <v>16.143936</v>
      </c>
      <c r="OR10">
        <v>1.6768644610000001</v>
      </c>
      <c r="OS10" s="2">
        <v>7.2919317899999996E-5</v>
      </c>
      <c r="OT10">
        <v>2.7623480560000002E-3</v>
      </c>
      <c r="OU10" s="2">
        <v>7.2919317899999996E-5</v>
      </c>
      <c r="OV10">
        <v>1.9416973569999999E-3</v>
      </c>
      <c r="OW10">
        <v>2.5508626430000001E-3</v>
      </c>
      <c r="OX10">
        <v>2.1148541389999999E-4</v>
      </c>
      <c r="OY10">
        <v>5.8442457839999999</v>
      </c>
      <c r="OZ10">
        <v>1.346128473</v>
      </c>
      <c r="PA10">
        <v>1.7133209519999999</v>
      </c>
      <c r="PB10">
        <v>7.8505173660000001</v>
      </c>
      <c r="PC10">
        <v>92.512924220000002</v>
      </c>
      <c r="PD10">
        <v>2.0263419869999999</v>
      </c>
      <c r="PE10">
        <v>-5.7996307970000001E-2</v>
      </c>
      <c r="PF10">
        <v>2.4639618589999999</v>
      </c>
      <c r="PG10">
        <v>7.1406270000000003</v>
      </c>
      <c r="PH10">
        <v>6.6075650000000001</v>
      </c>
      <c r="PI10">
        <v>13.748192</v>
      </c>
      <c r="PJ10">
        <v>1.670716002</v>
      </c>
      <c r="PK10" s="2">
        <v>7.0549902670000004E-5</v>
      </c>
      <c r="PL10">
        <v>2.757952684E-3</v>
      </c>
      <c r="PM10" s="2">
        <v>7.0549902670000004E-5</v>
      </c>
      <c r="PN10">
        <v>1.941333629E-3</v>
      </c>
      <c r="PO10">
        <v>2.5500823710000002E-3</v>
      </c>
      <c r="PP10">
        <v>2.0787031380000001E-4</v>
      </c>
      <c r="PQ10">
        <v>5.8437947120000002</v>
      </c>
      <c r="PR10">
        <v>1.284539278</v>
      </c>
      <c r="PS10">
        <v>1.610876234</v>
      </c>
      <c r="PT10">
        <v>7.8465019820000004</v>
      </c>
      <c r="PU10">
        <v>92.493951550000006</v>
      </c>
      <c r="PV10">
        <v>6.7385647999999998</v>
      </c>
      <c r="PW10">
        <v>1.661503789</v>
      </c>
      <c r="PX10">
        <v>2.1515788040000001</v>
      </c>
      <c r="PY10">
        <v>10.643015159999999</v>
      </c>
      <c r="PZ10">
        <v>91.828880319999996</v>
      </c>
      <c r="QA10">
        <v>6.7399900419999996</v>
      </c>
      <c r="QB10">
        <v>1.611929019</v>
      </c>
      <c r="QC10">
        <v>2.0425454200000002</v>
      </c>
      <c r="QD10">
        <v>10.621789890000001</v>
      </c>
      <c r="QE10">
        <v>91.829063270000006</v>
      </c>
      <c r="QF10" s="2">
        <v>8.1309595280000006E-5</v>
      </c>
      <c r="QG10">
        <v>2.340969668E-3</v>
      </c>
      <c r="QH10">
        <v>3.200530332E-3</v>
      </c>
      <c r="QI10">
        <v>2.5897304300000001E-4</v>
      </c>
      <c r="QJ10" s="2">
        <v>7.866778372E-5</v>
      </c>
      <c r="QK10">
        <v>2.3409671360000001E-3</v>
      </c>
      <c r="QL10">
        <v>3.2005198640000002E-3</v>
      </c>
      <c r="QM10">
        <v>2.5450545270000002E-4</v>
      </c>
      <c r="QN10">
        <v>5.1244416939999997</v>
      </c>
      <c r="QO10">
        <v>3.5147429790000002</v>
      </c>
      <c r="QP10">
        <v>10.24079682</v>
      </c>
      <c r="QQ10">
        <v>177.9747921</v>
      </c>
      <c r="QR10">
        <v>5.1403216580000004</v>
      </c>
      <c r="QS10">
        <v>3.5144131870000002</v>
      </c>
      <c r="QT10">
        <v>10.238959380000001</v>
      </c>
      <c r="QU10">
        <v>177.97343509999999</v>
      </c>
    </row>
    <row r="11" spans="1:463" x14ac:dyDescent="0.2">
      <c r="A11" t="s">
        <v>281</v>
      </c>
      <c r="B11" s="2">
        <v>-4.2285043820000003E-12</v>
      </c>
      <c r="C11" s="2">
        <v>-5.7542991829999997E-13</v>
      </c>
      <c r="D11">
        <v>8.6269319399999997E-4</v>
      </c>
      <c r="E11">
        <v>3.8019441340000001E-2</v>
      </c>
      <c r="F11">
        <v>0.36003443509999999</v>
      </c>
      <c r="G11">
        <v>2.6449272719999998E-3</v>
      </c>
      <c r="H11">
        <v>0.11656363810000001</v>
      </c>
      <c r="I11">
        <v>1.103827992</v>
      </c>
      <c r="J11">
        <v>32.61603393</v>
      </c>
      <c r="K11">
        <v>32.616896619999999</v>
      </c>
      <c r="L11">
        <v>32.616896619999999</v>
      </c>
      <c r="M11">
        <v>32.616896619999999</v>
      </c>
      <c r="N11">
        <v>32.578877179999999</v>
      </c>
      <c r="O11">
        <v>32.616896619999999</v>
      </c>
      <c r="P11">
        <v>32.25686219</v>
      </c>
      <c r="Q11">
        <v>32.616896619999999</v>
      </c>
      <c r="R11">
        <v>4.7662405559999996</v>
      </c>
      <c r="S11">
        <v>0.99024473040000005</v>
      </c>
      <c r="T11">
        <v>2.8092347210000002</v>
      </c>
      <c r="U11">
        <v>7.8223700010000004</v>
      </c>
      <c r="V11">
        <v>4.9002024649999996</v>
      </c>
      <c r="W11">
        <v>1.027173495</v>
      </c>
      <c r="X11">
        <v>2.4484371610000002</v>
      </c>
      <c r="Y11">
        <v>8.5012218130000008</v>
      </c>
      <c r="Z11">
        <v>9.6664430209999992</v>
      </c>
      <c r="AA11">
        <v>1.2922598300000001</v>
      </c>
      <c r="AB11">
        <v>6.8654469999999996</v>
      </c>
      <c r="AC11">
        <v>13.278172</v>
      </c>
      <c r="AD11">
        <v>3.3009330590000001</v>
      </c>
      <c r="AE11">
        <v>0.95188527079999996</v>
      </c>
      <c r="AF11">
        <v>1.7224024440000001</v>
      </c>
      <c r="AG11">
        <v>7.8462422500000004</v>
      </c>
      <c r="AH11">
        <v>9.6664430209999992</v>
      </c>
      <c r="AI11">
        <v>1.2922598300000001</v>
      </c>
      <c r="AJ11">
        <v>6.8654469999999996</v>
      </c>
      <c r="AK11">
        <v>13.278172</v>
      </c>
      <c r="AL11">
        <v>1.7825053040000001</v>
      </c>
      <c r="AM11">
        <v>0.36033272039999997</v>
      </c>
      <c r="AN11">
        <v>1.041359369</v>
      </c>
      <c r="AO11">
        <v>2.7687210499999999</v>
      </c>
      <c r="AP11">
        <v>2.151682976</v>
      </c>
      <c r="AQ11">
        <v>0.3737389257</v>
      </c>
      <c r="AR11">
        <v>1.2938252770000001</v>
      </c>
      <c r="AS11">
        <v>3.1340303220000001</v>
      </c>
      <c r="AT11">
        <v>5.4614686490000001E-2</v>
      </c>
      <c r="AU11">
        <v>0.49049659480000002</v>
      </c>
      <c r="AV11">
        <v>-1.5741365679999999</v>
      </c>
      <c r="AW11">
        <v>1.177742617</v>
      </c>
      <c r="AX11">
        <v>2.5247500610000002</v>
      </c>
      <c r="AY11">
        <v>0.71121451619999998</v>
      </c>
      <c r="AZ11">
        <v>1.527097336</v>
      </c>
      <c r="BA11">
        <v>4.9442666529999997</v>
      </c>
      <c r="BB11">
        <v>0.46747583180000002</v>
      </c>
      <c r="BC11">
        <v>0.2413656589</v>
      </c>
      <c r="BD11">
        <v>0.1486457138</v>
      </c>
      <c r="BE11">
        <v>1.7935399940000001</v>
      </c>
      <c r="BF11">
        <v>3.5962465419999998</v>
      </c>
      <c r="BG11">
        <v>0.6263968513</v>
      </c>
      <c r="BH11">
        <v>2.545700471</v>
      </c>
      <c r="BI11">
        <v>6.0329093409999999</v>
      </c>
      <c r="BJ11">
        <v>5.8371843849999996</v>
      </c>
      <c r="BK11">
        <v>6.2096201420000003</v>
      </c>
      <c r="BL11">
        <v>0.13256738840000001</v>
      </c>
      <c r="BM11">
        <v>33.324104179999999</v>
      </c>
      <c r="BN11">
        <v>3.9979605610000002</v>
      </c>
      <c r="BO11">
        <v>1.037412322</v>
      </c>
      <c r="BP11">
        <v>1.860600708</v>
      </c>
      <c r="BQ11">
        <v>6.7807098430000003</v>
      </c>
      <c r="BR11">
        <v>25.649859280000001</v>
      </c>
      <c r="BS11">
        <v>10.20018805</v>
      </c>
      <c r="BT11">
        <v>5.5755656599999996</v>
      </c>
      <c r="BU11">
        <v>67.274055509999997</v>
      </c>
      <c r="BV11">
        <v>4.5950884619999997</v>
      </c>
      <c r="BW11">
        <v>0.85131374449999997</v>
      </c>
      <c r="BX11">
        <v>2.8092347210000002</v>
      </c>
      <c r="BY11">
        <v>7.2560671619999999</v>
      </c>
      <c r="BZ11">
        <v>4.7513136859999996</v>
      </c>
      <c r="CA11">
        <v>0.90264775310000001</v>
      </c>
      <c r="CB11">
        <v>2.4484371610000002</v>
      </c>
      <c r="CC11">
        <v>7.2336064569999996</v>
      </c>
      <c r="CD11">
        <v>9.3464021469999992</v>
      </c>
      <c r="CE11">
        <v>1.052561933</v>
      </c>
      <c r="CF11">
        <v>6.8654469999999996</v>
      </c>
      <c r="CG11">
        <v>11.509057</v>
      </c>
      <c r="CH11">
        <v>3.2560524150000001</v>
      </c>
      <c r="CI11">
        <v>0.90917793999999996</v>
      </c>
      <c r="CJ11">
        <v>1.7224024440000001</v>
      </c>
      <c r="CK11">
        <v>6.9450446670000003</v>
      </c>
      <c r="CL11">
        <v>9.3464021469999992</v>
      </c>
      <c r="CM11">
        <v>1.052561933</v>
      </c>
      <c r="CN11">
        <v>6.8654469999999996</v>
      </c>
      <c r="CO11">
        <v>11.509057</v>
      </c>
      <c r="CP11">
        <v>1.7750546739999999</v>
      </c>
      <c r="CQ11">
        <v>0.3559652043</v>
      </c>
      <c r="CR11">
        <v>1.041359369</v>
      </c>
      <c r="CS11">
        <v>2.7687022030000001</v>
      </c>
      <c r="CT11">
        <v>2.1377269390000002</v>
      </c>
      <c r="CU11">
        <v>0.36458331620000001</v>
      </c>
      <c r="CV11">
        <v>1.2938252770000001</v>
      </c>
      <c r="CW11">
        <v>3.0917819199999999</v>
      </c>
      <c r="CX11">
        <v>5.5312442169999997E-2</v>
      </c>
      <c r="CY11">
        <v>0.47252229080000002</v>
      </c>
      <c r="CZ11">
        <v>-1.468736043</v>
      </c>
      <c r="DA11">
        <v>1.177742617</v>
      </c>
      <c r="DB11">
        <v>2.4769968549999999</v>
      </c>
      <c r="DC11">
        <v>0.65712715830000001</v>
      </c>
      <c r="DD11">
        <v>1.527097336</v>
      </c>
      <c r="DE11">
        <v>4.6050791520000001</v>
      </c>
      <c r="DF11">
        <v>0.46573327269999998</v>
      </c>
      <c r="DG11">
        <v>0.2456234575</v>
      </c>
      <c r="DH11">
        <v>0.1486457138</v>
      </c>
      <c r="DI11">
        <v>1.7935399940000001</v>
      </c>
      <c r="DJ11">
        <v>3.5768805349999999</v>
      </c>
      <c r="DK11">
        <v>0.59558503750000003</v>
      </c>
      <c r="DL11">
        <v>2.545700471</v>
      </c>
      <c r="DM11">
        <v>5.5035755359999996</v>
      </c>
      <c r="DN11">
        <v>6.6766413399999998</v>
      </c>
      <c r="DO11">
        <v>6.2381656259999998</v>
      </c>
      <c r="DP11">
        <v>0.17675651789999999</v>
      </c>
      <c r="DQ11">
        <v>33.324104179999999</v>
      </c>
      <c r="DR11">
        <v>3.9929543779999999</v>
      </c>
      <c r="DS11">
        <v>1.0279608259999999</v>
      </c>
      <c r="DT11">
        <v>1.860600708</v>
      </c>
      <c r="DU11">
        <v>6.7801766409999997</v>
      </c>
      <c r="DV11">
        <v>25.932850680000001</v>
      </c>
      <c r="DW11">
        <v>10.460641000000001</v>
      </c>
      <c r="DX11">
        <v>5.5755656599999996</v>
      </c>
      <c r="DY11">
        <v>67.274055509999997</v>
      </c>
      <c r="DZ11">
        <v>2.1776683590000001</v>
      </c>
      <c r="EA11">
        <v>0.53625366770000005</v>
      </c>
      <c r="EB11">
        <v>1.1442810349999999</v>
      </c>
      <c r="EC11">
        <v>3.917065274</v>
      </c>
      <c r="ED11">
        <v>1.730533997</v>
      </c>
      <c r="EE11">
        <v>0.27527317600000001</v>
      </c>
      <c r="EF11">
        <v>1.118129393</v>
      </c>
      <c r="EG11">
        <v>2.8486474949999998</v>
      </c>
      <c r="EH11">
        <v>3.9082023559999999</v>
      </c>
      <c r="EI11">
        <v>0.74639956679999997</v>
      </c>
      <c r="EJ11">
        <v>2.262410429</v>
      </c>
      <c r="EK11">
        <v>6.1775705710000004</v>
      </c>
      <c r="EL11">
        <v>1.7273055020000001</v>
      </c>
      <c r="EM11">
        <v>0.32307082100000001</v>
      </c>
      <c r="EN11">
        <v>0.97174371429999995</v>
      </c>
      <c r="EO11">
        <v>2.6677913420000001</v>
      </c>
      <c r="EP11">
        <v>6.5839559840000002</v>
      </c>
      <c r="EQ11">
        <v>1.6540904729999999</v>
      </c>
      <c r="ER11">
        <v>3.4750890000000001</v>
      </c>
      <c r="ES11">
        <v>11.02177</v>
      </c>
      <c r="ET11">
        <v>0.61719271369999995</v>
      </c>
      <c r="EU11">
        <v>0.1067573493</v>
      </c>
      <c r="EV11">
        <v>0.33891945649999999</v>
      </c>
      <c r="EW11">
        <v>0.9415616524</v>
      </c>
      <c r="EX11">
        <v>0.80265946519999998</v>
      </c>
      <c r="EY11">
        <v>0.14892182440000001</v>
      </c>
      <c r="EZ11">
        <v>0.4355680374</v>
      </c>
      <c r="FA11">
        <v>1.2576397960000001</v>
      </c>
      <c r="FB11">
        <v>0.35307951259999998</v>
      </c>
      <c r="FC11">
        <v>0.2761819606</v>
      </c>
      <c r="FD11">
        <v>-0.43201871660000002</v>
      </c>
      <c r="FE11">
        <v>1.1779689550000001</v>
      </c>
      <c r="FF11">
        <v>3.6121322720000002</v>
      </c>
      <c r="FG11">
        <v>0.64525172289999999</v>
      </c>
      <c r="FH11">
        <v>2.6527466510000002</v>
      </c>
      <c r="FI11">
        <v>5.8711439219999999</v>
      </c>
      <c r="FJ11">
        <v>3.6923975200000001</v>
      </c>
      <c r="FK11">
        <v>1.1806569140000001</v>
      </c>
      <c r="FL11">
        <v>1.721605871</v>
      </c>
      <c r="FM11">
        <v>7.531348468</v>
      </c>
      <c r="FN11">
        <v>2.8915584640000001</v>
      </c>
      <c r="FO11">
        <v>0.75915734629999998</v>
      </c>
      <c r="FP11">
        <v>1.455493565</v>
      </c>
      <c r="FQ11">
        <v>5.6641702289999998</v>
      </c>
      <c r="FR11">
        <v>6.2611450370000004</v>
      </c>
      <c r="FS11">
        <v>1.6464800340000001</v>
      </c>
      <c r="FT11">
        <v>3.2150069999999999</v>
      </c>
      <c r="FU11">
        <v>11.02177</v>
      </c>
      <c r="FV11">
        <v>4.6045748050000004</v>
      </c>
      <c r="FW11">
        <v>1.4112072769999999</v>
      </c>
      <c r="FX11">
        <v>1.1658869999999999</v>
      </c>
      <c r="FY11">
        <v>8.2034070000000003</v>
      </c>
      <c r="FZ11">
        <v>0.13299300489999999</v>
      </c>
      <c r="GA11">
        <v>2.2169598400000001E-2</v>
      </c>
      <c r="GB11">
        <v>9.281084714E-2</v>
      </c>
      <c r="GC11">
        <v>0.20642499929999999</v>
      </c>
      <c r="GD11">
        <v>3.4330523639999999</v>
      </c>
      <c r="GE11">
        <v>0.5530783252</v>
      </c>
      <c r="GF11">
        <v>2.2779314159999999</v>
      </c>
      <c r="GG11">
        <v>5.0673570889999997</v>
      </c>
      <c r="GH11">
        <v>1.8439471949999999</v>
      </c>
      <c r="GI11">
        <v>1.587821629</v>
      </c>
      <c r="GJ11">
        <v>2.4624476730000001E-2</v>
      </c>
      <c r="GK11">
        <v>11.055901390000001</v>
      </c>
      <c r="GL11">
        <v>1.1436599590000001</v>
      </c>
      <c r="GM11">
        <v>0.18419035689999999</v>
      </c>
      <c r="GN11">
        <v>0.61814451690000005</v>
      </c>
      <c r="GO11">
        <v>1.730833834</v>
      </c>
      <c r="GP11">
        <v>10.244948320000001</v>
      </c>
      <c r="GQ11">
        <v>2.2141686059999999</v>
      </c>
      <c r="GR11">
        <v>5.909874415</v>
      </c>
      <c r="GS11">
        <v>16.05515883</v>
      </c>
      <c r="GT11">
        <v>77.182308509999999</v>
      </c>
      <c r="GU11">
        <v>12.24090432</v>
      </c>
      <c r="GV11">
        <v>48.443744870000003</v>
      </c>
      <c r="GW11">
        <v>107.74602659999999</v>
      </c>
      <c r="GX11">
        <v>2.165011179</v>
      </c>
      <c r="GY11">
        <v>0.53495769179999997</v>
      </c>
      <c r="GZ11">
        <v>1.1442810349999999</v>
      </c>
      <c r="HA11">
        <v>3.8615659839999998</v>
      </c>
      <c r="HB11">
        <v>1.7202372699999999</v>
      </c>
      <c r="HC11">
        <v>0.27097616899999999</v>
      </c>
      <c r="HD11">
        <v>1.118129393</v>
      </c>
      <c r="HE11">
        <v>2.731394925</v>
      </c>
      <c r="HF11">
        <v>3.8852484500000002</v>
      </c>
      <c r="HG11">
        <v>0.74009036979999998</v>
      </c>
      <c r="HH11">
        <v>2.262410429</v>
      </c>
      <c r="HI11">
        <v>6.1108310000000001</v>
      </c>
      <c r="HJ11">
        <v>1.722462994</v>
      </c>
      <c r="HK11">
        <v>0.32190791340000002</v>
      </c>
      <c r="HL11">
        <v>0.97174371429999995</v>
      </c>
      <c r="HM11">
        <v>2.6677910260000002</v>
      </c>
      <c r="HN11">
        <v>6.5462301109999999</v>
      </c>
      <c r="HO11">
        <v>1.60941427</v>
      </c>
      <c r="HP11">
        <v>3.4750890000000001</v>
      </c>
      <c r="HQ11">
        <v>10.894253000000001</v>
      </c>
      <c r="HR11">
        <v>0.61447308540000001</v>
      </c>
      <c r="HS11">
        <v>0.10564005260000001</v>
      </c>
      <c r="HT11">
        <v>0.33891945649999999</v>
      </c>
      <c r="HU11">
        <v>0.9415626359</v>
      </c>
      <c r="HV11">
        <v>0.79871938649999996</v>
      </c>
      <c r="HW11">
        <v>0.14740531309999999</v>
      </c>
      <c r="HX11">
        <v>0.4355680374</v>
      </c>
      <c r="HY11">
        <v>1.255204319</v>
      </c>
      <c r="HZ11">
        <v>0.35073366379999998</v>
      </c>
      <c r="IA11">
        <v>0.2772747042</v>
      </c>
      <c r="IB11">
        <v>-0.43201871660000002</v>
      </c>
      <c r="IC11">
        <v>1.1800571769999999</v>
      </c>
      <c r="ID11">
        <v>3.6116689050000002</v>
      </c>
      <c r="IE11">
        <v>0.65020794100000001</v>
      </c>
      <c r="IF11">
        <v>2.6527466510000002</v>
      </c>
      <c r="IG11">
        <v>5.8711439219999999</v>
      </c>
      <c r="IH11">
        <v>3.6775291449999998</v>
      </c>
      <c r="II11">
        <v>1.158103364</v>
      </c>
      <c r="IJ11">
        <v>1.721605871</v>
      </c>
      <c r="IK11">
        <v>7.4875724659999996</v>
      </c>
      <c r="IL11">
        <v>2.868700966</v>
      </c>
      <c r="IM11">
        <v>0.74055145519999999</v>
      </c>
      <c r="IN11">
        <v>1.4487055579999999</v>
      </c>
      <c r="IO11">
        <v>5.1240902119999996</v>
      </c>
      <c r="IP11">
        <v>6.2166832469999997</v>
      </c>
      <c r="IQ11">
        <v>1.5894173599999999</v>
      </c>
      <c r="IR11">
        <v>3.2150069999999999</v>
      </c>
      <c r="IS11">
        <v>10.578531999999999</v>
      </c>
      <c r="IT11">
        <v>4.5438205109999998</v>
      </c>
      <c r="IU11">
        <v>1.4517721619999999</v>
      </c>
      <c r="IV11">
        <v>1.069202</v>
      </c>
      <c r="IW11">
        <v>8.2034070000000003</v>
      </c>
      <c r="IX11">
        <v>0.13320433170000001</v>
      </c>
      <c r="IY11">
        <v>2.2277192580000001E-2</v>
      </c>
      <c r="IZ11">
        <v>9.2781999680000005E-2</v>
      </c>
      <c r="JA11">
        <v>0.20642499929999999</v>
      </c>
      <c r="JB11">
        <v>3.4212588020000001</v>
      </c>
      <c r="JC11">
        <v>0.54929759479999996</v>
      </c>
      <c r="JD11">
        <v>2.2779314159999999</v>
      </c>
      <c r="JE11">
        <v>5.0673411320000001</v>
      </c>
      <c r="JF11">
        <v>1.8290202390000001</v>
      </c>
      <c r="JG11">
        <v>1.5580023569999999</v>
      </c>
      <c r="JH11">
        <v>2.4624476730000001E-2</v>
      </c>
      <c r="JI11">
        <v>10.366904699999999</v>
      </c>
      <c r="JJ11">
        <v>1.1398370520000001</v>
      </c>
      <c r="JK11">
        <v>0.18453760159999999</v>
      </c>
      <c r="JL11">
        <v>0.61814451690000005</v>
      </c>
      <c r="JM11">
        <v>1.730833466</v>
      </c>
      <c r="JN11">
        <v>10.25764015</v>
      </c>
      <c r="JO11">
        <v>2.1852412870000002</v>
      </c>
      <c r="JP11">
        <v>5.9344988919999997</v>
      </c>
      <c r="JQ11">
        <v>16.05515883</v>
      </c>
      <c r="JR11">
        <v>77.082556060000002</v>
      </c>
      <c r="JS11">
        <v>12.331374739999999</v>
      </c>
      <c r="JT11">
        <v>48.443744870000003</v>
      </c>
      <c r="JU11">
        <v>107.7795266</v>
      </c>
      <c r="JV11">
        <v>3.2844776580000001</v>
      </c>
      <c r="JW11">
        <v>0.9054827312</v>
      </c>
      <c r="JX11">
        <v>1.693057499</v>
      </c>
      <c r="JY11">
        <v>6.0207523820000004</v>
      </c>
      <c r="JZ11">
        <v>3.2655468839999999</v>
      </c>
      <c r="KA11">
        <v>0.93251865840000003</v>
      </c>
      <c r="KB11">
        <v>1.3637198420000001</v>
      </c>
      <c r="KC11">
        <v>6.8645768030000003</v>
      </c>
      <c r="KD11">
        <v>6.5500245420000001</v>
      </c>
      <c r="KE11">
        <v>1.254843309</v>
      </c>
      <c r="KF11">
        <v>3.405897</v>
      </c>
      <c r="KG11">
        <v>9.3935639999999996</v>
      </c>
      <c r="KH11">
        <v>4.9404211980000001</v>
      </c>
      <c r="KI11">
        <v>1.5822473859999999</v>
      </c>
      <c r="KJ11">
        <v>2.0029062500000001</v>
      </c>
      <c r="KK11">
        <v>8.4649429999999999</v>
      </c>
      <c r="KL11">
        <v>6.5500245420000001</v>
      </c>
      <c r="KM11">
        <v>1.254843309</v>
      </c>
      <c r="KN11">
        <v>3.405897</v>
      </c>
      <c r="KO11">
        <v>9.3935639999999996</v>
      </c>
      <c r="KP11">
        <v>1.515217474</v>
      </c>
      <c r="KQ11">
        <v>0.3965248743</v>
      </c>
      <c r="KR11">
        <v>0.5928254932</v>
      </c>
      <c r="KS11">
        <v>2.5714649340000002</v>
      </c>
      <c r="KT11">
        <v>1.8228311660000001</v>
      </c>
      <c r="KU11">
        <v>0.41094476149999998</v>
      </c>
      <c r="KV11">
        <v>0.76793686039999998</v>
      </c>
      <c r="KW11">
        <v>2.9145855140000001</v>
      </c>
      <c r="KX11">
        <v>0.12441165479999999</v>
      </c>
      <c r="KY11">
        <v>0.59871677180000005</v>
      </c>
      <c r="KZ11">
        <v>-1.708430661</v>
      </c>
      <c r="LA11">
        <v>1.6435500119999999</v>
      </c>
      <c r="LB11">
        <v>2.4759286810000001</v>
      </c>
      <c r="LC11">
        <v>0.90773148429999995</v>
      </c>
      <c r="LD11">
        <v>1.327858631</v>
      </c>
      <c r="LE11">
        <v>5.9954783489999999</v>
      </c>
      <c r="LF11">
        <v>2.0926433960000002</v>
      </c>
      <c r="LG11">
        <v>1.000785297</v>
      </c>
      <c r="LH11">
        <v>0.62651999780000001</v>
      </c>
      <c r="LI11">
        <v>5.343359982</v>
      </c>
      <c r="LJ11">
        <v>0.24221001540000001</v>
      </c>
      <c r="LK11">
        <v>5.0129065049999998E-2</v>
      </c>
      <c r="LL11">
        <v>0.14075725989999999</v>
      </c>
      <c r="LM11">
        <v>0.40827417840000002</v>
      </c>
      <c r="LN11">
        <v>18.951760419999999</v>
      </c>
      <c r="LO11">
        <v>9.7790361810000004</v>
      </c>
      <c r="LP11">
        <v>2.0768890849999999</v>
      </c>
      <c r="LQ11">
        <v>45.043165649999999</v>
      </c>
      <c r="LR11">
        <v>3.4396706510000001</v>
      </c>
      <c r="LS11">
        <v>1.169324593</v>
      </c>
      <c r="LT11">
        <v>1.2126556770000001</v>
      </c>
      <c r="LU11">
        <v>6.686135052</v>
      </c>
      <c r="LV11">
        <v>21.652150859999999</v>
      </c>
      <c r="LW11">
        <v>8.4416852509999991</v>
      </c>
      <c r="LX11">
        <v>0</v>
      </c>
      <c r="LY11">
        <v>41.160284560000001</v>
      </c>
      <c r="LZ11">
        <v>6.0092392410000004</v>
      </c>
      <c r="MA11">
        <v>3.0430482410000002</v>
      </c>
      <c r="MB11">
        <v>1.871481621</v>
      </c>
      <c r="MC11">
        <v>15.96118246</v>
      </c>
      <c r="MD11">
        <v>3.2576473369999999</v>
      </c>
      <c r="ME11">
        <v>0.87146063230000004</v>
      </c>
      <c r="MF11">
        <v>1.693057499</v>
      </c>
      <c r="MG11">
        <v>5.8237434280000002</v>
      </c>
      <c r="MH11">
        <v>3.2315416049999999</v>
      </c>
      <c r="MI11">
        <v>0.89541043210000004</v>
      </c>
      <c r="MJ11">
        <v>1.3637198420000001</v>
      </c>
      <c r="MK11">
        <v>6.4207847859999996</v>
      </c>
      <c r="ML11">
        <v>6.4891889420000002</v>
      </c>
      <c r="MM11">
        <v>1.204098382</v>
      </c>
      <c r="MN11">
        <v>3.405897</v>
      </c>
      <c r="MO11">
        <v>9.1824720000000006</v>
      </c>
      <c r="MP11">
        <v>4.8554206600000001</v>
      </c>
      <c r="MQ11">
        <v>1.4734709580000001</v>
      </c>
      <c r="MR11">
        <v>2.0029062500000001</v>
      </c>
      <c r="MS11">
        <v>8.036346</v>
      </c>
      <c r="MT11">
        <v>6.4891889420000002</v>
      </c>
      <c r="MU11">
        <v>1.204098382</v>
      </c>
      <c r="MV11">
        <v>3.405897</v>
      </c>
      <c r="MW11">
        <v>9.1824720000000006</v>
      </c>
      <c r="MX11">
        <v>1.508550329</v>
      </c>
      <c r="MY11">
        <v>0.39434083860000002</v>
      </c>
      <c r="MZ11">
        <v>0.5928254932</v>
      </c>
      <c r="NA11">
        <v>2.5714469750000002</v>
      </c>
      <c r="NB11">
        <v>1.8114902509999999</v>
      </c>
      <c r="NC11">
        <v>0.40614950150000001</v>
      </c>
      <c r="ND11">
        <v>0.76793686039999998</v>
      </c>
      <c r="NE11">
        <v>2.8881076280000002</v>
      </c>
      <c r="NF11">
        <v>0.1232138656</v>
      </c>
      <c r="NG11">
        <v>0.58057598889999995</v>
      </c>
      <c r="NH11">
        <v>-1.658264153</v>
      </c>
      <c r="NI11">
        <v>1.4563971520000001</v>
      </c>
      <c r="NJ11">
        <v>2.4456177449999998</v>
      </c>
      <c r="NK11">
        <v>0.85648171169999998</v>
      </c>
      <c r="NL11">
        <v>1.327858631</v>
      </c>
      <c r="NM11">
        <v>5.9160288440000004</v>
      </c>
      <c r="NN11">
        <v>2.075922018</v>
      </c>
      <c r="NO11">
        <v>0.98506043779999997</v>
      </c>
      <c r="NP11">
        <v>0.62651999780000001</v>
      </c>
      <c r="NQ11">
        <v>5.2715999819999997</v>
      </c>
      <c r="NR11">
        <v>0.24030952689999999</v>
      </c>
      <c r="NS11">
        <v>4.8468031369999998E-2</v>
      </c>
      <c r="NT11">
        <v>0.14075725989999999</v>
      </c>
      <c r="NU11">
        <v>0.39338867360000002</v>
      </c>
      <c r="NV11">
        <v>18.990645950000001</v>
      </c>
      <c r="NW11">
        <v>9.8256357669999996</v>
      </c>
      <c r="NX11">
        <v>1.7896597439999999</v>
      </c>
      <c r="NY11">
        <v>45.043165649999999</v>
      </c>
      <c r="NZ11">
        <v>3.4333292160000002</v>
      </c>
      <c r="OA11">
        <v>1.16430393</v>
      </c>
      <c r="OB11">
        <v>1.2126556770000001</v>
      </c>
      <c r="OC11">
        <v>6.6834932990000002</v>
      </c>
      <c r="OD11">
        <v>21.752618500000001</v>
      </c>
      <c r="OE11">
        <v>8.4119281200000007</v>
      </c>
      <c r="OF11">
        <v>3.5634865199999997E-2</v>
      </c>
      <c r="OG11">
        <v>41.162174110000002</v>
      </c>
      <c r="OH11">
        <v>6.0221720889999997</v>
      </c>
      <c r="OI11">
        <v>3.007968698</v>
      </c>
      <c r="OJ11">
        <v>1.896957287</v>
      </c>
      <c r="OK11">
        <v>15.96118246</v>
      </c>
      <c r="OL11">
        <v>1.9986322480000001</v>
      </c>
      <c r="OM11">
        <v>-0.1099145488</v>
      </c>
      <c r="ON11">
        <v>2.5852200019999998</v>
      </c>
      <c r="OO11">
        <v>7.619624</v>
      </c>
      <c r="OP11">
        <v>7.5131949999999996</v>
      </c>
      <c r="OQ11">
        <v>15.132819</v>
      </c>
      <c r="OR11">
        <v>1.6440400070000001</v>
      </c>
      <c r="OS11" s="2">
        <v>7.0483557960000003E-5</v>
      </c>
      <c r="OT11">
        <v>2.6851636689999999E-3</v>
      </c>
      <c r="OU11" s="2">
        <v>7.0483557960000003E-5</v>
      </c>
      <c r="OV11">
        <v>1.908406136E-3</v>
      </c>
      <c r="OW11">
        <v>2.4758678640000001E-3</v>
      </c>
      <c r="OX11">
        <v>2.092958049E-4</v>
      </c>
      <c r="OY11">
        <v>5.8050674249999998</v>
      </c>
      <c r="OZ11">
        <v>1.2670729780000001</v>
      </c>
      <c r="PA11">
        <v>1.6842420789999999</v>
      </c>
      <c r="PB11">
        <v>7.103610432</v>
      </c>
      <c r="PC11">
        <v>92.535847340000004</v>
      </c>
      <c r="PD11">
        <v>1.9836438139999999</v>
      </c>
      <c r="PE11">
        <v>-8.6175305260000001E-2</v>
      </c>
      <c r="PF11">
        <v>2.4602118640000001</v>
      </c>
      <c r="PG11">
        <v>6.6910049999999996</v>
      </c>
      <c r="PH11">
        <v>6.5861099999999997</v>
      </c>
      <c r="PI11">
        <v>13.277115</v>
      </c>
      <c r="PJ11">
        <v>1.637949847</v>
      </c>
      <c r="PK11" s="2">
        <v>6.8429253410000007E-5</v>
      </c>
      <c r="PL11">
        <v>2.6804403300000001E-3</v>
      </c>
      <c r="PM11" s="2">
        <v>6.8429253410000007E-5</v>
      </c>
      <c r="PN11">
        <v>1.9080337679999999E-3</v>
      </c>
      <c r="PO11">
        <v>2.4749062320000002E-3</v>
      </c>
      <c r="PP11">
        <v>2.0553409749999999E-4</v>
      </c>
      <c r="PQ11">
        <v>5.8052390440000003</v>
      </c>
      <c r="PR11">
        <v>1.207792263</v>
      </c>
      <c r="PS11">
        <v>1.5810400870000001</v>
      </c>
      <c r="PT11">
        <v>7.0962634470000001</v>
      </c>
      <c r="PU11">
        <v>92.531368060000005</v>
      </c>
      <c r="PV11">
        <v>6.7473613879999998</v>
      </c>
      <c r="PW11">
        <v>1.543498198</v>
      </c>
      <c r="PX11">
        <v>2.115567478</v>
      </c>
      <c r="PY11">
        <v>9.0317328809999999</v>
      </c>
      <c r="PZ11">
        <v>92.264159640000003</v>
      </c>
      <c r="QA11">
        <v>6.7476050699999996</v>
      </c>
      <c r="QB11">
        <v>1.493540756</v>
      </c>
      <c r="QC11">
        <v>1.996806651</v>
      </c>
      <c r="QD11">
        <v>9.0285332609999998</v>
      </c>
      <c r="QE11">
        <v>92.270354670000003</v>
      </c>
      <c r="QF11" s="2">
        <v>7.8896328359999996E-5</v>
      </c>
      <c r="QG11">
        <v>2.298564085E-3</v>
      </c>
      <c r="QH11">
        <v>3.0677779150000001E-3</v>
      </c>
      <c r="QI11">
        <v>2.5140876710000001E-4</v>
      </c>
      <c r="QJ11" s="2">
        <v>7.6629298999999999E-5</v>
      </c>
      <c r="QK11">
        <v>2.2985220590000001E-3</v>
      </c>
      <c r="QL11">
        <v>3.0677039409999999E-3</v>
      </c>
      <c r="QM11">
        <v>2.4676220469999999E-4</v>
      </c>
      <c r="QN11">
        <v>4.9090966570000001</v>
      </c>
      <c r="QO11">
        <v>3.5147315959999998</v>
      </c>
      <c r="QP11">
        <v>10.229835339999999</v>
      </c>
      <c r="QQ11">
        <v>177.98298339999999</v>
      </c>
      <c r="QR11">
        <v>4.8851022950000003</v>
      </c>
      <c r="QS11">
        <v>3.514680314</v>
      </c>
      <c r="QT11">
        <v>10.228815490000001</v>
      </c>
      <c r="QU11">
        <v>177.98058</v>
      </c>
    </row>
    <row r="12" spans="1:463" x14ac:dyDescent="0.2">
      <c r="A12" t="s">
        <v>282</v>
      </c>
      <c r="B12" s="2">
        <v>-3.801943675E-12</v>
      </c>
      <c r="C12" s="2">
        <v>-7.7286351399999996E-12</v>
      </c>
      <c r="D12">
        <v>8.588843941E-4</v>
      </c>
      <c r="E12">
        <v>3.8802149729999999E-2</v>
      </c>
      <c r="F12">
        <v>0.3655914743</v>
      </c>
      <c r="G12">
        <v>2.6332498890000002E-3</v>
      </c>
      <c r="H12">
        <v>0.1189633403</v>
      </c>
      <c r="I12">
        <v>1.1208652939999999</v>
      </c>
      <c r="J12">
        <v>32.616037740000003</v>
      </c>
      <c r="K12">
        <v>32.616896619999999</v>
      </c>
      <c r="L12">
        <v>32.616896619999999</v>
      </c>
      <c r="M12">
        <v>32.616896619999999</v>
      </c>
      <c r="N12">
        <v>32.578094470000003</v>
      </c>
      <c r="O12">
        <v>32.616896619999999</v>
      </c>
      <c r="P12">
        <v>32.25130515</v>
      </c>
      <c r="Q12">
        <v>32.616896619999999</v>
      </c>
      <c r="R12">
        <v>4.9108249380000002</v>
      </c>
      <c r="S12">
        <v>1.009701266</v>
      </c>
      <c r="T12">
        <v>3.1737276460000001</v>
      </c>
      <c r="U12">
        <v>7.8510152870000001</v>
      </c>
      <c r="V12">
        <v>5.0283683779999997</v>
      </c>
      <c r="W12">
        <v>1.042686461</v>
      </c>
      <c r="X12">
        <v>2.6806830129999999</v>
      </c>
      <c r="Y12">
        <v>8.3435230009999994</v>
      </c>
      <c r="Z12">
        <v>9.9391933160000008</v>
      </c>
      <c r="AA12">
        <v>1.366462903</v>
      </c>
      <c r="AB12">
        <v>7.0577199999999998</v>
      </c>
      <c r="AC12">
        <v>13.654813000000001</v>
      </c>
      <c r="AD12">
        <v>3.2602028299999999</v>
      </c>
      <c r="AE12">
        <v>0.9495336352</v>
      </c>
      <c r="AF12">
        <v>1.7209346320000001</v>
      </c>
      <c r="AG12">
        <v>7.1674550000000004</v>
      </c>
      <c r="AH12">
        <v>9.9391933160000008</v>
      </c>
      <c r="AI12">
        <v>1.366462903</v>
      </c>
      <c r="AJ12">
        <v>7.0577199999999998</v>
      </c>
      <c r="AK12">
        <v>13.654813000000001</v>
      </c>
      <c r="AL12">
        <v>1.767907873</v>
      </c>
      <c r="AM12">
        <v>0.36800448219999998</v>
      </c>
      <c r="AN12">
        <v>1.031959246</v>
      </c>
      <c r="AO12">
        <v>2.7944181779999999</v>
      </c>
      <c r="AP12">
        <v>2.13874656</v>
      </c>
      <c r="AQ12">
        <v>0.38321136610000001</v>
      </c>
      <c r="AR12">
        <v>1.3044757</v>
      </c>
      <c r="AS12">
        <v>3.1389395109999998</v>
      </c>
      <c r="AT12">
        <v>2.4205497039999999E-2</v>
      </c>
      <c r="AU12">
        <v>0.4848548292</v>
      </c>
      <c r="AV12">
        <v>-1.6018806880000001</v>
      </c>
      <c r="AW12">
        <v>1.0965947469999999</v>
      </c>
      <c r="AX12">
        <v>2.5548865780000001</v>
      </c>
      <c r="AY12">
        <v>0.70359533500000004</v>
      </c>
      <c r="AZ12">
        <v>1.5450939189999999</v>
      </c>
      <c r="BA12">
        <v>4.8544208519999996</v>
      </c>
      <c r="BB12">
        <v>0.40710875229999999</v>
      </c>
      <c r="BC12">
        <v>0.23964775469999999</v>
      </c>
      <c r="BD12">
        <v>0.135804545</v>
      </c>
      <c r="BE12">
        <v>1.793999994</v>
      </c>
      <c r="BF12">
        <v>4.037076688</v>
      </c>
      <c r="BG12">
        <v>0.67902493679999998</v>
      </c>
      <c r="BH12">
        <v>2.7264959769999999</v>
      </c>
      <c r="BI12">
        <v>6.3565222029999999</v>
      </c>
      <c r="BJ12">
        <v>3.9627310640000002</v>
      </c>
      <c r="BK12">
        <v>3.9065531349999998</v>
      </c>
      <c r="BL12">
        <v>0.1104728237</v>
      </c>
      <c r="BM12">
        <v>20.898561699999998</v>
      </c>
      <c r="BN12">
        <v>3.9424633230000001</v>
      </c>
      <c r="BO12">
        <v>1.0314789499999999</v>
      </c>
      <c r="BP12">
        <v>2.0141582690000002</v>
      </c>
      <c r="BQ12">
        <v>6.6326308870000004</v>
      </c>
      <c r="BR12">
        <v>30.353572620000001</v>
      </c>
      <c r="BS12">
        <v>12.406109669999999</v>
      </c>
      <c r="BT12">
        <v>5.5741360279999999</v>
      </c>
      <c r="BU12">
        <v>73.635238060000006</v>
      </c>
      <c r="BV12">
        <v>4.6603930939999998</v>
      </c>
      <c r="BW12">
        <v>0.83423416989999999</v>
      </c>
      <c r="BX12">
        <v>3.1737276460000001</v>
      </c>
      <c r="BY12">
        <v>7.3864438659999996</v>
      </c>
      <c r="BZ12">
        <v>4.8545304170000003</v>
      </c>
      <c r="CA12">
        <v>0.89902942119999996</v>
      </c>
      <c r="CB12">
        <v>2.6806830129999999</v>
      </c>
      <c r="CC12">
        <v>7.4138521810000002</v>
      </c>
      <c r="CD12">
        <v>9.5149235109999992</v>
      </c>
      <c r="CE12">
        <v>1.055761505</v>
      </c>
      <c r="CF12">
        <v>7.0577199999999998</v>
      </c>
      <c r="CG12">
        <v>11.458532999999999</v>
      </c>
      <c r="CH12">
        <v>3.1949865000000002</v>
      </c>
      <c r="CI12">
        <v>0.88592124539999995</v>
      </c>
      <c r="CJ12">
        <v>1.7209346320000001</v>
      </c>
      <c r="CK12">
        <v>6.5687313329999997</v>
      </c>
      <c r="CL12">
        <v>9.5149235109999992</v>
      </c>
      <c r="CM12">
        <v>1.055761505</v>
      </c>
      <c r="CN12">
        <v>7.0577199999999998</v>
      </c>
      <c r="CO12">
        <v>11.458532999999999</v>
      </c>
      <c r="CP12">
        <v>1.7599795300000001</v>
      </c>
      <c r="CQ12">
        <v>0.36338810040000002</v>
      </c>
      <c r="CR12">
        <v>1.031959246</v>
      </c>
      <c r="CS12">
        <v>2.7922317310000002</v>
      </c>
      <c r="CT12">
        <v>2.1235787099999999</v>
      </c>
      <c r="CU12">
        <v>0.3736851222</v>
      </c>
      <c r="CV12">
        <v>1.3044757</v>
      </c>
      <c r="CW12">
        <v>3.057488121</v>
      </c>
      <c r="CX12">
        <v>2.0914509479999999E-2</v>
      </c>
      <c r="CY12">
        <v>0.46421787219999999</v>
      </c>
      <c r="CZ12">
        <v>-1.505323086</v>
      </c>
      <c r="DA12">
        <v>1.0965947469999999</v>
      </c>
      <c r="DB12">
        <v>2.4965267290000002</v>
      </c>
      <c r="DC12">
        <v>0.64224676010000004</v>
      </c>
      <c r="DD12">
        <v>1.5450939189999999</v>
      </c>
      <c r="DE12">
        <v>4.571108143</v>
      </c>
      <c r="DF12">
        <v>0.40069654840000002</v>
      </c>
      <c r="DG12">
        <v>0.23367146920000001</v>
      </c>
      <c r="DH12">
        <v>0.135804545</v>
      </c>
      <c r="DI12">
        <v>1.7944599939999999</v>
      </c>
      <c r="DJ12">
        <v>4.0213651969999997</v>
      </c>
      <c r="DK12">
        <v>0.66310560220000003</v>
      </c>
      <c r="DL12">
        <v>2.7264959769999999</v>
      </c>
      <c r="DM12">
        <v>6.235680253</v>
      </c>
      <c r="DN12">
        <v>5.149771468</v>
      </c>
      <c r="DO12">
        <v>4.3483428799999997</v>
      </c>
      <c r="DP12">
        <v>0.1104728237</v>
      </c>
      <c r="DQ12">
        <v>20.898561699999998</v>
      </c>
      <c r="DR12">
        <v>3.9372264769999998</v>
      </c>
      <c r="DS12">
        <v>1.0204997170000001</v>
      </c>
      <c r="DT12">
        <v>2.0141582690000002</v>
      </c>
      <c r="DU12">
        <v>6.5331560629999998</v>
      </c>
      <c r="DV12">
        <v>30.800001980000001</v>
      </c>
      <c r="DW12">
        <v>12.63877692</v>
      </c>
      <c r="DX12">
        <v>5.5727071290000003</v>
      </c>
      <c r="DY12">
        <v>73.635238060000006</v>
      </c>
      <c r="DZ12">
        <v>2.2960045509999998</v>
      </c>
      <c r="EA12">
        <v>0.5349396622</v>
      </c>
      <c r="EB12">
        <v>1.246417015</v>
      </c>
      <c r="EC12">
        <v>3.8848757040000002</v>
      </c>
      <c r="ED12">
        <v>1.8404553299999999</v>
      </c>
      <c r="EE12">
        <v>0.28893141109999998</v>
      </c>
      <c r="EF12">
        <v>1.1994810819999999</v>
      </c>
      <c r="EG12">
        <v>2.9845420260000002</v>
      </c>
      <c r="EH12">
        <v>4.1364598810000004</v>
      </c>
      <c r="EI12">
        <v>0.75389747819999997</v>
      </c>
      <c r="EJ12">
        <v>2.4821458569999999</v>
      </c>
      <c r="EK12">
        <v>6.3401084289999998</v>
      </c>
      <c r="EL12">
        <v>1.834568177</v>
      </c>
      <c r="EM12">
        <v>0.29600789719999998</v>
      </c>
      <c r="EN12">
        <v>1.199922054</v>
      </c>
      <c r="EO12">
        <v>2.7363917180000001</v>
      </c>
      <c r="EP12">
        <v>6.8665593579999999</v>
      </c>
      <c r="EQ12">
        <v>1.6246731990000001</v>
      </c>
      <c r="ER12">
        <v>3.902536</v>
      </c>
      <c r="ES12">
        <v>11.939590000000001</v>
      </c>
      <c r="ET12">
        <v>0.64739436969999997</v>
      </c>
      <c r="EU12">
        <v>0.1139601983</v>
      </c>
      <c r="EV12">
        <v>0.36240524800000001</v>
      </c>
      <c r="EW12">
        <v>0.99804515839999997</v>
      </c>
      <c r="EX12">
        <v>0.83776509030000001</v>
      </c>
      <c r="EY12">
        <v>0.1533651077</v>
      </c>
      <c r="EZ12">
        <v>0.47870647579999998</v>
      </c>
      <c r="FA12">
        <v>1.316733591</v>
      </c>
      <c r="FB12">
        <v>0.33050218269999998</v>
      </c>
      <c r="FC12">
        <v>0.26238402929999999</v>
      </c>
      <c r="FD12">
        <v>-0.42866915770000003</v>
      </c>
      <c r="FE12">
        <v>1.1199514429999999</v>
      </c>
      <c r="FF12">
        <v>3.5911619629999998</v>
      </c>
      <c r="FG12">
        <v>0.60954946779999997</v>
      </c>
      <c r="FH12">
        <v>2.6325667429999999</v>
      </c>
      <c r="FI12">
        <v>5.4664277090000004</v>
      </c>
      <c r="FJ12">
        <v>3.8260686860000002</v>
      </c>
      <c r="FK12">
        <v>1.203568261</v>
      </c>
      <c r="FL12">
        <v>1.882443686</v>
      </c>
      <c r="FM12">
        <v>8.4983282750000004</v>
      </c>
      <c r="FN12">
        <v>3.0404906719999998</v>
      </c>
      <c r="FO12">
        <v>0.74384461310000005</v>
      </c>
      <c r="FP12">
        <v>1.7426187959999999</v>
      </c>
      <c r="FQ12">
        <v>6.2773498009999997</v>
      </c>
      <c r="FR12">
        <v>6.511109695</v>
      </c>
      <c r="FS12">
        <v>1.602248508</v>
      </c>
      <c r="FT12">
        <v>3.322632</v>
      </c>
      <c r="FU12">
        <v>11.187412</v>
      </c>
      <c r="FV12">
        <v>4.9360103469999999</v>
      </c>
      <c r="FW12">
        <v>1.4214485910000001</v>
      </c>
      <c r="FX12">
        <v>1.0622149999999999</v>
      </c>
      <c r="FY12">
        <v>8.6996450000000003</v>
      </c>
      <c r="FZ12">
        <v>0.12182514229999999</v>
      </c>
      <c r="GA12">
        <v>1.89966515E-2</v>
      </c>
      <c r="GB12">
        <v>8.8275483569999993E-2</v>
      </c>
      <c r="GC12">
        <v>0.19072551660000001</v>
      </c>
      <c r="GD12">
        <v>3.885733364</v>
      </c>
      <c r="GE12">
        <v>0.63823831009999998</v>
      </c>
      <c r="GF12">
        <v>2.5561713699999999</v>
      </c>
      <c r="GG12">
        <v>5.9806444990000003</v>
      </c>
      <c r="GH12">
        <v>1.584706645</v>
      </c>
      <c r="GI12">
        <v>1.493655076</v>
      </c>
      <c r="GJ12">
        <v>2.4624476730000001E-2</v>
      </c>
      <c r="GK12">
        <v>7.9783304599999996</v>
      </c>
      <c r="GL12">
        <v>1.217053994</v>
      </c>
      <c r="GM12">
        <v>0.20802693089999999</v>
      </c>
      <c r="GN12">
        <v>0.63040519490000002</v>
      </c>
      <c r="GO12">
        <v>1.83619121</v>
      </c>
      <c r="GP12">
        <v>10.08869777</v>
      </c>
      <c r="GQ12">
        <v>2.0036774579999999</v>
      </c>
      <c r="GR12">
        <v>5.8606254619999998</v>
      </c>
      <c r="GS12">
        <v>15.6611672</v>
      </c>
      <c r="GT12">
        <v>84.000936050000007</v>
      </c>
      <c r="GU12">
        <v>12.51966316</v>
      </c>
      <c r="GV12">
        <v>52.431369330000003</v>
      </c>
      <c r="GW12">
        <v>113.2817357</v>
      </c>
      <c r="GX12">
        <v>2.276294043</v>
      </c>
      <c r="GY12">
        <v>0.53192050459999995</v>
      </c>
      <c r="GZ12">
        <v>1.246417015</v>
      </c>
      <c r="HA12">
        <v>3.8816912750000001</v>
      </c>
      <c r="HB12">
        <v>1.827182214</v>
      </c>
      <c r="HC12">
        <v>0.28112571310000001</v>
      </c>
      <c r="HD12">
        <v>1.1994810819999999</v>
      </c>
      <c r="HE12">
        <v>2.8623307480000002</v>
      </c>
      <c r="HF12">
        <v>4.1034762560000004</v>
      </c>
      <c r="HG12">
        <v>0.73993732580000005</v>
      </c>
      <c r="HH12">
        <v>2.4821458569999999</v>
      </c>
      <c r="HI12">
        <v>6.2925931430000004</v>
      </c>
      <c r="HJ12">
        <v>1.8249580329999999</v>
      </c>
      <c r="HK12">
        <v>0.29123226460000001</v>
      </c>
      <c r="HL12">
        <v>1.199922054</v>
      </c>
      <c r="HM12">
        <v>2.7363808719999998</v>
      </c>
      <c r="HN12">
        <v>6.8156221370000001</v>
      </c>
      <c r="HO12">
        <v>1.5782325239999999</v>
      </c>
      <c r="HP12">
        <v>3.902536</v>
      </c>
      <c r="HQ12">
        <v>11.918635999999999</v>
      </c>
      <c r="HR12">
        <v>0.64410361670000005</v>
      </c>
      <c r="HS12">
        <v>0.11242404759999999</v>
      </c>
      <c r="HT12">
        <v>0.36240524800000001</v>
      </c>
      <c r="HU12">
        <v>0.99741321670000005</v>
      </c>
      <c r="HV12">
        <v>0.83270990199999995</v>
      </c>
      <c r="HW12">
        <v>0.1510993739</v>
      </c>
      <c r="HX12">
        <v>0.47870647579999998</v>
      </c>
      <c r="HY12">
        <v>1.3155532700000001</v>
      </c>
      <c r="HZ12">
        <v>0.32512159800000001</v>
      </c>
      <c r="IA12">
        <v>0.265598632</v>
      </c>
      <c r="IB12">
        <v>-0.43585599089999999</v>
      </c>
      <c r="IC12">
        <v>1.1199514429999999</v>
      </c>
      <c r="ID12">
        <v>3.5842378680000002</v>
      </c>
      <c r="IE12">
        <v>0.61619706340000002</v>
      </c>
      <c r="IF12">
        <v>2.6306477030000002</v>
      </c>
      <c r="IG12">
        <v>5.5300050819999997</v>
      </c>
      <c r="IH12">
        <v>3.801889466</v>
      </c>
      <c r="II12">
        <v>1.1837282650000001</v>
      </c>
      <c r="IJ12">
        <v>1.878709781</v>
      </c>
      <c r="IK12">
        <v>8.4773742750000007</v>
      </c>
      <c r="IL12">
        <v>3.0137326710000001</v>
      </c>
      <c r="IM12">
        <v>0.70798028589999995</v>
      </c>
      <c r="IN12">
        <v>1.7426187959999999</v>
      </c>
      <c r="IO12">
        <v>4.8552844469999998</v>
      </c>
      <c r="IP12">
        <v>6.4392753630000001</v>
      </c>
      <c r="IQ12">
        <v>1.5258267190000001</v>
      </c>
      <c r="IR12">
        <v>3.322632</v>
      </c>
      <c r="IS12">
        <v>10.443144</v>
      </c>
      <c r="IT12">
        <v>4.8447083580000001</v>
      </c>
      <c r="IU12">
        <v>1.4569512680000001</v>
      </c>
      <c r="IV12">
        <v>0.90854100000000004</v>
      </c>
      <c r="IW12">
        <v>8.6996450000000003</v>
      </c>
      <c r="IX12">
        <v>0.1219218401</v>
      </c>
      <c r="IY12">
        <v>1.8931965070000001E-2</v>
      </c>
      <c r="IZ12">
        <v>8.519343721E-2</v>
      </c>
      <c r="JA12">
        <v>0.19072551660000001</v>
      </c>
      <c r="JB12">
        <v>3.8693892609999998</v>
      </c>
      <c r="JC12">
        <v>0.63078754879999999</v>
      </c>
      <c r="JD12">
        <v>2.5561713699999999</v>
      </c>
      <c r="JE12">
        <v>5.9159272930000002</v>
      </c>
      <c r="JF12">
        <v>1.572373955</v>
      </c>
      <c r="JG12">
        <v>1.5063395820000001</v>
      </c>
      <c r="JH12">
        <v>2.4624476730000001E-2</v>
      </c>
      <c r="JI12">
        <v>8.5939423789999996</v>
      </c>
      <c r="JJ12">
        <v>1.2127695270000001</v>
      </c>
      <c r="JK12">
        <v>0.20761612630000001</v>
      </c>
      <c r="JL12">
        <v>0.63040519490000002</v>
      </c>
      <c r="JM12">
        <v>1.835195865</v>
      </c>
      <c r="JN12">
        <v>10.11899736</v>
      </c>
      <c r="JO12">
        <v>1.9895202320000001</v>
      </c>
      <c r="JP12">
        <v>5.909874415</v>
      </c>
      <c r="JQ12">
        <v>15.168677669999999</v>
      </c>
      <c r="JR12">
        <v>83.925955130000006</v>
      </c>
      <c r="JS12">
        <v>12.51830891</v>
      </c>
      <c r="JT12">
        <v>52.431369330000003</v>
      </c>
      <c r="JU12">
        <v>117.3799336</v>
      </c>
      <c r="JV12">
        <v>3.2316080559999998</v>
      </c>
      <c r="JW12">
        <v>0.89595267460000005</v>
      </c>
      <c r="JX12">
        <v>1.6396143510000001</v>
      </c>
      <c r="JY12">
        <v>5.8754542440000002</v>
      </c>
      <c r="JZ12">
        <v>3.2487833340000001</v>
      </c>
      <c r="KA12">
        <v>0.93332477410000003</v>
      </c>
      <c r="KB12">
        <v>1.3945029280000001</v>
      </c>
      <c r="KC12">
        <v>6.8279940039999998</v>
      </c>
      <c r="KD12">
        <v>6.4803913890000002</v>
      </c>
      <c r="KE12">
        <v>1.262709533</v>
      </c>
      <c r="KF12">
        <v>3.5643009999999999</v>
      </c>
      <c r="KG12">
        <v>9.3643780000000003</v>
      </c>
      <c r="KH12">
        <v>4.8699664240000002</v>
      </c>
      <c r="KI12">
        <v>1.4633037360000001</v>
      </c>
      <c r="KJ12">
        <v>1.9905870000000001</v>
      </c>
      <c r="KK12">
        <v>8.6764069999999993</v>
      </c>
      <c r="KL12">
        <v>6.4803913890000002</v>
      </c>
      <c r="KM12">
        <v>1.262709533</v>
      </c>
      <c r="KN12">
        <v>3.5643009999999999</v>
      </c>
      <c r="KO12">
        <v>9.3643780000000003</v>
      </c>
      <c r="KP12">
        <v>1.4939566479999999</v>
      </c>
      <c r="KQ12">
        <v>0.40172588529999997</v>
      </c>
      <c r="KR12">
        <v>0.58872092730000003</v>
      </c>
      <c r="KS12">
        <v>2.5980332800000001</v>
      </c>
      <c r="KT12">
        <v>1.7951604569999999</v>
      </c>
      <c r="KU12">
        <v>0.41535241249999999</v>
      </c>
      <c r="KV12">
        <v>0.77678905919999996</v>
      </c>
      <c r="KW12">
        <v>2.8677349150000002</v>
      </c>
      <c r="KX12">
        <v>0.10931550330000001</v>
      </c>
      <c r="KY12">
        <v>0.5998838152</v>
      </c>
      <c r="KZ12">
        <v>-1.731029293</v>
      </c>
      <c r="LA12">
        <v>1.606076072</v>
      </c>
      <c r="LB12">
        <v>2.4754222389999998</v>
      </c>
      <c r="LC12">
        <v>0.90286230300000003</v>
      </c>
      <c r="LD12">
        <v>1.329058815</v>
      </c>
      <c r="LE12">
        <v>6.0532639760000002</v>
      </c>
      <c r="LF12">
        <v>2.1136354310000001</v>
      </c>
      <c r="LG12">
        <v>1.039641525</v>
      </c>
      <c r="LH12">
        <v>0.60719999790000001</v>
      </c>
      <c r="LI12">
        <v>5.3447399820000001</v>
      </c>
      <c r="LJ12">
        <v>0.2411519</v>
      </c>
      <c r="LK12">
        <v>5.0988728910000003E-2</v>
      </c>
      <c r="LL12">
        <v>0.1309277935</v>
      </c>
      <c r="LM12">
        <v>0.40252881010000002</v>
      </c>
      <c r="LN12">
        <v>19.167289839999999</v>
      </c>
      <c r="LO12">
        <v>9.8537972969999998</v>
      </c>
      <c r="LP12">
        <v>2.0989836500000001</v>
      </c>
      <c r="LQ12">
        <v>44.413405140000002</v>
      </c>
      <c r="LR12">
        <v>3.3738557039999999</v>
      </c>
      <c r="LS12">
        <v>1.158360147</v>
      </c>
      <c r="LT12">
        <v>1.1176222220000001</v>
      </c>
      <c r="LU12">
        <v>6.3779256560000004</v>
      </c>
      <c r="LV12">
        <v>21.618851360000001</v>
      </c>
      <c r="LW12">
        <v>8.5494808009999996</v>
      </c>
      <c r="LX12">
        <v>0</v>
      </c>
      <c r="LY12">
        <v>40.963323019999997</v>
      </c>
      <c r="LZ12">
        <v>5.9886988179999996</v>
      </c>
      <c r="MA12">
        <v>3.0998232959999998</v>
      </c>
      <c r="MB12">
        <v>1.870998409</v>
      </c>
      <c r="MC12">
        <v>16.469038269999999</v>
      </c>
      <c r="MD12">
        <v>3.198917899</v>
      </c>
      <c r="ME12">
        <v>0.85393875249999995</v>
      </c>
      <c r="MF12">
        <v>1.6396143510000001</v>
      </c>
      <c r="MG12">
        <v>5.6460435699999998</v>
      </c>
      <c r="MH12">
        <v>3.2135413380000002</v>
      </c>
      <c r="MI12">
        <v>0.89459586889999998</v>
      </c>
      <c r="MJ12">
        <v>1.3945029280000001</v>
      </c>
      <c r="MK12">
        <v>6.4106966620000003</v>
      </c>
      <c r="ML12">
        <v>6.4124592370000002</v>
      </c>
      <c r="MM12">
        <v>1.207475195</v>
      </c>
      <c r="MN12">
        <v>3.5643009999999999</v>
      </c>
      <c r="MO12">
        <v>9.1174669999999995</v>
      </c>
      <c r="MP12">
        <v>4.8600006779999996</v>
      </c>
      <c r="MQ12">
        <v>1.410843252</v>
      </c>
      <c r="MR12">
        <v>1.9905870000000001</v>
      </c>
      <c r="MS12">
        <v>7.9541430000000002</v>
      </c>
      <c r="MT12">
        <v>6.4124592370000002</v>
      </c>
      <c r="MU12">
        <v>1.207475195</v>
      </c>
      <c r="MV12">
        <v>3.5643009999999999</v>
      </c>
      <c r="MW12">
        <v>9.1174669999999995</v>
      </c>
      <c r="MX12">
        <v>1.4866848450000001</v>
      </c>
      <c r="MY12">
        <v>0.39914812459999999</v>
      </c>
      <c r="MZ12">
        <v>0.58872092730000003</v>
      </c>
      <c r="NA12">
        <v>2.595960646</v>
      </c>
      <c r="NB12">
        <v>1.78286166</v>
      </c>
      <c r="NC12">
        <v>0.40994289680000001</v>
      </c>
      <c r="ND12">
        <v>0.77678905919999996</v>
      </c>
      <c r="NE12">
        <v>2.8221370760000002</v>
      </c>
      <c r="NF12">
        <v>0.1058478393</v>
      </c>
      <c r="NG12">
        <v>0.58021266419999995</v>
      </c>
      <c r="NH12">
        <v>-1.6874974460000001</v>
      </c>
      <c r="NI12">
        <v>1.4574493930000001</v>
      </c>
      <c r="NJ12">
        <v>2.440999889</v>
      </c>
      <c r="NK12">
        <v>0.84302107969999995</v>
      </c>
      <c r="NL12">
        <v>1.329058815</v>
      </c>
      <c r="NM12">
        <v>5.8604326340000004</v>
      </c>
      <c r="NN12">
        <v>2.1139673430000001</v>
      </c>
      <c r="NO12">
        <v>1.027942954</v>
      </c>
      <c r="NP12">
        <v>0.60995999789999999</v>
      </c>
      <c r="NQ12">
        <v>5.2784999819999996</v>
      </c>
      <c r="NR12">
        <v>0.23910559470000001</v>
      </c>
      <c r="NS12">
        <v>4.952918295E-2</v>
      </c>
      <c r="NT12">
        <v>0.1309277935</v>
      </c>
      <c r="NU12">
        <v>0.39785822780000002</v>
      </c>
      <c r="NV12">
        <v>19.209899289999999</v>
      </c>
      <c r="NW12">
        <v>9.8728897870000001</v>
      </c>
      <c r="NX12">
        <v>2.0989836500000001</v>
      </c>
      <c r="NY12">
        <v>44.413405140000002</v>
      </c>
      <c r="NZ12">
        <v>3.3671087810000002</v>
      </c>
      <c r="OA12">
        <v>1.152029999</v>
      </c>
      <c r="OB12">
        <v>1.1176222220000001</v>
      </c>
      <c r="OC12">
        <v>6.3736708159999997</v>
      </c>
      <c r="OD12">
        <v>21.71616817</v>
      </c>
      <c r="OE12">
        <v>8.5113261940000005</v>
      </c>
      <c r="OF12">
        <v>0</v>
      </c>
      <c r="OG12">
        <v>40.982454089999997</v>
      </c>
      <c r="OH12">
        <v>5.9657387829999999</v>
      </c>
      <c r="OI12">
        <v>3.0723145079999998</v>
      </c>
      <c r="OJ12">
        <v>1.894477604</v>
      </c>
      <c r="OK12">
        <v>16.39451773</v>
      </c>
      <c r="OL12">
        <v>1.995453156</v>
      </c>
      <c r="OM12">
        <v>-0.139189813</v>
      </c>
      <c r="ON12">
        <v>2.6316058689999999</v>
      </c>
      <c r="OO12">
        <v>7.7282039999999999</v>
      </c>
      <c r="OP12">
        <v>7.6501950000000001</v>
      </c>
      <c r="OQ12">
        <v>15.378399</v>
      </c>
      <c r="OR12">
        <v>1.636786546</v>
      </c>
      <c r="OS12" s="2">
        <v>7.1293699929999996E-5</v>
      </c>
      <c r="OT12">
        <v>2.6585436500000002E-3</v>
      </c>
      <c r="OU12" s="2">
        <v>7.1293699929999996E-5</v>
      </c>
      <c r="OV12">
        <v>1.907504911E-3</v>
      </c>
      <c r="OW12">
        <v>2.445362089E-3</v>
      </c>
      <c r="OX12">
        <v>2.1318156100000001E-4</v>
      </c>
      <c r="OY12">
        <v>5.7342957999999999</v>
      </c>
      <c r="OZ12">
        <v>1.2714929639999999</v>
      </c>
      <c r="PA12">
        <v>1.7470758550000001</v>
      </c>
      <c r="PB12">
        <v>7.0152721710000003</v>
      </c>
      <c r="PC12">
        <v>91.964766690000005</v>
      </c>
      <c r="PD12">
        <v>1.9793384140000001</v>
      </c>
      <c r="PE12">
        <v>-0.11712082209999999</v>
      </c>
      <c r="PF12">
        <v>2.4933943360000002</v>
      </c>
      <c r="PG12">
        <v>6.9514639999999996</v>
      </c>
      <c r="PH12">
        <v>6.529547</v>
      </c>
      <c r="PI12">
        <v>13.481011000000001</v>
      </c>
      <c r="PJ12">
        <v>1.630266923</v>
      </c>
      <c r="PK12" s="2">
        <v>6.8814782749999998E-5</v>
      </c>
      <c r="PL12">
        <v>2.654388467E-3</v>
      </c>
      <c r="PM12" s="2">
        <v>6.8814782749999998E-5</v>
      </c>
      <c r="PN12">
        <v>1.907176662E-3</v>
      </c>
      <c r="PO12">
        <v>2.4449743379999999E-3</v>
      </c>
      <c r="PP12">
        <v>2.094141291E-4</v>
      </c>
      <c r="PQ12">
        <v>5.7330528479999998</v>
      </c>
      <c r="PR12">
        <v>1.2039349699999999</v>
      </c>
      <c r="PS12">
        <v>1.650022898</v>
      </c>
      <c r="PT12">
        <v>7.004913223</v>
      </c>
      <c r="PU12">
        <v>91.953294510000006</v>
      </c>
      <c r="PV12">
        <v>6.707725978</v>
      </c>
      <c r="PW12">
        <v>1.5424024350000001</v>
      </c>
      <c r="PX12">
        <v>2.1501464050000001</v>
      </c>
      <c r="PY12">
        <v>8.5587678230000002</v>
      </c>
      <c r="PZ12">
        <v>91.931485679999994</v>
      </c>
      <c r="QA12">
        <v>6.7055411329999997</v>
      </c>
      <c r="QB12">
        <v>1.479947216</v>
      </c>
      <c r="QC12">
        <v>2.0358524139999998</v>
      </c>
      <c r="QD12">
        <v>8.5603935880000002</v>
      </c>
      <c r="QE12">
        <v>91.918396319999999</v>
      </c>
      <c r="QF12" s="2">
        <v>8.0094005550000003E-5</v>
      </c>
      <c r="QG12">
        <v>2.2802490230000002E-3</v>
      </c>
      <c r="QH12">
        <v>3.0101169770000002E-3</v>
      </c>
      <c r="QI12">
        <v>2.5583624910000002E-4</v>
      </c>
      <c r="QJ12" s="2">
        <v>7.7370660009999995E-5</v>
      </c>
      <c r="QK12">
        <v>2.2801683669999998E-3</v>
      </c>
      <c r="QL12">
        <v>3.009922633E-3</v>
      </c>
      <c r="QM12">
        <v>2.5126704490000001E-4</v>
      </c>
      <c r="QN12">
        <v>4.7798424410000004</v>
      </c>
      <c r="QO12">
        <v>3.5154795509999999</v>
      </c>
      <c r="QP12">
        <v>10.23628725</v>
      </c>
      <c r="QQ12">
        <v>177.99168710000001</v>
      </c>
      <c r="QR12">
        <v>4.7612105250000001</v>
      </c>
      <c r="QS12">
        <v>3.5155830479999999</v>
      </c>
      <c r="QT12">
        <v>10.23459016</v>
      </c>
      <c r="QU12">
        <v>177.99001630000001</v>
      </c>
    </row>
    <row r="13" spans="1:463" x14ac:dyDescent="0.2">
      <c r="A13" t="s">
        <v>283</v>
      </c>
      <c r="B13" s="2">
        <v>2.4811825279999999E-12</v>
      </c>
      <c r="C13" s="2">
        <v>2.950239202E-12</v>
      </c>
      <c r="D13">
        <v>6.7107246740000001E-2</v>
      </c>
      <c r="E13">
        <v>0.1067473325</v>
      </c>
      <c r="F13">
        <v>0.43564292339999999</v>
      </c>
      <c r="G13">
        <v>0.20574381280000001</v>
      </c>
      <c r="H13">
        <v>0.32727617739999998</v>
      </c>
      <c r="I13">
        <v>1.3356357240000001</v>
      </c>
      <c r="J13">
        <v>32.54978938</v>
      </c>
      <c r="K13">
        <v>32.616896619999999</v>
      </c>
      <c r="L13">
        <v>32.616896619999999</v>
      </c>
      <c r="M13">
        <v>32.616896619999999</v>
      </c>
      <c r="N13">
        <v>32.510149290000001</v>
      </c>
      <c r="O13">
        <v>32.616896619999999</v>
      </c>
      <c r="P13">
        <v>32.181253699999999</v>
      </c>
      <c r="Q13">
        <v>32.616896619999999</v>
      </c>
      <c r="R13">
        <v>5.010131919</v>
      </c>
      <c r="S13">
        <v>0.86720554719999998</v>
      </c>
      <c r="T13">
        <v>3.026110756</v>
      </c>
      <c r="U13">
        <v>7.821095004</v>
      </c>
      <c r="V13">
        <v>5.2850369490000002</v>
      </c>
      <c r="W13">
        <v>1.0035979740000001</v>
      </c>
      <c r="X13">
        <v>2.8085076519999999</v>
      </c>
      <c r="Y13">
        <v>9.1724820050000009</v>
      </c>
      <c r="Z13">
        <v>10.295168869999999</v>
      </c>
      <c r="AA13">
        <v>1.24029912</v>
      </c>
      <c r="AB13">
        <v>7.4823409999999999</v>
      </c>
      <c r="AC13">
        <v>13.7737</v>
      </c>
      <c r="AD13">
        <v>3.3670607189999999</v>
      </c>
      <c r="AE13">
        <v>0.68912330580000003</v>
      </c>
      <c r="AF13">
        <v>1.9504206669999999</v>
      </c>
      <c r="AG13">
        <v>5.6016838</v>
      </c>
      <c r="AH13">
        <v>10.295168869999999</v>
      </c>
      <c r="AI13">
        <v>1.24029912</v>
      </c>
      <c r="AJ13">
        <v>7.4823409999999999</v>
      </c>
      <c r="AK13">
        <v>13.7737</v>
      </c>
      <c r="AL13">
        <v>1.8351430200000001</v>
      </c>
      <c r="AM13">
        <v>0.34136766410000002</v>
      </c>
      <c r="AN13">
        <v>1.1393090720000001</v>
      </c>
      <c r="AO13">
        <v>2.7551125540000001</v>
      </c>
      <c r="AP13">
        <v>2.2135580290000001</v>
      </c>
      <c r="AQ13">
        <v>0.35558238790000002</v>
      </c>
      <c r="AR13">
        <v>1.375873538</v>
      </c>
      <c r="AS13">
        <v>3.2274787900000002</v>
      </c>
      <c r="AT13">
        <v>6.1087202879999997E-2</v>
      </c>
      <c r="AU13">
        <v>0.45734757310000002</v>
      </c>
      <c r="AV13">
        <v>-1.2882928300000001</v>
      </c>
      <c r="AW13">
        <v>1.236267716</v>
      </c>
      <c r="AX13">
        <v>2.4940433180000001</v>
      </c>
      <c r="AY13">
        <v>0.62555198619999997</v>
      </c>
      <c r="AZ13">
        <v>1.5043244920000001</v>
      </c>
      <c r="BA13">
        <v>4.4926526679999998</v>
      </c>
      <c r="BB13">
        <v>0.26338592420000001</v>
      </c>
      <c r="BC13">
        <v>0.1230047262</v>
      </c>
      <c r="BD13">
        <v>0.1190249996</v>
      </c>
      <c r="BE13">
        <v>1.0369319960000001</v>
      </c>
      <c r="BF13">
        <v>10.627149129999999</v>
      </c>
      <c r="BG13">
        <v>1.910187056</v>
      </c>
      <c r="BH13">
        <v>6.2850442419999997</v>
      </c>
      <c r="BI13">
        <v>18.643234069999998</v>
      </c>
      <c r="BJ13">
        <v>4.3905799009999997</v>
      </c>
      <c r="BK13">
        <v>3.8481923469999999</v>
      </c>
      <c r="BL13">
        <v>0.17675651789999999</v>
      </c>
      <c r="BM13">
        <v>23.35395493</v>
      </c>
      <c r="BN13">
        <v>4.0870040449999996</v>
      </c>
      <c r="BO13">
        <v>0.97122650470000005</v>
      </c>
      <c r="BP13">
        <v>2.0518582890000001</v>
      </c>
      <c r="BQ13">
        <v>6.9650273189999998</v>
      </c>
      <c r="BR13">
        <v>43.901175899999998</v>
      </c>
      <c r="BS13">
        <v>14.58432264</v>
      </c>
      <c r="BT13">
        <v>9.6438339590000002</v>
      </c>
      <c r="BU13">
        <v>84.015963319999997</v>
      </c>
      <c r="BV13">
        <v>4.8781355819999996</v>
      </c>
      <c r="BW13">
        <v>0.82686046189999995</v>
      </c>
      <c r="BX13">
        <v>3.026110756</v>
      </c>
      <c r="BY13">
        <v>7.6648994760000004</v>
      </c>
      <c r="BZ13">
        <v>5.0915992599999997</v>
      </c>
      <c r="CA13">
        <v>0.86868922189999997</v>
      </c>
      <c r="CB13">
        <v>2.8085076519999999</v>
      </c>
      <c r="CC13">
        <v>7.4477768209999997</v>
      </c>
      <c r="CD13">
        <v>9.9697348419999994</v>
      </c>
      <c r="CE13">
        <v>0.98805415090000004</v>
      </c>
      <c r="CF13">
        <v>7.4823409999999999</v>
      </c>
      <c r="CG13">
        <v>11.8408</v>
      </c>
      <c r="CH13">
        <v>3.309503796</v>
      </c>
      <c r="CI13">
        <v>0.65797745360000004</v>
      </c>
      <c r="CJ13">
        <v>1.9504206669999999</v>
      </c>
      <c r="CK13">
        <v>5.6016838</v>
      </c>
      <c r="CL13">
        <v>9.9697348419999994</v>
      </c>
      <c r="CM13">
        <v>0.98805415090000004</v>
      </c>
      <c r="CN13">
        <v>7.4823409999999999</v>
      </c>
      <c r="CO13">
        <v>11.8408</v>
      </c>
      <c r="CP13">
        <v>1.824292217</v>
      </c>
      <c r="CQ13">
        <v>0.3342436962</v>
      </c>
      <c r="CR13">
        <v>1.1393090720000001</v>
      </c>
      <c r="CS13">
        <v>2.7534216470000001</v>
      </c>
      <c r="CT13">
        <v>2.1951027939999999</v>
      </c>
      <c r="CU13">
        <v>0.34181460130000002</v>
      </c>
      <c r="CV13">
        <v>1.375873538</v>
      </c>
      <c r="CW13">
        <v>3.1396638769999998</v>
      </c>
      <c r="CX13">
        <v>6.7599179950000005E-2</v>
      </c>
      <c r="CY13">
        <v>0.441241049</v>
      </c>
      <c r="CZ13">
        <v>-1.1495785970000001</v>
      </c>
      <c r="DA13">
        <v>1.2362676969999999</v>
      </c>
      <c r="DB13">
        <v>2.4515692690000002</v>
      </c>
      <c r="DC13">
        <v>0.57767442739999997</v>
      </c>
      <c r="DD13">
        <v>1.5043245119999999</v>
      </c>
      <c r="DE13">
        <v>4.4926526090000003</v>
      </c>
      <c r="DF13">
        <v>0.2588940341</v>
      </c>
      <c r="DG13">
        <v>0.1194967409</v>
      </c>
      <c r="DH13">
        <v>0.115215918</v>
      </c>
      <c r="DI13">
        <v>1.0369319960000001</v>
      </c>
      <c r="DJ13">
        <v>10.519337439999999</v>
      </c>
      <c r="DK13">
        <v>1.8486462969999999</v>
      </c>
      <c r="DL13">
        <v>6.2850442419999997</v>
      </c>
      <c r="DM13">
        <v>18.513993209999999</v>
      </c>
      <c r="DN13">
        <v>4.9020527569999999</v>
      </c>
      <c r="DO13">
        <v>4.1204276889999996</v>
      </c>
      <c r="DP13">
        <v>0.17675651789999999</v>
      </c>
      <c r="DQ13">
        <v>23.35395493</v>
      </c>
      <c r="DR13">
        <v>4.074315393</v>
      </c>
      <c r="DS13">
        <v>0.9538358106</v>
      </c>
      <c r="DT13">
        <v>2.0518582890000001</v>
      </c>
      <c r="DU13">
        <v>6.9645519699999996</v>
      </c>
      <c r="DV13">
        <v>44.526739300000003</v>
      </c>
      <c r="DW13">
        <v>14.794559420000001</v>
      </c>
      <c r="DX13">
        <v>9.6438339590000002</v>
      </c>
      <c r="DY13">
        <v>86.793562699999995</v>
      </c>
      <c r="DZ13">
        <v>2.6392929839999999</v>
      </c>
      <c r="EA13">
        <v>0.57992324930000005</v>
      </c>
      <c r="EB13">
        <v>1.2341981580000001</v>
      </c>
      <c r="EC13">
        <v>4.1707469149999996</v>
      </c>
      <c r="ED13">
        <v>2.2107278620000002</v>
      </c>
      <c r="EE13">
        <v>0.3310591061</v>
      </c>
      <c r="EF13">
        <v>1.425618533</v>
      </c>
      <c r="EG13">
        <v>3.1698653239999999</v>
      </c>
      <c r="EH13">
        <v>4.8500208469999997</v>
      </c>
      <c r="EI13">
        <v>0.82231933850000005</v>
      </c>
      <c r="EJ13">
        <v>2.8077351429999999</v>
      </c>
      <c r="EK13">
        <v>6.8622791430000003</v>
      </c>
      <c r="EL13">
        <v>2.188610707</v>
      </c>
      <c r="EM13">
        <v>0.3257325653</v>
      </c>
      <c r="EN13">
        <v>1.420960582</v>
      </c>
      <c r="EO13">
        <v>3.0293209820000002</v>
      </c>
      <c r="EP13">
        <v>7.6893804790000004</v>
      </c>
      <c r="EQ13">
        <v>1.642892332</v>
      </c>
      <c r="ER13">
        <v>4.5034869999999998</v>
      </c>
      <c r="ES13">
        <v>13.574825000000001</v>
      </c>
      <c r="ET13">
        <v>0.72486492820000004</v>
      </c>
      <c r="EU13">
        <v>0.1223979005</v>
      </c>
      <c r="EV13">
        <v>0.44800091600000003</v>
      </c>
      <c r="EW13">
        <v>1.0613066250000001</v>
      </c>
      <c r="EX13">
        <v>0.94649994309999996</v>
      </c>
      <c r="EY13">
        <v>0.16477179920000001</v>
      </c>
      <c r="EZ13">
        <v>0.55431976449999998</v>
      </c>
      <c r="FA13">
        <v>1.4072722550000001</v>
      </c>
      <c r="FB13">
        <v>0.34801505929999998</v>
      </c>
      <c r="FC13">
        <v>0.32273203280000001</v>
      </c>
      <c r="FD13">
        <v>-0.62592480689999996</v>
      </c>
      <c r="FE13">
        <v>1.212985926</v>
      </c>
      <c r="FF13">
        <v>3.9047155550000001</v>
      </c>
      <c r="FG13">
        <v>0.92078366</v>
      </c>
      <c r="FH13">
        <v>2.635209047</v>
      </c>
      <c r="FI13">
        <v>7.9600279970000001</v>
      </c>
      <c r="FJ13">
        <v>4.2005169269999998</v>
      </c>
      <c r="FK13">
        <v>1.2237228689999999</v>
      </c>
      <c r="FL13">
        <v>1.799876729</v>
      </c>
      <c r="FM13">
        <v>8.4171289149999993</v>
      </c>
      <c r="FN13">
        <v>3.4883416729999999</v>
      </c>
      <c r="FO13">
        <v>0.78997026240000001</v>
      </c>
      <c r="FP13">
        <v>1.88559462</v>
      </c>
      <c r="FQ13">
        <v>5.9193176489999999</v>
      </c>
      <c r="FR13">
        <v>7.2871820530000004</v>
      </c>
      <c r="FS13">
        <v>1.6282997539999999</v>
      </c>
      <c r="FT13">
        <v>4.0613200000000003</v>
      </c>
      <c r="FU13">
        <v>13.574825000000001</v>
      </c>
      <c r="FV13">
        <v>5.395782037</v>
      </c>
      <c r="FW13">
        <v>1.4925853769999999</v>
      </c>
      <c r="FX13">
        <v>1.812046</v>
      </c>
      <c r="FY13">
        <v>8.8661659999999998</v>
      </c>
      <c r="FZ13">
        <v>9.3754626899999999E-2</v>
      </c>
      <c r="GA13">
        <v>1.5714436040000002E-2</v>
      </c>
      <c r="GB13">
        <v>6.3924137709999995E-2</v>
      </c>
      <c r="GC13">
        <v>0.14605621569999999</v>
      </c>
      <c r="GD13">
        <v>10.194348379999999</v>
      </c>
      <c r="GE13">
        <v>1.8890954440000001</v>
      </c>
      <c r="GF13">
        <v>5.6859913559999997</v>
      </c>
      <c r="GG13">
        <v>16.11646309</v>
      </c>
      <c r="GH13">
        <v>1.467558972</v>
      </c>
      <c r="GI13">
        <v>1.344111388</v>
      </c>
      <c r="GJ13">
        <v>9.8497906920000003E-2</v>
      </c>
      <c r="GK13">
        <v>8.3230731349999996</v>
      </c>
      <c r="GL13">
        <v>1.3488658069999999</v>
      </c>
      <c r="GM13">
        <v>0.2315676404</v>
      </c>
      <c r="GN13">
        <v>0.86697516399999996</v>
      </c>
      <c r="GO13">
        <v>1.9270577149999999</v>
      </c>
      <c r="GP13">
        <v>9.6891490850000004</v>
      </c>
      <c r="GQ13">
        <v>2.1379932610000001</v>
      </c>
      <c r="GR13">
        <v>4.6294016249999999</v>
      </c>
      <c r="GS13">
        <v>16.27677912</v>
      </c>
      <c r="GT13">
        <v>109.46070709999999</v>
      </c>
      <c r="GU13">
        <v>17.125026810000001</v>
      </c>
      <c r="GV13">
        <v>68.466788289999997</v>
      </c>
      <c r="GW13">
        <v>156.4354305</v>
      </c>
      <c r="GX13">
        <v>2.620392345</v>
      </c>
      <c r="GY13">
        <v>0.57048989390000004</v>
      </c>
      <c r="GZ13">
        <v>1.2341981580000001</v>
      </c>
      <c r="HA13">
        <v>4.0805303569999998</v>
      </c>
      <c r="HB13">
        <v>2.1928803289999999</v>
      </c>
      <c r="HC13">
        <v>0.32134805579999998</v>
      </c>
      <c r="HD13">
        <v>1.4169176240000001</v>
      </c>
      <c r="HE13">
        <v>3.1589966550000002</v>
      </c>
      <c r="HF13">
        <v>4.8132726740000003</v>
      </c>
      <c r="HG13">
        <v>0.79656914459999995</v>
      </c>
      <c r="HH13">
        <v>2.8077351429999999</v>
      </c>
      <c r="HI13">
        <v>6.7413805709999997</v>
      </c>
      <c r="HJ13">
        <v>2.1706921050000001</v>
      </c>
      <c r="HK13">
        <v>0.31407948479999998</v>
      </c>
      <c r="HL13">
        <v>1.420960582</v>
      </c>
      <c r="HM13">
        <v>3.015983436</v>
      </c>
      <c r="HN13">
        <v>7.5813001470000003</v>
      </c>
      <c r="HO13">
        <v>1.499292377</v>
      </c>
      <c r="HP13">
        <v>4.5034879999999999</v>
      </c>
      <c r="HQ13">
        <v>12.07747</v>
      </c>
      <c r="HR13">
        <v>0.72216404479999996</v>
      </c>
      <c r="HS13">
        <v>0.120923131</v>
      </c>
      <c r="HT13">
        <v>0.44800091600000003</v>
      </c>
      <c r="HU13">
        <v>1.0606384179999999</v>
      </c>
      <c r="HV13">
        <v>0.9422033178</v>
      </c>
      <c r="HW13">
        <v>0.16221611150000001</v>
      </c>
      <c r="HX13">
        <v>0.55431976449999998</v>
      </c>
      <c r="HY13">
        <v>1.405777077</v>
      </c>
      <c r="HZ13">
        <v>0.34447617000000003</v>
      </c>
      <c r="IA13">
        <v>0.33385851179999998</v>
      </c>
      <c r="IB13">
        <v>-0.78175630169999999</v>
      </c>
      <c r="IC13">
        <v>1.21298583</v>
      </c>
      <c r="ID13">
        <v>3.9285816489999998</v>
      </c>
      <c r="IE13">
        <v>1.0826127059999999</v>
      </c>
      <c r="IF13">
        <v>2.6352089209999998</v>
      </c>
      <c r="IG13">
        <v>10.384665569999999</v>
      </c>
      <c r="IH13">
        <v>4.1557650820000003</v>
      </c>
      <c r="II13">
        <v>1.1686237589999999</v>
      </c>
      <c r="IJ13">
        <v>1.799876729</v>
      </c>
      <c r="IK13">
        <v>8.0225640709999997</v>
      </c>
      <c r="IL13">
        <v>3.4250131810000002</v>
      </c>
      <c r="IM13">
        <v>0.73055822400000003</v>
      </c>
      <c r="IN13">
        <v>1.88559462</v>
      </c>
      <c r="IO13">
        <v>5.1078322859999998</v>
      </c>
      <c r="IP13">
        <v>7.1757765320000004</v>
      </c>
      <c r="IQ13">
        <v>1.452894409</v>
      </c>
      <c r="IR13">
        <v>4.0613200000000003</v>
      </c>
      <c r="IS13">
        <v>12.07747</v>
      </c>
      <c r="IT13">
        <v>5.3597830950000001</v>
      </c>
      <c r="IU13">
        <v>1.4995034060000001</v>
      </c>
      <c r="IV13">
        <v>1.535229</v>
      </c>
      <c r="IW13">
        <v>8.8661659999999998</v>
      </c>
      <c r="IX13">
        <v>9.3456819139999994E-2</v>
      </c>
      <c r="IY13">
        <v>1.567855198E-2</v>
      </c>
      <c r="IZ13">
        <v>6.3924137709999995E-2</v>
      </c>
      <c r="JA13">
        <v>0.14605621569999999</v>
      </c>
      <c r="JB13">
        <v>10.102874180000001</v>
      </c>
      <c r="JC13">
        <v>1.8356886589999999</v>
      </c>
      <c r="JD13">
        <v>5.6859913559999997</v>
      </c>
      <c r="JE13">
        <v>15.88817519</v>
      </c>
      <c r="JF13">
        <v>1.494495385</v>
      </c>
      <c r="JG13">
        <v>1.3457363739999999</v>
      </c>
      <c r="JH13">
        <v>9.8497906920000003E-2</v>
      </c>
      <c r="JI13">
        <v>8.0522038909999996</v>
      </c>
      <c r="JJ13">
        <v>1.344685804</v>
      </c>
      <c r="JK13">
        <v>0.2309424773</v>
      </c>
      <c r="JL13">
        <v>0.86697516399999996</v>
      </c>
      <c r="JM13">
        <v>1.9296423869999999</v>
      </c>
      <c r="JN13">
        <v>9.7467833909999992</v>
      </c>
      <c r="JO13">
        <v>2.0986700009999999</v>
      </c>
      <c r="JP13">
        <v>4.6294016249999999</v>
      </c>
      <c r="JQ13">
        <v>16.27677912</v>
      </c>
      <c r="JR13">
        <v>109.7865506</v>
      </c>
      <c r="JS13">
        <v>17.01146585</v>
      </c>
      <c r="JT13">
        <v>68.466788289999997</v>
      </c>
      <c r="JU13">
        <v>156.4354305</v>
      </c>
      <c r="JV13">
        <v>3.2885900659999998</v>
      </c>
      <c r="JW13">
        <v>0.9108996842</v>
      </c>
      <c r="JX13">
        <v>1.651855608</v>
      </c>
      <c r="JY13">
        <v>5.9924163009999996</v>
      </c>
      <c r="JZ13">
        <v>3.2652429449999998</v>
      </c>
      <c r="KA13">
        <v>0.91698136699999999</v>
      </c>
      <c r="KB13">
        <v>1.5014223259999999</v>
      </c>
      <c r="KC13">
        <v>7.1191857589999996</v>
      </c>
      <c r="KD13">
        <v>6.553833011</v>
      </c>
      <c r="KE13">
        <v>1.2337981520000001</v>
      </c>
      <c r="KF13">
        <v>3.5422449999999999</v>
      </c>
      <c r="KG13">
        <v>9.7560479999999998</v>
      </c>
      <c r="KH13">
        <v>5.1877739319999998</v>
      </c>
      <c r="KI13">
        <v>1.6623734880000001</v>
      </c>
      <c r="KJ13">
        <v>1.7472585</v>
      </c>
      <c r="KK13">
        <v>9.4257150000000003</v>
      </c>
      <c r="KL13">
        <v>6.553833011</v>
      </c>
      <c r="KM13">
        <v>1.2337981520000001</v>
      </c>
      <c r="KN13">
        <v>3.5422449999999999</v>
      </c>
      <c r="KO13">
        <v>9.7560479999999998</v>
      </c>
      <c r="KP13">
        <v>1.506965256</v>
      </c>
      <c r="KQ13">
        <v>0.37850370659999999</v>
      </c>
      <c r="KR13">
        <v>0.71453929530000004</v>
      </c>
      <c r="KS13">
        <v>2.4984673489999998</v>
      </c>
      <c r="KT13">
        <v>1.815854804</v>
      </c>
      <c r="KU13">
        <v>0.39460385320000002</v>
      </c>
      <c r="KV13">
        <v>0.93364135869999998</v>
      </c>
      <c r="KW13">
        <v>2.8044757069999999</v>
      </c>
      <c r="KX13">
        <v>0.10953141180000001</v>
      </c>
      <c r="KY13">
        <v>0.61081688460000005</v>
      </c>
      <c r="KZ13">
        <v>-1.466273599</v>
      </c>
      <c r="LA13">
        <v>1.6650995719999999</v>
      </c>
      <c r="LB13">
        <v>2.5017096429999999</v>
      </c>
      <c r="LC13">
        <v>0.97280096910000002</v>
      </c>
      <c r="LD13">
        <v>1.346593616</v>
      </c>
      <c r="LE13">
        <v>7.3016398569999996</v>
      </c>
      <c r="LF13">
        <v>2.241341346</v>
      </c>
      <c r="LG13">
        <v>1.137599665</v>
      </c>
      <c r="LH13">
        <v>0.63203999779999998</v>
      </c>
      <c r="LI13">
        <v>5.4716999810000004</v>
      </c>
      <c r="LJ13">
        <v>0.24814105829999999</v>
      </c>
      <c r="LK13">
        <v>5.0416918739999997E-2</v>
      </c>
      <c r="LL13">
        <v>0.13423876709999999</v>
      </c>
      <c r="LM13">
        <v>0.40298491359999999</v>
      </c>
      <c r="LN13">
        <v>18.93167201</v>
      </c>
      <c r="LO13">
        <v>10.136061140000001</v>
      </c>
      <c r="LP13">
        <v>2.3862129919999999</v>
      </c>
      <c r="LQ13">
        <v>46.995139199999997</v>
      </c>
      <c r="LR13">
        <v>3.3989003539999998</v>
      </c>
      <c r="LS13">
        <v>1.1282799990000001</v>
      </c>
      <c r="LT13">
        <v>1.200403975</v>
      </c>
      <c r="LU13">
        <v>6.4756811000000001</v>
      </c>
      <c r="LV13">
        <v>22.123983030000002</v>
      </c>
      <c r="LW13">
        <v>8.5115067419999999</v>
      </c>
      <c r="LX13">
        <v>4.9491825010000001</v>
      </c>
      <c r="LY13">
        <v>42.178524080000003</v>
      </c>
      <c r="LZ13">
        <v>5.6946316870000002</v>
      </c>
      <c r="MA13">
        <v>2.9049593410000001</v>
      </c>
      <c r="MB13">
        <v>1.8275855830000001</v>
      </c>
      <c r="MC13">
        <v>15.82178349</v>
      </c>
      <c r="MD13">
        <v>3.2589256579999999</v>
      </c>
      <c r="ME13">
        <v>0.87840054310000004</v>
      </c>
      <c r="MF13">
        <v>1.651855608</v>
      </c>
      <c r="MG13">
        <v>5.9686485899999999</v>
      </c>
      <c r="MH13">
        <v>3.2181483000000002</v>
      </c>
      <c r="MI13">
        <v>0.86537669610000001</v>
      </c>
      <c r="MJ13">
        <v>1.5014223259999999</v>
      </c>
      <c r="MK13">
        <v>6.4228070270000002</v>
      </c>
      <c r="ML13">
        <v>6.4770739580000001</v>
      </c>
      <c r="MM13">
        <v>1.172660949</v>
      </c>
      <c r="MN13">
        <v>3.5422449999999999</v>
      </c>
      <c r="MO13">
        <v>9.2243549999999992</v>
      </c>
      <c r="MP13">
        <v>5.1010580599999997</v>
      </c>
      <c r="MQ13">
        <v>1.5701567080000001</v>
      </c>
      <c r="MR13">
        <v>1.7472585</v>
      </c>
      <c r="MS13">
        <v>8.8416499999999996</v>
      </c>
      <c r="MT13">
        <v>6.4770739580000001</v>
      </c>
      <c r="MU13">
        <v>1.172660949</v>
      </c>
      <c r="MV13">
        <v>3.5422449999999999</v>
      </c>
      <c r="MW13">
        <v>9.2243549999999992</v>
      </c>
      <c r="MX13">
        <v>1.4968762099999999</v>
      </c>
      <c r="MY13">
        <v>0.3744075791</v>
      </c>
      <c r="MZ13">
        <v>0.71453929530000004</v>
      </c>
      <c r="NA13">
        <v>2.4923900090000002</v>
      </c>
      <c r="NB13">
        <v>1.799717896</v>
      </c>
      <c r="NC13">
        <v>0.38728168080000003</v>
      </c>
      <c r="ND13">
        <v>0.93364135869999998</v>
      </c>
      <c r="NE13">
        <v>2.8028976490000002</v>
      </c>
      <c r="NF13">
        <v>0.1134385106</v>
      </c>
      <c r="NG13">
        <v>0.58681890339999998</v>
      </c>
      <c r="NH13">
        <v>-1.3701045599999999</v>
      </c>
      <c r="NI13">
        <v>1.625999741</v>
      </c>
      <c r="NJ13">
        <v>2.4637327469999999</v>
      </c>
      <c r="NK13">
        <v>0.90876749840000004</v>
      </c>
      <c r="NL13">
        <v>1.346593616</v>
      </c>
      <c r="NM13">
        <v>7.1609101639999997</v>
      </c>
      <c r="NN13">
        <v>2.233159917</v>
      </c>
      <c r="NO13">
        <v>1.137209782</v>
      </c>
      <c r="NP13">
        <v>0.63203999779999998</v>
      </c>
      <c r="NQ13">
        <v>5.4703199810000003</v>
      </c>
      <c r="NR13">
        <v>0.2458190167</v>
      </c>
      <c r="NS13">
        <v>4.8308096080000001E-2</v>
      </c>
      <c r="NT13">
        <v>0.13423876709999999</v>
      </c>
      <c r="NU13">
        <v>0.39975179459999999</v>
      </c>
      <c r="NV13">
        <v>18.95792131</v>
      </c>
      <c r="NW13">
        <v>10.1243166</v>
      </c>
      <c r="NX13">
        <v>2.3862129919999999</v>
      </c>
      <c r="NY13">
        <v>46.995139199999997</v>
      </c>
      <c r="NZ13">
        <v>3.3855933280000001</v>
      </c>
      <c r="OA13">
        <v>1.1184963729999999</v>
      </c>
      <c r="OB13">
        <v>1.200403975</v>
      </c>
      <c r="OC13">
        <v>6.4756811000000001</v>
      </c>
      <c r="OD13">
        <v>22.228828060000001</v>
      </c>
      <c r="OE13">
        <v>8.4080637039999999</v>
      </c>
      <c r="OF13">
        <v>4.8573683499999998</v>
      </c>
      <c r="OG13">
        <v>42.178524080000003</v>
      </c>
      <c r="OH13">
        <v>5.7285225110000004</v>
      </c>
      <c r="OI13">
        <v>2.9260342850000001</v>
      </c>
      <c r="OJ13">
        <v>1.8280466289999999</v>
      </c>
      <c r="OK13">
        <v>15.82178349</v>
      </c>
      <c r="OL13">
        <v>2.0688081299999999</v>
      </c>
      <c r="OM13">
        <v>-0.1022955338</v>
      </c>
      <c r="ON13">
        <v>2.5512378849999999</v>
      </c>
      <c r="OO13">
        <v>7.6118779999999999</v>
      </c>
      <c r="OP13">
        <v>8.0898810000000001</v>
      </c>
      <c r="OQ13">
        <v>15.701758999999999</v>
      </c>
      <c r="OR13">
        <v>1.706946673</v>
      </c>
      <c r="OS13" s="2">
        <v>7.4147417320000002E-5</v>
      </c>
      <c r="OT13">
        <v>2.7746373599999998E-3</v>
      </c>
      <c r="OU13" s="2">
        <v>7.4147417320000002E-5</v>
      </c>
      <c r="OV13">
        <v>1.9844922960000001E-3</v>
      </c>
      <c r="OW13">
        <v>2.5607457039999999E-3</v>
      </c>
      <c r="OX13">
        <v>2.138916561E-4</v>
      </c>
      <c r="OY13">
        <v>6.1123545210000003</v>
      </c>
      <c r="OZ13">
        <v>1.2787300509999999</v>
      </c>
      <c r="PA13">
        <v>1.7074578869999999</v>
      </c>
      <c r="PB13">
        <v>6.7351535159999996</v>
      </c>
      <c r="PC13">
        <v>92.894370589999994</v>
      </c>
      <c r="PD13">
        <v>2.0480843989999999</v>
      </c>
      <c r="PE13">
        <v>-6.8644457699999994E-2</v>
      </c>
      <c r="PF13">
        <v>2.4195685249999999</v>
      </c>
      <c r="PG13">
        <v>7.2436819999999997</v>
      </c>
      <c r="PH13">
        <v>7.0546939999999996</v>
      </c>
      <c r="PI13">
        <v>14.298375999999999</v>
      </c>
      <c r="PJ13">
        <v>1.6975771820000001</v>
      </c>
      <c r="PK13" s="2">
        <v>7.1927277419999995E-5</v>
      </c>
      <c r="PL13">
        <v>2.7646595989999998E-3</v>
      </c>
      <c r="PM13" s="2">
        <v>7.1927277419999995E-5</v>
      </c>
      <c r="PN13">
        <v>1.9836616810000002E-3</v>
      </c>
      <c r="PO13">
        <v>2.5568843190000002E-3</v>
      </c>
      <c r="PP13">
        <v>2.0777527930000001E-4</v>
      </c>
      <c r="PQ13">
        <v>6.1101113099999997</v>
      </c>
      <c r="PR13">
        <v>1.2231139680000001</v>
      </c>
      <c r="PS13">
        <v>1.5403466990000001</v>
      </c>
      <c r="PT13">
        <v>6.6546882810000003</v>
      </c>
      <c r="PU13">
        <v>92.898967999999996</v>
      </c>
      <c r="PV13">
        <v>7.1722909670000004</v>
      </c>
      <c r="PW13">
        <v>1.652824823</v>
      </c>
      <c r="PX13">
        <v>2.0764482279999998</v>
      </c>
      <c r="PY13">
        <v>7.098134333</v>
      </c>
      <c r="PZ13">
        <v>92.84820354</v>
      </c>
      <c r="QA13">
        <v>7.1702280959999998</v>
      </c>
      <c r="QB13">
        <v>1.5789870109999999</v>
      </c>
      <c r="QC13">
        <v>1.8694321380000001</v>
      </c>
      <c r="QD13">
        <v>7.0765014099999997</v>
      </c>
      <c r="QE13">
        <v>92.862839640000004</v>
      </c>
      <c r="QF13" s="2">
        <v>8.5977627939999999E-5</v>
      </c>
      <c r="QG13">
        <v>2.3734489840000002E-3</v>
      </c>
      <c r="QH13">
        <v>3.0779040160000002E-3</v>
      </c>
      <c r="QI13">
        <v>2.5410295929999998E-4</v>
      </c>
      <c r="QJ13" s="2">
        <v>8.3228096120000004E-5</v>
      </c>
      <c r="QK13">
        <v>2.3726541709999998E-3</v>
      </c>
      <c r="QL13">
        <v>3.076177829E-3</v>
      </c>
      <c r="QM13">
        <v>2.4644504620000002E-4</v>
      </c>
      <c r="QN13">
        <v>5.0540817379999998</v>
      </c>
      <c r="QO13">
        <v>3.5121380649999998</v>
      </c>
      <c r="QP13">
        <v>10.22812991</v>
      </c>
      <c r="QQ13">
        <v>177.99309210000001</v>
      </c>
      <c r="QR13">
        <v>5.0505030340000001</v>
      </c>
      <c r="QS13">
        <v>3.5121312169999999</v>
      </c>
      <c r="QT13">
        <v>10.227331400000001</v>
      </c>
      <c r="QU13">
        <v>177.9886765</v>
      </c>
    </row>
    <row r="14" spans="1:463" x14ac:dyDescent="0.2">
      <c r="A14" t="s">
        <v>284</v>
      </c>
      <c r="B14" s="2">
        <v>5.6195674779999997E-12</v>
      </c>
      <c r="C14" s="2">
        <v>7.4568463549999994E-12</v>
      </c>
      <c r="D14">
        <v>1.237859991E-3</v>
      </c>
      <c r="E14">
        <v>3.7792817739999998E-2</v>
      </c>
      <c r="F14">
        <v>0.35221877759999998</v>
      </c>
      <c r="G14">
        <v>3.795149507E-3</v>
      </c>
      <c r="H14">
        <v>0.1158688338</v>
      </c>
      <c r="I14">
        <v>1.0798660019999999</v>
      </c>
      <c r="J14">
        <v>32.615658760000002</v>
      </c>
      <c r="K14">
        <v>32.616896619999999</v>
      </c>
      <c r="L14">
        <v>32.616896619999999</v>
      </c>
      <c r="M14">
        <v>32.616896619999999</v>
      </c>
      <c r="N14">
        <v>32.579103809999999</v>
      </c>
      <c r="O14">
        <v>32.616896619999999</v>
      </c>
      <c r="P14">
        <v>32.264677849999998</v>
      </c>
      <c r="Q14">
        <v>32.616896619999999</v>
      </c>
      <c r="R14">
        <v>4.6782346229999998</v>
      </c>
      <c r="S14">
        <v>0.92787077279999997</v>
      </c>
      <c r="T14">
        <v>2.7628544779999999</v>
      </c>
      <c r="U14">
        <v>7.620073144</v>
      </c>
      <c r="V14">
        <v>4.6818673190000002</v>
      </c>
      <c r="W14">
        <v>1.0158762400000001</v>
      </c>
      <c r="X14">
        <v>2.6221283030000002</v>
      </c>
      <c r="Y14">
        <v>8.5948489909999992</v>
      </c>
      <c r="Z14">
        <v>9.360101942</v>
      </c>
      <c r="AA14">
        <v>1.2882178289999999</v>
      </c>
      <c r="AB14">
        <v>6.546799</v>
      </c>
      <c r="AC14">
        <v>13.213969000000001</v>
      </c>
      <c r="AD14">
        <v>3.9138832350000001</v>
      </c>
      <c r="AE14">
        <v>1.297765745</v>
      </c>
      <c r="AF14">
        <v>1.724680722</v>
      </c>
      <c r="AG14">
        <v>10.960402</v>
      </c>
      <c r="AH14">
        <v>9.360101942</v>
      </c>
      <c r="AI14">
        <v>1.2882178289999999</v>
      </c>
      <c r="AJ14">
        <v>6.546799</v>
      </c>
      <c r="AK14">
        <v>13.213969000000001</v>
      </c>
      <c r="AL14">
        <v>1.766349226</v>
      </c>
      <c r="AM14">
        <v>0.3375575958</v>
      </c>
      <c r="AN14">
        <v>1.0701282459999999</v>
      </c>
      <c r="AO14">
        <v>2.727516316</v>
      </c>
      <c r="AP14">
        <v>2.1382149890000002</v>
      </c>
      <c r="AQ14">
        <v>0.35496646840000001</v>
      </c>
      <c r="AR14">
        <v>1.288336111</v>
      </c>
      <c r="AS14">
        <v>3.195721131</v>
      </c>
      <c r="AT14">
        <v>6.9029429419999996E-2</v>
      </c>
      <c r="AU14">
        <v>0.47634244060000003</v>
      </c>
      <c r="AV14">
        <v>-1.304731672</v>
      </c>
      <c r="AW14">
        <v>1.2964743780000001</v>
      </c>
      <c r="AX14">
        <v>2.5243650010000001</v>
      </c>
      <c r="AY14">
        <v>0.66005480900000002</v>
      </c>
      <c r="AZ14">
        <v>1.4835199969999999</v>
      </c>
      <c r="BA14">
        <v>4.7681212630000003</v>
      </c>
      <c r="BB14">
        <v>0.60328629300000003</v>
      </c>
      <c r="BC14">
        <v>0.49614596970000002</v>
      </c>
      <c r="BD14">
        <v>0.23950666579999999</v>
      </c>
      <c r="BE14">
        <v>5.1418799819999998</v>
      </c>
      <c r="BF14">
        <v>6.716295745</v>
      </c>
      <c r="BG14">
        <v>1.473530853</v>
      </c>
      <c r="BH14">
        <v>3.385804356</v>
      </c>
      <c r="BI14">
        <v>12.008434790000001</v>
      </c>
      <c r="BJ14">
        <v>6.5692985500000001</v>
      </c>
      <c r="BK14">
        <v>7.0968898180000002</v>
      </c>
      <c r="BL14">
        <v>0.19885108260000001</v>
      </c>
      <c r="BM14">
        <v>36.588599199999997</v>
      </c>
      <c r="BN14">
        <v>3.9699862869999998</v>
      </c>
      <c r="BO14">
        <v>0.99728904910000005</v>
      </c>
      <c r="BP14">
        <v>1.9828626680000001</v>
      </c>
      <c r="BQ14">
        <v>6.8076748059999996</v>
      </c>
      <c r="BR14">
        <v>21.365320010000001</v>
      </c>
      <c r="BS14">
        <v>8.7488521719999994</v>
      </c>
      <c r="BT14">
        <v>1.9448139659999999</v>
      </c>
      <c r="BU14">
        <v>41.752491380000002</v>
      </c>
      <c r="BV14">
        <v>4.5718974699999997</v>
      </c>
      <c r="BW14">
        <v>0.85050128859999996</v>
      </c>
      <c r="BX14">
        <v>2.7628544779999999</v>
      </c>
      <c r="BY14">
        <v>7.3622947180000002</v>
      </c>
      <c r="BZ14">
        <v>4.5622754189999997</v>
      </c>
      <c r="CA14">
        <v>0.9013580618</v>
      </c>
      <c r="CB14">
        <v>2.6221283030000002</v>
      </c>
      <c r="CC14">
        <v>7.0691149849999997</v>
      </c>
      <c r="CD14">
        <v>9.1341728890000002</v>
      </c>
      <c r="CE14">
        <v>1.1001999579999999</v>
      </c>
      <c r="CF14">
        <v>6.546799</v>
      </c>
      <c r="CG14">
        <v>11.631081999999999</v>
      </c>
      <c r="CH14">
        <v>3.8414861419999999</v>
      </c>
      <c r="CI14">
        <v>1.2023849579999999</v>
      </c>
      <c r="CJ14">
        <v>1.724680722</v>
      </c>
      <c r="CK14">
        <v>10.960402</v>
      </c>
      <c r="CL14">
        <v>9.1341728890000002</v>
      </c>
      <c r="CM14">
        <v>1.1001999579999999</v>
      </c>
      <c r="CN14">
        <v>6.546799</v>
      </c>
      <c r="CO14">
        <v>11.631081999999999</v>
      </c>
      <c r="CP14">
        <v>1.7562400579999999</v>
      </c>
      <c r="CQ14">
        <v>0.3312142777</v>
      </c>
      <c r="CR14">
        <v>1.0701282459999999</v>
      </c>
      <c r="CS14">
        <v>2.6666815380000002</v>
      </c>
      <c r="CT14">
        <v>2.1206168660000002</v>
      </c>
      <c r="CU14">
        <v>0.3429153928</v>
      </c>
      <c r="CV14">
        <v>1.288336111</v>
      </c>
      <c r="CW14">
        <v>3.072173995</v>
      </c>
      <c r="CX14">
        <v>7.0895057760000005E-2</v>
      </c>
      <c r="CY14">
        <v>0.45498337849999998</v>
      </c>
      <c r="CZ14">
        <v>-1.197936465</v>
      </c>
      <c r="DA14">
        <v>1.2964743379999999</v>
      </c>
      <c r="DB14">
        <v>2.4782526319999998</v>
      </c>
      <c r="DC14">
        <v>0.60840946070000002</v>
      </c>
      <c r="DD14">
        <v>1.4835199969999999</v>
      </c>
      <c r="DE14">
        <v>4.7681212630000003</v>
      </c>
      <c r="DF14">
        <v>0.59518234759999999</v>
      </c>
      <c r="DG14">
        <v>0.48876105310000001</v>
      </c>
      <c r="DH14">
        <v>0.2344938453</v>
      </c>
      <c r="DI14">
        <v>5.1418799819999998</v>
      </c>
      <c r="DJ14">
        <v>6.5778322500000002</v>
      </c>
      <c r="DK14">
        <v>1.390119055</v>
      </c>
      <c r="DL14">
        <v>3.385804356</v>
      </c>
      <c r="DM14">
        <v>11.04821089</v>
      </c>
      <c r="DN14">
        <v>6.8992098019999997</v>
      </c>
      <c r="DO14">
        <v>7.0877404019999997</v>
      </c>
      <c r="DP14">
        <v>0.19885108260000001</v>
      </c>
      <c r="DQ14">
        <v>36.588599199999997</v>
      </c>
      <c r="DR14">
        <v>3.9600286069999999</v>
      </c>
      <c r="DS14">
        <v>0.98273941350000005</v>
      </c>
      <c r="DT14">
        <v>1.9828626680000001</v>
      </c>
      <c r="DU14">
        <v>6.8080534850000003</v>
      </c>
      <c r="DV14">
        <v>21.591499209999998</v>
      </c>
      <c r="DW14">
        <v>8.9015462420000002</v>
      </c>
      <c r="DX14">
        <v>1.9448139659999999</v>
      </c>
      <c r="DY14">
        <v>42.645042500000002</v>
      </c>
      <c r="DZ14">
        <v>2.280080527</v>
      </c>
      <c r="EA14">
        <v>0.6077493531</v>
      </c>
      <c r="EB14">
        <v>1.087362647</v>
      </c>
      <c r="EC14">
        <v>4.2371365140000004</v>
      </c>
      <c r="ED14">
        <v>1.6379405469999999</v>
      </c>
      <c r="EE14">
        <v>0.28879697230000001</v>
      </c>
      <c r="EF14">
        <v>0.82374292419999995</v>
      </c>
      <c r="EG14">
        <v>2.5038215780000002</v>
      </c>
      <c r="EH14">
        <v>3.9180210739999999</v>
      </c>
      <c r="EI14">
        <v>0.81207989270000003</v>
      </c>
      <c r="EJ14">
        <v>1.911105571</v>
      </c>
      <c r="EK14">
        <v>6.2063288569999999</v>
      </c>
      <c r="EL14">
        <v>2.216683169</v>
      </c>
      <c r="EM14">
        <v>0.49112742170000001</v>
      </c>
      <c r="EN14">
        <v>1.1696373</v>
      </c>
      <c r="EO14">
        <v>3.6870621109999999</v>
      </c>
      <c r="EP14">
        <v>6.7887166949999997</v>
      </c>
      <c r="EQ14">
        <v>1.790444522</v>
      </c>
      <c r="ER14">
        <v>3.308481</v>
      </c>
      <c r="ES14">
        <v>12.137416</v>
      </c>
      <c r="ET14">
        <v>0.62300943630000005</v>
      </c>
      <c r="EU14">
        <v>0.11038266789999999</v>
      </c>
      <c r="EV14">
        <v>0.3573113248</v>
      </c>
      <c r="EW14">
        <v>0.94545072350000003</v>
      </c>
      <c r="EX14">
        <v>0.82047323670000005</v>
      </c>
      <c r="EY14">
        <v>0.15518378529999999</v>
      </c>
      <c r="EZ14">
        <v>0.44423103409999998</v>
      </c>
      <c r="FA14">
        <v>1.2891132190000001</v>
      </c>
      <c r="FB14">
        <v>0.4876769111</v>
      </c>
      <c r="FC14">
        <v>0.34590734020000002</v>
      </c>
      <c r="FD14">
        <v>-0.45451332760000002</v>
      </c>
      <c r="FE14">
        <v>1.6397290259999999</v>
      </c>
      <c r="FF14">
        <v>4.0254965279999997</v>
      </c>
      <c r="FG14">
        <v>0.95586659949999997</v>
      </c>
      <c r="FH14">
        <v>2.57929086</v>
      </c>
      <c r="FI14">
        <v>7.6245954850000004</v>
      </c>
      <c r="FJ14">
        <v>3.9387286669999999</v>
      </c>
      <c r="FK14">
        <v>1.261890424</v>
      </c>
      <c r="FL14">
        <v>1.7592397070000001</v>
      </c>
      <c r="FM14">
        <v>7.4179850370000002</v>
      </c>
      <c r="FN14">
        <v>2.8499481279999999</v>
      </c>
      <c r="FO14">
        <v>0.86406991379999998</v>
      </c>
      <c r="FP14">
        <v>1.2419026390000001</v>
      </c>
      <c r="FQ14">
        <v>6.2674438879999999</v>
      </c>
      <c r="FR14">
        <v>6.4137632580000004</v>
      </c>
      <c r="FS14">
        <v>1.7943350650000001</v>
      </c>
      <c r="FT14">
        <v>3.308481</v>
      </c>
      <c r="FU14">
        <v>12.137416</v>
      </c>
      <c r="FV14">
        <v>4.5638304420000004</v>
      </c>
      <c r="FW14">
        <v>1.471889282</v>
      </c>
      <c r="FX14">
        <v>1.604609</v>
      </c>
      <c r="FY14">
        <v>8.9733979999999995</v>
      </c>
      <c r="FZ14">
        <v>0.19301784159999999</v>
      </c>
      <c r="GA14">
        <v>3.2789528140000003E-2</v>
      </c>
      <c r="GB14">
        <v>0.10819199960000001</v>
      </c>
      <c r="GC14">
        <v>0.30944470480000003</v>
      </c>
      <c r="GD14">
        <v>6.1095636190000002</v>
      </c>
      <c r="GE14">
        <v>1.3890552570000001</v>
      </c>
      <c r="GF14">
        <v>2.7388072640000001</v>
      </c>
      <c r="GG14">
        <v>10.88763511</v>
      </c>
      <c r="GH14">
        <v>1.7259446730000001</v>
      </c>
      <c r="GI14">
        <v>1.5705434170000001</v>
      </c>
      <c r="GJ14">
        <v>2.4624476730000001E-2</v>
      </c>
      <c r="GK14">
        <v>7.7364311079999997</v>
      </c>
      <c r="GL14">
        <v>1.1321273080000001</v>
      </c>
      <c r="GM14">
        <v>0.1961650767</v>
      </c>
      <c r="GN14">
        <v>0.68716583109999996</v>
      </c>
      <c r="GO14">
        <v>1.7460914489999999</v>
      </c>
      <c r="GP14">
        <v>10.572912779999999</v>
      </c>
      <c r="GQ14">
        <v>2.4390163789999999</v>
      </c>
      <c r="GR14">
        <v>5.6143806940000003</v>
      </c>
      <c r="GS14">
        <v>16.798964229999999</v>
      </c>
      <c r="GT14">
        <v>53.340250820000001</v>
      </c>
      <c r="GU14">
        <v>9.3192389819999999</v>
      </c>
      <c r="GV14">
        <v>32.315951269999999</v>
      </c>
      <c r="GW14">
        <v>92.428275979999995</v>
      </c>
      <c r="GX14">
        <v>2.2677013490000002</v>
      </c>
      <c r="GY14">
        <v>0.59992974210000005</v>
      </c>
      <c r="GZ14">
        <v>1.087362647</v>
      </c>
      <c r="HA14">
        <v>4.2371366510000001</v>
      </c>
      <c r="HB14">
        <v>1.6276807689999999</v>
      </c>
      <c r="HC14">
        <v>0.28623348040000002</v>
      </c>
      <c r="HD14">
        <v>0.82374292419999995</v>
      </c>
      <c r="HE14">
        <v>2.5038215780000002</v>
      </c>
      <c r="HF14">
        <v>3.8953821190000002</v>
      </c>
      <c r="HG14">
        <v>0.79705701470000001</v>
      </c>
      <c r="HH14">
        <v>1.911105571</v>
      </c>
      <c r="HI14">
        <v>6.0372890000000003</v>
      </c>
      <c r="HJ14">
        <v>2.1964016499999999</v>
      </c>
      <c r="HK14">
        <v>0.4815803971</v>
      </c>
      <c r="HL14">
        <v>1.1696373</v>
      </c>
      <c r="HM14">
        <v>3.6870633700000002</v>
      </c>
      <c r="HN14">
        <v>6.7017217049999998</v>
      </c>
      <c r="HO14">
        <v>1.6559040030000001</v>
      </c>
      <c r="HP14">
        <v>3.308481</v>
      </c>
      <c r="HQ14">
        <v>10.536527</v>
      </c>
      <c r="HR14">
        <v>0.62066217530000001</v>
      </c>
      <c r="HS14">
        <v>0.1090402988</v>
      </c>
      <c r="HT14">
        <v>0.3573113248</v>
      </c>
      <c r="HU14">
        <v>0.94424801690000004</v>
      </c>
      <c r="HV14">
        <v>0.81653902430000003</v>
      </c>
      <c r="HW14">
        <v>0.15260378869999999</v>
      </c>
      <c r="HX14">
        <v>0.44423103409999998</v>
      </c>
      <c r="HY14">
        <v>1.246568458</v>
      </c>
      <c r="HZ14">
        <v>0.48641139</v>
      </c>
      <c r="IA14">
        <v>0.34728708110000001</v>
      </c>
      <c r="IB14">
        <v>-0.45451332760000002</v>
      </c>
      <c r="IC14">
        <v>1.639728919</v>
      </c>
      <c r="ID14">
        <v>4.0182433509999997</v>
      </c>
      <c r="IE14">
        <v>0.95997367830000002</v>
      </c>
      <c r="IF14">
        <v>2.57929086</v>
      </c>
      <c r="IG14">
        <v>7.6245954850000004</v>
      </c>
      <c r="IH14">
        <v>3.896861125</v>
      </c>
      <c r="II14">
        <v>1.2072701990000001</v>
      </c>
      <c r="IJ14">
        <v>1.7592397070000001</v>
      </c>
      <c r="IK14">
        <v>7.4179850380000003</v>
      </c>
      <c r="IL14">
        <v>2.8048206800000002</v>
      </c>
      <c r="IM14">
        <v>0.81573604249999998</v>
      </c>
      <c r="IN14">
        <v>1.2419026390000001</v>
      </c>
      <c r="IO14">
        <v>6.2674429030000001</v>
      </c>
      <c r="IP14">
        <v>6.329489937</v>
      </c>
      <c r="IQ14">
        <v>1.6432345310000001</v>
      </c>
      <c r="IR14">
        <v>3.308481</v>
      </c>
      <c r="IS14">
        <v>10.536527</v>
      </c>
      <c r="IT14">
        <v>4.5306611529999996</v>
      </c>
      <c r="IU14">
        <v>1.4760560279999999</v>
      </c>
      <c r="IV14">
        <v>1.604609</v>
      </c>
      <c r="IW14">
        <v>8.9733979999999995</v>
      </c>
      <c r="IX14">
        <v>0.1922307281</v>
      </c>
      <c r="IY14">
        <v>3.222969144E-2</v>
      </c>
      <c r="IZ14">
        <v>0.10819199960000001</v>
      </c>
      <c r="JA14">
        <v>0.30944470480000003</v>
      </c>
      <c r="JB14">
        <v>6.017958965</v>
      </c>
      <c r="JC14">
        <v>1.3623881529999999</v>
      </c>
      <c r="JD14">
        <v>2.7388072640000001</v>
      </c>
      <c r="JE14">
        <v>10.88762547</v>
      </c>
      <c r="JF14">
        <v>1.759434516</v>
      </c>
      <c r="JG14">
        <v>1.678200929</v>
      </c>
      <c r="JH14">
        <v>2.4624476730000001E-2</v>
      </c>
      <c r="JI14">
        <v>11.52425511</v>
      </c>
      <c r="JJ14">
        <v>1.129755096</v>
      </c>
      <c r="JK14">
        <v>0.1958041771</v>
      </c>
      <c r="JL14">
        <v>0.68716583109999996</v>
      </c>
      <c r="JM14">
        <v>1.7440692959999999</v>
      </c>
      <c r="JN14">
        <v>10.604841049999999</v>
      </c>
      <c r="JO14">
        <v>2.3821908230000002</v>
      </c>
      <c r="JP14">
        <v>5.6143806940000003</v>
      </c>
      <c r="JQ14">
        <v>16.798964229999999</v>
      </c>
      <c r="JR14">
        <v>53.521739050000001</v>
      </c>
      <c r="JS14">
        <v>9.2530553569999991</v>
      </c>
      <c r="JT14">
        <v>32.315951269999999</v>
      </c>
      <c r="JU14">
        <v>92.428275979999995</v>
      </c>
      <c r="JV14">
        <v>3.267782972</v>
      </c>
      <c r="JW14">
        <v>0.90429756390000005</v>
      </c>
      <c r="JX14">
        <v>1.510392395</v>
      </c>
      <c r="JY14">
        <v>5.7739353280000003</v>
      </c>
      <c r="JZ14">
        <v>3.2320989390000001</v>
      </c>
      <c r="KA14">
        <v>0.91645208410000001</v>
      </c>
      <c r="KB14">
        <v>1.3033134260000001</v>
      </c>
      <c r="KC14">
        <v>6.8771971650000001</v>
      </c>
      <c r="KD14">
        <v>6.4998819110000001</v>
      </c>
      <c r="KE14">
        <v>1.2365823709999999</v>
      </c>
      <c r="KF14">
        <v>3.3256589999999999</v>
      </c>
      <c r="KG14">
        <v>9.3297910000000002</v>
      </c>
      <c r="KH14">
        <v>5.1923257060000001</v>
      </c>
      <c r="KI14">
        <v>1.649186448</v>
      </c>
      <c r="KJ14">
        <v>2.0080830000000001</v>
      </c>
      <c r="KK14">
        <v>9.3297910000000002</v>
      </c>
      <c r="KL14">
        <v>6.4998819110000001</v>
      </c>
      <c r="KM14">
        <v>1.2365823709999999</v>
      </c>
      <c r="KN14">
        <v>3.3256589999999999</v>
      </c>
      <c r="KO14">
        <v>9.3297910000000002</v>
      </c>
      <c r="KP14">
        <v>1.48636386</v>
      </c>
      <c r="KQ14">
        <v>0.37035850850000002</v>
      </c>
      <c r="KR14">
        <v>0.67977427800000001</v>
      </c>
      <c r="KS14">
        <v>2.4928339749999999</v>
      </c>
      <c r="KT14">
        <v>1.795875087</v>
      </c>
      <c r="KU14">
        <v>0.38820911730000002</v>
      </c>
      <c r="KV14">
        <v>0.88451254909999999</v>
      </c>
      <c r="KW14">
        <v>2.7855983439999998</v>
      </c>
      <c r="KX14">
        <v>0.1230065431</v>
      </c>
      <c r="KY14">
        <v>0.6081673165</v>
      </c>
      <c r="KZ14">
        <v>-1.44412761</v>
      </c>
      <c r="LA14">
        <v>1.598464221</v>
      </c>
      <c r="LB14">
        <v>2.518016024</v>
      </c>
      <c r="LC14">
        <v>0.9464898424</v>
      </c>
      <c r="LD14">
        <v>1.3514194909999999</v>
      </c>
      <c r="LE14">
        <v>6.9197173010000004</v>
      </c>
      <c r="LF14">
        <v>2.2504622059999999</v>
      </c>
      <c r="LG14">
        <v>1.1985294849999999</v>
      </c>
      <c r="LH14">
        <v>0.62789999780000005</v>
      </c>
      <c r="LI14">
        <v>5.4772199810000002</v>
      </c>
      <c r="LJ14">
        <v>0.2441909085</v>
      </c>
      <c r="LK14">
        <v>4.9575825089999997E-2</v>
      </c>
      <c r="LL14">
        <v>0.12684707680000001</v>
      </c>
      <c r="LM14">
        <v>0.39882911989999997</v>
      </c>
      <c r="LN14">
        <v>18.84685125</v>
      </c>
      <c r="LO14">
        <v>10.282206820000001</v>
      </c>
      <c r="LP14">
        <v>2.2978347330000002</v>
      </c>
      <c r="LQ14">
        <v>51.391957580000003</v>
      </c>
      <c r="LR14">
        <v>3.3596896150000002</v>
      </c>
      <c r="LS14">
        <v>1.1099837560000001</v>
      </c>
      <c r="LT14">
        <v>1.130734211</v>
      </c>
      <c r="LU14">
        <v>6.4676701850000002</v>
      </c>
      <c r="LV14">
        <v>21.632258610000001</v>
      </c>
      <c r="LW14">
        <v>8.0138569410000002</v>
      </c>
      <c r="LX14">
        <v>4.7361186609999999</v>
      </c>
      <c r="LY14">
        <v>40.449987190000002</v>
      </c>
      <c r="LZ14">
        <v>5.7677170530000001</v>
      </c>
      <c r="MA14">
        <v>3.0025708660000001</v>
      </c>
      <c r="MB14">
        <v>1.825743723</v>
      </c>
      <c r="MC14">
        <v>15.92610294</v>
      </c>
      <c r="MD14">
        <v>3.2376472390000002</v>
      </c>
      <c r="ME14">
        <v>0.86882848349999997</v>
      </c>
      <c r="MF14">
        <v>1.510392395</v>
      </c>
      <c r="MG14">
        <v>5.7284010480000003</v>
      </c>
      <c r="MH14">
        <v>3.19230474</v>
      </c>
      <c r="MI14">
        <v>0.87283276610000005</v>
      </c>
      <c r="MJ14">
        <v>1.3033134260000001</v>
      </c>
      <c r="MK14">
        <v>6.4401878010000004</v>
      </c>
      <c r="ML14">
        <v>6.4299519790000002</v>
      </c>
      <c r="MM14">
        <v>1.181059182</v>
      </c>
      <c r="MN14">
        <v>3.3256589999999999</v>
      </c>
      <c r="MO14">
        <v>9.2722460000000009</v>
      </c>
      <c r="MP14">
        <v>5.1009365090000003</v>
      </c>
      <c r="MQ14">
        <v>1.565484369</v>
      </c>
      <c r="MR14">
        <v>2.0080830000000001</v>
      </c>
      <c r="MS14">
        <v>8.9452960000000008</v>
      </c>
      <c r="MT14">
        <v>6.4299519790000002</v>
      </c>
      <c r="MU14">
        <v>1.181059182</v>
      </c>
      <c r="MV14">
        <v>3.3256589999999999</v>
      </c>
      <c r="MW14">
        <v>9.2722460000000009</v>
      </c>
      <c r="MX14">
        <v>1.4772247279999999</v>
      </c>
      <c r="MY14">
        <v>0.3672412665</v>
      </c>
      <c r="MZ14">
        <v>0.67977427800000001</v>
      </c>
      <c r="NA14">
        <v>2.4928339749999999</v>
      </c>
      <c r="NB14">
        <v>1.780907775</v>
      </c>
      <c r="NC14">
        <v>0.3821842567</v>
      </c>
      <c r="ND14">
        <v>0.88451254909999999</v>
      </c>
      <c r="NE14">
        <v>2.784384996</v>
      </c>
      <c r="NF14">
        <v>0.1231439709</v>
      </c>
      <c r="NG14">
        <v>0.58356954360000002</v>
      </c>
      <c r="NH14">
        <v>-1.383526842</v>
      </c>
      <c r="NI14">
        <v>1.476466402</v>
      </c>
      <c r="NJ14">
        <v>2.4816383100000001</v>
      </c>
      <c r="NK14">
        <v>0.88881792179999997</v>
      </c>
      <c r="NL14">
        <v>1.3514194909999999</v>
      </c>
      <c r="NM14">
        <v>6.3212644320000004</v>
      </c>
      <c r="NN14">
        <v>2.250123608</v>
      </c>
      <c r="NO14">
        <v>1.19917728</v>
      </c>
      <c r="NP14">
        <v>0.62789999780000005</v>
      </c>
      <c r="NQ14">
        <v>5.4772199810000002</v>
      </c>
      <c r="NR14">
        <v>0.2420260189</v>
      </c>
      <c r="NS14">
        <v>4.7843831390000001E-2</v>
      </c>
      <c r="NT14">
        <v>0.12684707680000001</v>
      </c>
      <c r="NU14">
        <v>0.39191318520000001</v>
      </c>
      <c r="NV14">
        <v>18.871114219999999</v>
      </c>
      <c r="NW14">
        <v>10.27055053</v>
      </c>
      <c r="NX14">
        <v>2.3641184270000002</v>
      </c>
      <c r="NY14">
        <v>51.391957580000003</v>
      </c>
      <c r="NZ14">
        <v>3.349433887</v>
      </c>
      <c r="OA14">
        <v>1.102647084</v>
      </c>
      <c r="OB14">
        <v>1.130734409</v>
      </c>
      <c r="OC14">
        <v>6.4681956469999999</v>
      </c>
      <c r="OD14">
        <v>21.756959739999999</v>
      </c>
      <c r="OE14">
        <v>7.86992007</v>
      </c>
      <c r="OF14">
        <v>4.7361186609999999</v>
      </c>
      <c r="OG14">
        <v>40.449987190000002</v>
      </c>
      <c r="OH14">
        <v>5.7777627840000001</v>
      </c>
      <c r="OI14">
        <v>3.0151189989999998</v>
      </c>
      <c r="OJ14">
        <v>1.825743723</v>
      </c>
      <c r="OK14">
        <v>15.92610294</v>
      </c>
      <c r="OL14">
        <v>1.9889558439999999</v>
      </c>
      <c r="OM14">
        <v>-0.1014179667</v>
      </c>
      <c r="ON14">
        <v>2.6024450039999998</v>
      </c>
      <c r="OO14">
        <v>7.55877</v>
      </c>
      <c r="OP14">
        <v>7.7852379999999997</v>
      </c>
      <c r="OQ14">
        <v>15.344008000000001</v>
      </c>
      <c r="OR14">
        <v>1.6348765489999999</v>
      </c>
      <c r="OS14" s="2">
        <v>7.1985579359999994E-5</v>
      </c>
      <c r="OT14">
        <v>2.6722234729999999E-3</v>
      </c>
      <c r="OU14" s="2">
        <v>7.1985579359999994E-5</v>
      </c>
      <c r="OV14">
        <v>1.895520692E-3</v>
      </c>
      <c r="OW14">
        <v>2.4647863080000001E-3</v>
      </c>
      <c r="OX14">
        <v>2.07437165E-4</v>
      </c>
      <c r="OY14">
        <v>5.7700790719999997</v>
      </c>
      <c r="OZ14">
        <v>1.2901151820000001</v>
      </c>
      <c r="PA14">
        <v>1.689509677</v>
      </c>
      <c r="PB14">
        <v>7.2468571529999997</v>
      </c>
      <c r="PC14">
        <v>92.593093539999998</v>
      </c>
      <c r="PD14">
        <v>1.970193707</v>
      </c>
      <c r="PE14">
        <v>-7.0902312950000004E-2</v>
      </c>
      <c r="PF14">
        <v>2.4688614690000001</v>
      </c>
      <c r="PG14">
        <v>6.7667020000000004</v>
      </c>
      <c r="PH14">
        <v>6.7551829999999997</v>
      </c>
      <c r="PI14">
        <v>13.521884999999999</v>
      </c>
      <c r="PJ14">
        <v>1.6264822050000001</v>
      </c>
      <c r="PK14" s="2">
        <v>6.9741742310000003E-5</v>
      </c>
      <c r="PL14">
        <v>2.6632226389999999E-3</v>
      </c>
      <c r="PM14" s="2">
        <v>6.9741742310000003E-5</v>
      </c>
      <c r="PN14">
        <v>1.8941018510000001E-3</v>
      </c>
      <c r="PO14">
        <v>2.4607361490000001E-3</v>
      </c>
      <c r="PP14">
        <v>2.0248649060000001E-4</v>
      </c>
      <c r="PQ14">
        <v>5.7658481349999997</v>
      </c>
      <c r="PR14">
        <v>1.2326182020000001</v>
      </c>
      <c r="PS14">
        <v>1.5576396210000001</v>
      </c>
      <c r="PT14">
        <v>7.1969778829999997</v>
      </c>
      <c r="PU14">
        <v>92.589299260000004</v>
      </c>
      <c r="PV14">
        <v>6.7366392470000003</v>
      </c>
      <c r="PW14">
        <v>1.6183645149999999</v>
      </c>
      <c r="PX14">
        <v>2.1002341229999999</v>
      </c>
      <c r="PY14">
        <v>8.298011443</v>
      </c>
      <c r="PZ14">
        <v>92.356298760000001</v>
      </c>
      <c r="QA14">
        <v>6.7318160889999996</v>
      </c>
      <c r="QB14">
        <v>1.550138062</v>
      </c>
      <c r="QC14">
        <v>1.9396680479999999</v>
      </c>
      <c r="QD14">
        <v>8.3110152040000003</v>
      </c>
      <c r="QE14">
        <v>92.363555419999997</v>
      </c>
      <c r="QF14" s="2">
        <v>8.1629883259999998E-5</v>
      </c>
      <c r="QG14">
        <v>2.2750434080000001E-3</v>
      </c>
      <c r="QH14">
        <v>3.018342592E-3</v>
      </c>
      <c r="QI14">
        <v>2.4952080789999997E-4</v>
      </c>
      <c r="QJ14" s="2">
        <v>7.8789880709999999E-5</v>
      </c>
      <c r="QK14">
        <v>2.2741615690000001E-3</v>
      </c>
      <c r="QL14">
        <v>3.0169874310000001E-3</v>
      </c>
      <c r="QM14">
        <v>2.4311172810000001E-4</v>
      </c>
      <c r="QN14">
        <v>5.0677784050000003</v>
      </c>
      <c r="QO14">
        <v>3.5129586260000001</v>
      </c>
      <c r="QP14">
        <v>10.23523363</v>
      </c>
      <c r="QQ14">
        <v>177.99030819999999</v>
      </c>
      <c r="QR14">
        <v>5.0589950620000002</v>
      </c>
      <c r="QS14">
        <v>3.5131009550000001</v>
      </c>
      <c r="QT14">
        <v>10.23708489</v>
      </c>
      <c r="QU14">
        <v>177.9862463</v>
      </c>
    </row>
    <row r="15" spans="1:463" x14ac:dyDescent="0.2">
      <c r="A15" t="s">
        <v>285</v>
      </c>
      <c r="B15" s="2">
        <v>6.7262323460000004E-12</v>
      </c>
      <c r="C15" s="2">
        <v>7.8578899869999998E-12</v>
      </c>
      <c r="D15">
        <v>5.5989359609999998E-4</v>
      </c>
      <c r="E15">
        <v>3.7311004539999998E-2</v>
      </c>
      <c r="F15">
        <v>0.35982875990000002</v>
      </c>
      <c r="G15">
        <v>1.716575315E-3</v>
      </c>
      <c r="H15">
        <v>0.1143916448</v>
      </c>
      <c r="I15">
        <v>1.103197413</v>
      </c>
      <c r="J15">
        <v>32.61633673</v>
      </c>
      <c r="K15">
        <v>32.616896619999999</v>
      </c>
      <c r="L15">
        <v>32.616896619999999</v>
      </c>
      <c r="M15">
        <v>32.616896619999999</v>
      </c>
      <c r="N15">
        <v>32.579585620000003</v>
      </c>
      <c r="O15">
        <v>32.616896619999999</v>
      </c>
      <c r="P15">
        <v>32.257067859999999</v>
      </c>
      <c r="Q15">
        <v>32.616896619999999</v>
      </c>
      <c r="R15">
        <v>4.8239820819999997</v>
      </c>
      <c r="S15">
        <v>0.92261442439999997</v>
      </c>
      <c r="T15">
        <v>2.944727345</v>
      </c>
      <c r="U15">
        <v>7.5094204820000003</v>
      </c>
      <c r="V15">
        <v>4.760269718</v>
      </c>
      <c r="W15">
        <v>1.0317728960000001</v>
      </c>
      <c r="X15">
        <v>2.574199277</v>
      </c>
      <c r="Y15">
        <v>8.6084457539999999</v>
      </c>
      <c r="Z15">
        <v>9.5842518000000005</v>
      </c>
      <c r="AA15">
        <v>1.294698777</v>
      </c>
      <c r="AB15">
        <v>6.781981</v>
      </c>
      <c r="AC15">
        <v>13.161994999999999</v>
      </c>
      <c r="AD15">
        <v>3.7347743360000001</v>
      </c>
      <c r="AE15">
        <v>1.325667581</v>
      </c>
      <c r="AF15">
        <v>1.5770566669999999</v>
      </c>
      <c r="AG15">
        <v>11.209911999999999</v>
      </c>
      <c r="AH15">
        <v>9.5842518000000005</v>
      </c>
      <c r="AI15">
        <v>1.294698777</v>
      </c>
      <c r="AJ15">
        <v>6.781981</v>
      </c>
      <c r="AK15">
        <v>13.161994999999999</v>
      </c>
      <c r="AL15">
        <v>1.7711093899999999</v>
      </c>
      <c r="AM15">
        <v>0.33583305099999999</v>
      </c>
      <c r="AN15">
        <v>1.1155992880000001</v>
      </c>
      <c r="AO15">
        <v>2.737236861</v>
      </c>
      <c r="AP15">
        <v>2.1419052810000001</v>
      </c>
      <c r="AQ15">
        <v>0.35591755679999998</v>
      </c>
      <c r="AR15">
        <v>1.316025641</v>
      </c>
      <c r="AS15">
        <v>3.2070352359999998</v>
      </c>
      <c r="AT15">
        <v>6.01657783E-2</v>
      </c>
      <c r="AU15">
        <v>0.47179935049999999</v>
      </c>
      <c r="AV15">
        <v>-1.32511384</v>
      </c>
      <c r="AW15">
        <v>1.157147425</v>
      </c>
      <c r="AX15">
        <v>2.5169553750000002</v>
      </c>
      <c r="AY15">
        <v>0.63962635020000003</v>
      </c>
      <c r="AZ15">
        <v>1.512643411</v>
      </c>
      <c r="BA15">
        <v>4.8720957729999999</v>
      </c>
      <c r="BB15">
        <v>0.54830260500000005</v>
      </c>
      <c r="BC15">
        <v>0.39671288840000002</v>
      </c>
      <c r="BD15">
        <v>0.15361124949999999</v>
      </c>
      <c r="BE15">
        <v>3.7577399869999999</v>
      </c>
      <c r="BF15">
        <v>5.9720663480000002</v>
      </c>
      <c r="BG15">
        <v>1.365053455</v>
      </c>
      <c r="BH15">
        <v>3.0711791989999999</v>
      </c>
      <c r="BI15">
        <v>11.58902397</v>
      </c>
      <c r="BJ15">
        <v>5.5685359139999999</v>
      </c>
      <c r="BK15">
        <v>5.7971023620000004</v>
      </c>
      <c r="BL15">
        <v>8.8378258949999997E-2</v>
      </c>
      <c r="BM15">
        <v>27.817056999999998</v>
      </c>
      <c r="BN15">
        <v>3.9536588030000002</v>
      </c>
      <c r="BO15">
        <v>0.96081015089999999</v>
      </c>
      <c r="BP15">
        <v>2.2304934539999999</v>
      </c>
      <c r="BQ15">
        <v>6.7165109550000004</v>
      </c>
      <c r="BR15">
        <v>23.191257650000001</v>
      </c>
      <c r="BS15">
        <v>9.7881247120000001</v>
      </c>
      <c r="BT15">
        <v>2.6611740130000001</v>
      </c>
      <c r="BU15">
        <v>65.099398870000002</v>
      </c>
      <c r="BV15">
        <v>4.6926590790000002</v>
      </c>
      <c r="BW15">
        <v>0.85255935510000003</v>
      </c>
      <c r="BX15">
        <v>2.944727345</v>
      </c>
      <c r="BY15">
        <v>7.2283692420000003</v>
      </c>
      <c r="BZ15">
        <v>4.6381293640000001</v>
      </c>
      <c r="CA15">
        <v>0.92805274339999999</v>
      </c>
      <c r="CB15">
        <v>2.574199277</v>
      </c>
      <c r="CC15">
        <v>7.3542050850000003</v>
      </c>
      <c r="CD15">
        <v>9.3307884419999993</v>
      </c>
      <c r="CE15">
        <v>1.122771588</v>
      </c>
      <c r="CF15">
        <v>6.781981</v>
      </c>
      <c r="CG15">
        <v>11.667643</v>
      </c>
      <c r="CH15">
        <v>3.6520257979999999</v>
      </c>
      <c r="CI15">
        <v>1.20945642</v>
      </c>
      <c r="CJ15">
        <v>1.5770566669999999</v>
      </c>
      <c r="CK15">
        <v>11.209911999999999</v>
      </c>
      <c r="CL15">
        <v>9.3307884419999993</v>
      </c>
      <c r="CM15">
        <v>1.122771588</v>
      </c>
      <c r="CN15">
        <v>6.781981</v>
      </c>
      <c r="CO15">
        <v>11.667643</v>
      </c>
      <c r="CP15">
        <v>1.7619173539999999</v>
      </c>
      <c r="CQ15">
        <v>0.3296681085</v>
      </c>
      <c r="CR15">
        <v>1.1155992880000001</v>
      </c>
      <c r="CS15">
        <v>2.7025558709999999</v>
      </c>
      <c r="CT15">
        <v>2.1257880249999999</v>
      </c>
      <c r="CU15">
        <v>0.34428550460000001</v>
      </c>
      <c r="CV15">
        <v>1.316025641</v>
      </c>
      <c r="CW15">
        <v>3.0935810579999998</v>
      </c>
      <c r="CX15">
        <v>6.3132327459999998E-2</v>
      </c>
      <c r="CY15">
        <v>0.45301026480000001</v>
      </c>
      <c r="CZ15">
        <v>-1.227628081</v>
      </c>
      <c r="DA15">
        <v>1.1571474429999999</v>
      </c>
      <c r="DB15">
        <v>2.4728687649999999</v>
      </c>
      <c r="DC15">
        <v>0.59029416140000002</v>
      </c>
      <c r="DD15">
        <v>1.512643411</v>
      </c>
      <c r="DE15">
        <v>4.8720957729999999</v>
      </c>
      <c r="DF15">
        <v>0.53592713000000003</v>
      </c>
      <c r="DG15">
        <v>0.36211034409999998</v>
      </c>
      <c r="DH15">
        <v>0.15361124949999999</v>
      </c>
      <c r="DI15">
        <v>3.7577399869999999</v>
      </c>
      <c r="DJ15">
        <v>5.8325053650000003</v>
      </c>
      <c r="DK15">
        <v>1.207280766</v>
      </c>
      <c r="DL15">
        <v>3.0711791989999999</v>
      </c>
      <c r="DM15">
        <v>9.9953531939999998</v>
      </c>
      <c r="DN15">
        <v>6.0695409769999999</v>
      </c>
      <c r="DO15">
        <v>5.8702786360000001</v>
      </c>
      <c r="DP15">
        <v>8.8378258949999997E-2</v>
      </c>
      <c r="DQ15">
        <v>27.817056999999998</v>
      </c>
      <c r="DR15">
        <v>3.9439260470000002</v>
      </c>
      <c r="DS15">
        <v>0.94717082740000003</v>
      </c>
      <c r="DT15">
        <v>2.2304934539999999</v>
      </c>
      <c r="DU15">
        <v>6.716843044</v>
      </c>
      <c r="DV15">
        <v>23.47614153</v>
      </c>
      <c r="DW15">
        <v>10.00790806</v>
      </c>
      <c r="DX15">
        <v>2.6611740130000001</v>
      </c>
      <c r="DY15">
        <v>65.099398870000002</v>
      </c>
      <c r="DZ15">
        <v>2.2759901849999999</v>
      </c>
      <c r="EA15">
        <v>0.58928267570000004</v>
      </c>
      <c r="EB15">
        <v>1.121071881</v>
      </c>
      <c r="EC15">
        <v>4.1551985760000001</v>
      </c>
      <c r="ED15">
        <v>1.693202858</v>
      </c>
      <c r="EE15">
        <v>0.29120122809999999</v>
      </c>
      <c r="EF15">
        <v>1.0144313229999999</v>
      </c>
      <c r="EG15">
        <v>2.6103311929999999</v>
      </c>
      <c r="EH15">
        <v>3.9691930430000002</v>
      </c>
      <c r="EI15">
        <v>0.79758041759999998</v>
      </c>
      <c r="EJ15">
        <v>2.3297514289999999</v>
      </c>
      <c r="EK15">
        <v>6.274320286</v>
      </c>
      <c r="EL15">
        <v>1.9382290049999999</v>
      </c>
      <c r="EM15">
        <v>0.48122320210000002</v>
      </c>
      <c r="EN15">
        <v>1.0476759019999999</v>
      </c>
      <c r="EO15">
        <v>3.7858474210000002</v>
      </c>
      <c r="EP15">
        <v>6.7663372319999997</v>
      </c>
      <c r="EQ15">
        <v>1.7861635090000001</v>
      </c>
      <c r="ER15">
        <v>3.1064129999999999</v>
      </c>
      <c r="ES15">
        <v>12.13288</v>
      </c>
      <c r="ET15">
        <v>0.63037785459999995</v>
      </c>
      <c r="EU15">
        <v>0.1068687034</v>
      </c>
      <c r="EV15">
        <v>0.37301028069999997</v>
      </c>
      <c r="EW15">
        <v>0.95065167340000001</v>
      </c>
      <c r="EX15">
        <v>0.82511761640000003</v>
      </c>
      <c r="EY15">
        <v>0.15205804349999999</v>
      </c>
      <c r="EZ15">
        <v>0.47005004020000002</v>
      </c>
      <c r="FA15">
        <v>1.2719316540000001</v>
      </c>
      <c r="FB15">
        <v>0.43216988280000002</v>
      </c>
      <c r="FC15">
        <v>0.32562010759999999</v>
      </c>
      <c r="FD15">
        <v>-0.36682505809999999</v>
      </c>
      <c r="FE15">
        <v>1.4822561059999999</v>
      </c>
      <c r="FF15">
        <v>3.797954297</v>
      </c>
      <c r="FG15">
        <v>0.80839701580000001</v>
      </c>
      <c r="FH15">
        <v>2.4308191959999998</v>
      </c>
      <c r="FI15">
        <v>7.6101728150000003</v>
      </c>
      <c r="FJ15">
        <v>3.8732108539999999</v>
      </c>
      <c r="FK15">
        <v>1.26895863</v>
      </c>
      <c r="FL15">
        <v>1.6165285620000001</v>
      </c>
      <c r="FM15">
        <v>7.1698800110000001</v>
      </c>
      <c r="FN15">
        <v>2.8931263779999998</v>
      </c>
      <c r="FO15">
        <v>0.84703086449999998</v>
      </c>
      <c r="FP15">
        <v>1.41590518</v>
      </c>
      <c r="FQ15">
        <v>5.552603146</v>
      </c>
      <c r="FR15">
        <v>6.4091311050000002</v>
      </c>
      <c r="FS15">
        <v>1.803311441</v>
      </c>
      <c r="FT15">
        <v>3.0383119999999999</v>
      </c>
      <c r="FU15">
        <v>12.13288</v>
      </c>
      <c r="FV15">
        <v>4.5605136000000002</v>
      </c>
      <c r="FW15">
        <v>1.4623098059999999</v>
      </c>
      <c r="FX15">
        <v>1.8576820000000001</v>
      </c>
      <c r="FY15">
        <v>8.9161129999999993</v>
      </c>
      <c r="FZ15">
        <v>0.1573842537</v>
      </c>
      <c r="GA15">
        <v>3.0452495029999999E-2</v>
      </c>
      <c r="GB15">
        <v>9.5119636029999996E-2</v>
      </c>
      <c r="GC15">
        <v>0.26292631490000001</v>
      </c>
      <c r="GD15">
        <v>5.5591211119999997</v>
      </c>
      <c r="GE15">
        <v>1.162807033</v>
      </c>
      <c r="GF15">
        <v>2.953349314</v>
      </c>
      <c r="GG15">
        <v>9.4253608020000001</v>
      </c>
      <c r="GH15">
        <v>1.9053573530000001</v>
      </c>
      <c r="GI15">
        <v>1.9802088959999999</v>
      </c>
      <c r="GJ15">
        <v>9.8497906920000003E-2</v>
      </c>
      <c r="GK15">
        <v>14.41979523</v>
      </c>
      <c r="GL15">
        <v>1.1576129369999999</v>
      </c>
      <c r="GM15">
        <v>0.18719259499999999</v>
      </c>
      <c r="GN15">
        <v>0.74362208699999999</v>
      </c>
      <c r="GO15">
        <v>1.762853754</v>
      </c>
      <c r="GP15">
        <v>10.57840657</v>
      </c>
      <c r="GQ15">
        <v>2.3276061170000002</v>
      </c>
      <c r="GR15">
        <v>5.7867520319999999</v>
      </c>
      <c r="GS15">
        <v>17.094307480000001</v>
      </c>
      <c r="GT15">
        <v>65.885008709999994</v>
      </c>
      <c r="GU15">
        <v>12.59528575</v>
      </c>
      <c r="GV15">
        <v>38.033469580000002</v>
      </c>
      <c r="GW15">
        <v>105.13076390000001</v>
      </c>
      <c r="GX15">
        <v>2.2604459779999999</v>
      </c>
      <c r="GY15">
        <v>0.5797334757</v>
      </c>
      <c r="GZ15">
        <v>1.121071881</v>
      </c>
      <c r="HA15">
        <v>4.1551987180000003</v>
      </c>
      <c r="HB15">
        <v>1.6832867970000001</v>
      </c>
      <c r="HC15">
        <v>0.28609080329999997</v>
      </c>
      <c r="HD15">
        <v>1.0144313229999999</v>
      </c>
      <c r="HE15">
        <v>2.548417041</v>
      </c>
      <c r="HF15">
        <v>3.9437327739999999</v>
      </c>
      <c r="HG15">
        <v>0.77916845180000005</v>
      </c>
      <c r="HH15">
        <v>2.3297514289999999</v>
      </c>
      <c r="HI15">
        <v>6.1322945710000001</v>
      </c>
      <c r="HJ15">
        <v>1.9193600989999999</v>
      </c>
      <c r="HK15">
        <v>0.46264352380000001</v>
      </c>
      <c r="HL15">
        <v>1.0476759019999999</v>
      </c>
      <c r="HM15">
        <v>3.7858474210000002</v>
      </c>
      <c r="HN15">
        <v>6.6857044319999996</v>
      </c>
      <c r="HO15">
        <v>1.6572256519999999</v>
      </c>
      <c r="HP15">
        <v>3.1064129999999999</v>
      </c>
      <c r="HQ15">
        <v>10.655732</v>
      </c>
      <c r="HR15">
        <v>0.62779042419999997</v>
      </c>
      <c r="HS15">
        <v>0.1056854916</v>
      </c>
      <c r="HT15">
        <v>0.37301028069999997</v>
      </c>
      <c r="HU15">
        <v>0.95017129779999998</v>
      </c>
      <c r="HV15">
        <v>0.820914912</v>
      </c>
      <c r="HW15">
        <v>0.1492890076</v>
      </c>
      <c r="HX15">
        <v>0.47005004020000002</v>
      </c>
      <c r="HY15">
        <v>1.235775388</v>
      </c>
      <c r="HZ15">
        <v>0.42949113420000001</v>
      </c>
      <c r="IA15">
        <v>0.32739131770000002</v>
      </c>
      <c r="IB15">
        <v>-0.38200579340000002</v>
      </c>
      <c r="IC15">
        <v>1.4822560899999999</v>
      </c>
      <c r="ID15">
        <v>3.7972318450000002</v>
      </c>
      <c r="IE15">
        <v>0.80702565439999996</v>
      </c>
      <c r="IF15">
        <v>2.4308191959999998</v>
      </c>
      <c r="IG15">
        <v>7.6101728150000003</v>
      </c>
      <c r="IH15">
        <v>3.8347445599999999</v>
      </c>
      <c r="II15">
        <v>1.2228969190000001</v>
      </c>
      <c r="IJ15">
        <v>1.6165285620000001</v>
      </c>
      <c r="IK15">
        <v>7.1698800159999996</v>
      </c>
      <c r="IL15">
        <v>2.8509598710000001</v>
      </c>
      <c r="IM15">
        <v>0.78096158010000005</v>
      </c>
      <c r="IN15">
        <v>1.41590518</v>
      </c>
      <c r="IO15">
        <v>5.1084208320000002</v>
      </c>
      <c r="IP15">
        <v>6.3243680790000001</v>
      </c>
      <c r="IQ15">
        <v>1.653226734</v>
      </c>
      <c r="IR15">
        <v>3.0383119999999999</v>
      </c>
      <c r="IS15">
        <v>10.596964</v>
      </c>
      <c r="IT15">
        <v>4.512966295</v>
      </c>
      <c r="IU15">
        <v>1.4623494269999999</v>
      </c>
      <c r="IV15">
        <v>1.8576820000000001</v>
      </c>
      <c r="IW15">
        <v>8.9161129999999993</v>
      </c>
      <c r="IX15">
        <v>0.15680411089999999</v>
      </c>
      <c r="IY15">
        <v>2.9545348039999999E-2</v>
      </c>
      <c r="IZ15">
        <v>9.5119636029999996E-2</v>
      </c>
      <c r="JA15">
        <v>0.26292631490000001</v>
      </c>
      <c r="JB15">
        <v>5.4742444939999997</v>
      </c>
      <c r="JC15">
        <v>1.0896628049999999</v>
      </c>
      <c r="JD15">
        <v>2.953349314</v>
      </c>
      <c r="JE15">
        <v>8.8230551370000008</v>
      </c>
      <c r="JF15">
        <v>1.9393464419999999</v>
      </c>
      <c r="JG15">
        <v>2.0832402760000002</v>
      </c>
      <c r="JH15">
        <v>9.8497906920000003E-2</v>
      </c>
      <c r="JI15">
        <v>14.41979523</v>
      </c>
      <c r="JJ15">
        <v>1.155193769</v>
      </c>
      <c r="JK15">
        <v>0.18709051060000001</v>
      </c>
      <c r="JL15">
        <v>0.74362208699999999</v>
      </c>
      <c r="JM15">
        <v>1.767796216</v>
      </c>
      <c r="JN15">
        <v>10.5960485</v>
      </c>
      <c r="JO15">
        <v>2.2818875510000001</v>
      </c>
      <c r="JP15">
        <v>5.7867520319999999</v>
      </c>
      <c r="JQ15">
        <v>17.094307480000001</v>
      </c>
      <c r="JR15">
        <v>66.043898310000003</v>
      </c>
      <c r="JS15">
        <v>12.470578550000001</v>
      </c>
      <c r="JT15">
        <v>38.033469580000002</v>
      </c>
      <c r="JU15">
        <v>105.13076390000001</v>
      </c>
      <c r="JV15">
        <v>3.2746442839999998</v>
      </c>
      <c r="JW15">
        <v>0.90857939239999996</v>
      </c>
      <c r="JX15">
        <v>1.4573952080000001</v>
      </c>
      <c r="JY15">
        <v>5.8642998610000001</v>
      </c>
      <c r="JZ15">
        <v>3.2348657470000002</v>
      </c>
      <c r="KA15">
        <v>0.92124959719999999</v>
      </c>
      <c r="KB15">
        <v>1.2007941609999999</v>
      </c>
      <c r="KC15">
        <v>6.8996229170000003</v>
      </c>
      <c r="KD15">
        <v>6.5095100319999997</v>
      </c>
      <c r="KE15">
        <v>1.2533867780000001</v>
      </c>
      <c r="KF15">
        <v>3.242718</v>
      </c>
      <c r="KG15">
        <v>9.4297260000000005</v>
      </c>
      <c r="KH15">
        <v>5.1796719900000001</v>
      </c>
      <c r="KI15">
        <v>1.659746178</v>
      </c>
      <c r="KJ15">
        <v>1.7245664999999999</v>
      </c>
      <c r="KK15">
        <v>9.3379729999999999</v>
      </c>
      <c r="KL15">
        <v>6.5095100319999997</v>
      </c>
      <c r="KM15">
        <v>1.2533867780000001</v>
      </c>
      <c r="KN15">
        <v>3.242718</v>
      </c>
      <c r="KO15">
        <v>9.4297260000000005</v>
      </c>
      <c r="KP15">
        <v>1.49156384</v>
      </c>
      <c r="KQ15">
        <v>0.36882698050000001</v>
      </c>
      <c r="KR15">
        <v>0.71153614050000002</v>
      </c>
      <c r="KS15">
        <v>2.4862641249999999</v>
      </c>
      <c r="KT15">
        <v>1.7998617139999999</v>
      </c>
      <c r="KU15">
        <v>0.38814294849999997</v>
      </c>
      <c r="KV15">
        <v>0.94361946939999997</v>
      </c>
      <c r="KW15">
        <v>2.8192993120000001</v>
      </c>
      <c r="KX15">
        <v>0.1187350596</v>
      </c>
      <c r="KY15">
        <v>0.60345272049999998</v>
      </c>
      <c r="KZ15">
        <v>-1.4458686999999999</v>
      </c>
      <c r="LA15">
        <v>1.583862675</v>
      </c>
      <c r="LB15">
        <v>2.5004725269999999</v>
      </c>
      <c r="LC15">
        <v>0.92125530069999995</v>
      </c>
      <c r="LD15">
        <v>1.3297446369999999</v>
      </c>
      <c r="LE15">
        <v>6.5645789529999998</v>
      </c>
      <c r="LF15">
        <v>2.2137800689999998</v>
      </c>
      <c r="LG15">
        <v>1.120418337</v>
      </c>
      <c r="LH15">
        <v>0.64445999779999996</v>
      </c>
      <c r="LI15">
        <v>5.343359982</v>
      </c>
      <c r="LJ15">
        <v>0.24423036579999999</v>
      </c>
      <c r="LK15">
        <v>5.0208666460000002E-2</v>
      </c>
      <c r="LL15">
        <v>0.1347404603</v>
      </c>
      <c r="LM15">
        <v>0.39919128749999999</v>
      </c>
      <c r="LN15">
        <v>18.747481440000001</v>
      </c>
      <c r="LO15">
        <v>10.300659850000001</v>
      </c>
      <c r="LP15">
        <v>2.2536456029999998</v>
      </c>
      <c r="LQ15">
        <v>47.733984360000001</v>
      </c>
      <c r="LR15">
        <v>3.370300512</v>
      </c>
      <c r="LS15">
        <v>1.0977908999999999</v>
      </c>
      <c r="LT15">
        <v>1.1875511000000001</v>
      </c>
      <c r="LU15">
        <v>6.5537020750000003</v>
      </c>
      <c r="LV15">
        <v>21.62804577</v>
      </c>
      <c r="LW15">
        <v>8.0876283739999995</v>
      </c>
      <c r="LX15">
        <v>3.5793194869999998</v>
      </c>
      <c r="LY15">
        <v>40.108013630000002</v>
      </c>
      <c r="LZ15">
        <v>5.7656159479999998</v>
      </c>
      <c r="MA15">
        <v>2.9673349550000001</v>
      </c>
      <c r="MB15">
        <v>1.871481621</v>
      </c>
      <c r="MC15">
        <v>15.516866889999999</v>
      </c>
      <c r="MD15">
        <v>3.24906966</v>
      </c>
      <c r="ME15">
        <v>0.88329673369999995</v>
      </c>
      <c r="MF15">
        <v>1.4573952080000001</v>
      </c>
      <c r="MG15">
        <v>5.8396352650000001</v>
      </c>
      <c r="MH15">
        <v>3.1989231349999998</v>
      </c>
      <c r="MI15">
        <v>0.88327427849999995</v>
      </c>
      <c r="MJ15">
        <v>1.2007941609999999</v>
      </c>
      <c r="MK15">
        <v>6.5210787310000002</v>
      </c>
      <c r="ML15">
        <v>6.4479927950000002</v>
      </c>
      <c r="MM15">
        <v>1.207922137</v>
      </c>
      <c r="MN15">
        <v>3.242718</v>
      </c>
      <c r="MO15">
        <v>9.3895929999999996</v>
      </c>
      <c r="MP15">
        <v>5.0970351259999997</v>
      </c>
      <c r="MQ15">
        <v>1.5840365199999999</v>
      </c>
      <c r="MR15">
        <v>1.7245664999999999</v>
      </c>
      <c r="MS15">
        <v>9.0694949999999999</v>
      </c>
      <c r="MT15">
        <v>6.4479927950000002</v>
      </c>
      <c r="MU15">
        <v>1.207922137</v>
      </c>
      <c r="MV15">
        <v>3.242718</v>
      </c>
      <c r="MW15">
        <v>9.3895929999999996</v>
      </c>
      <c r="MX15">
        <v>1.4833823850000001</v>
      </c>
      <c r="MY15">
        <v>0.36573602119999998</v>
      </c>
      <c r="MZ15">
        <v>0.71153614050000002</v>
      </c>
      <c r="NA15">
        <v>2.4862641249999999</v>
      </c>
      <c r="NB15">
        <v>1.786795278</v>
      </c>
      <c r="NC15">
        <v>0.38223041169999999</v>
      </c>
      <c r="ND15">
        <v>0.94361946939999997</v>
      </c>
      <c r="NE15">
        <v>2.8190928890000002</v>
      </c>
      <c r="NF15">
        <v>0.12082609580000001</v>
      </c>
      <c r="NG15">
        <v>0.58391669440000005</v>
      </c>
      <c r="NH15">
        <v>-1.3923628509999999</v>
      </c>
      <c r="NI15">
        <v>1.4743777149999999</v>
      </c>
      <c r="NJ15">
        <v>2.472102815</v>
      </c>
      <c r="NK15">
        <v>0.88258543140000001</v>
      </c>
      <c r="NL15">
        <v>1.3297446369999999</v>
      </c>
      <c r="NM15">
        <v>6.5094446499999998</v>
      </c>
      <c r="NN15">
        <v>2.2076054539999999</v>
      </c>
      <c r="NO15">
        <v>1.117566734</v>
      </c>
      <c r="NP15">
        <v>0.64445999779999996</v>
      </c>
      <c r="NQ15">
        <v>5.2370999820000002</v>
      </c>
      <c r="NR15">
        <v>0.2423008602</v>
      </c>
      <c r="NS15">
        <v>4.8497316130000002E-2</v>
      </c>
      <c r="NT15">
        <v>0.1347404603</v>
      </c>
      <c r="NU15">
        <v>0.39095516149999998</v>
      </c>
      <c r="NV15">
        <v>18.787701500000001</v>
      </c>
      <c r="NW15">
        <v>10.274129200000001</v>
      </c>
      <c r="NX15">
        <v>2.3085191250000001</v>
      </c>
      <c r="NY15">
        <v>47.733984360000001</v>
      </c>
      <c r="NZ15">
        <v>3.3615718050000001</v>
      </c>
      <c r="OA15">
        <v>1.0923499219999999</v>
      </c>
      <c r="OB15">
        <v>1.1875511000000001</v>
      </c>
      <c r="OC15">
        <v>6.5538987869999996</v>
      </c>
      <c r="OD15">
        <v>21.738280509999999</v>
      </c>
      <c r="OE15">
        <v>7.985948101</v>
      </c>
      <c r="OF15">
        <v>3.5793194869999998</v>
      </c>
      <c r="OG15">
        <v>40.108013630000002</v>
      </c>
      <c r="OH15">
        <v>5.7822567969999996</v>
      </c>
      <c r="OI15">
        <v>2.967906503</v>
      </c>
      <c r="OJ15">
        <v>1.9094537119999999</v>
      </c>
      <c r="OK15">
        <v>15.516866889999999</v>
      </c>
      <c r="OL15">
        <v>1.9923759729999999</v>
      </c>
      <c r="OM15">
        <v>-0.10853842750000001</v>
      </c>
      <c r="ON15">
        <v>2.6034165499999999</v>
      </c>
      <c r="OO15">
        <v>7.2337420000000003</v>
      </c>
      <c r="OP15">
        <v>7.7126089999999996</v>
      </c>
      <c r="OQ15">
        <v>14.946351</v>
      </c>
      <c r="OR15">
        <v>1.6369161329999999</v>
      </c>
      <c r="OS15" s="2">
        <v>7.223279136E-5</v>
      </c>
      <c r="OT15">
        <v>2.66875492E-3</v>
      </c>
      <c r="OU15" s="2">
        <v>7.223279136E-5</v>
      </c>
      <c r="OV15">
        <v>1.894227713E-3</v>
      </c>
      <c r="OW15">
        <v>2.458349287E-3</v>
      </c>
      <c r="OX15">
        <v>2.1040563269999999E-4</v>
      </c>
      <c r="OY15">
        <v>5.7605730260000003</v>
      </c>
      <c r="OZ15">
        <v>1.2931907010000001</v>
      </c>
      <c r="PA15">
        <v>1.6995947849999999</v>
      </c>
      <c r="PB15">
        <v>7.2513556340000003</v>
      </c>
      <c r="PC15">
        <v>92.434505619999996</v>
      </c>
      <c r="PD15">
        <v>1.9750267269999999</v>
      </c>
      <c r="PE15">
        <v>-8.0515316680000004E-2</v>
      </c>
      <c r="PF15">
        <v>2.4784308390000001</v>
      </c>
      <c r="PG15">
        <v>6.9102930000000002</v>
      </c>
      <c r="PH15">
        <v>6.806406</v>
      </c>
      <c r="PI15">
        <v>13.716699</v>
      </c>
      <c r="PJ15">
        <v>1.6293054039999999</v>
      </c>
      <c r="PK15" s="2">
        <v>7.0083783640000004E-5</v>
      </c>
      <c r="PL15">
        <v>2.6613131089999998E-3</v>
      </c>
      <c r="PM15" s="2">
        <v>7.0083783640000004E-5</v>
      </c>
      <c r="PN15">
        <v>1.893057071E-3</v>
      </c>
      <c r="PO15">
        <v>2.4555639290000002E-3</v>
      </c>
      <c r="PP15">
        <v>2.0574918009999999E-4</v>
      </c>
      <c r="PQ15">
        <v>5.7594661900000004</v>
      </c>
      <c r="PR15">
        <v>1.2330012619999999</v>
      </c>
      <c r="PS15">
        <v>1.5783618580000001</v>
      </c>
      <c r="PT15">
        <v>7.2275857720000003</v>
      </c>
      <c r="PU15">
        <v>92.437783690000003</v>
      </c>
      <c r="PV15">
        <v>6.7176475279999996</v>
      </c>
      <c r="PW15">
        <v>1.5885176059999999</v>
      </c>
      <c r="PX15">
        <v>2.1231048870000002</v>
      </c>
      <c r="PY15">
        <v>8.5295494519999995</v>
      </c>
      <c r="PZ15">
        <v>92.262581249999997</v>
      </c>
      <c r="QA15">
        <v>6.7124941409999996</v>
      </c>
      <c r="QB15">
        <v>1.5310844240000001</v>
      </c>
      <c r="QC15">
        <v>1.972351765</v>
      </c>
      <c r="QD15">
        <v>8.5449106609999994</v>
      </c>
      <c r="QE15">
        <v>92.265183280000002</v>
      </c>
      <c r="QF15" s="2">
        <v>8.188120878E-5</v>
      </c>
      <c r="QG15">
        <v>2.277119049E-3</v>
      </c>
      <c r="QH15">
        <v>3.0118099509999999E-3</v>
      </c>
      <c r="QI15">
        <v>2.5207190599999999E-4</v>
      </c>
      <c r="QJ15" s="2">
        <v>7.9384262169999995E-5</v>
      </c>
      <c r="QK15">
        <v>2.2763338539999998E-3</v>
      </c>
      <c r="QL15">
        <v>3.0108251459999998E-3</v>
      </c>
      <c r="QM15">
        <v>2.4603129650000002E-4</v>
      </c>
      <c r="QN15">
        <v>5.0816298360000003</v>
      </c>
      <c r="QO15">
        <v>3.509989188</v>
      </c>
      <c r="QP15">
        <v>10.23244386</v>
      </c>
      <c r="QQ15">
        <v>177.98548479999999</v>
      </c>
      <c r="QR15">
        <v>5.0691650360000002</v>
      </c>
      <c r="QS15">
        <v>3.509785758</v>
      </c>
      <c r="QT15">
        <v>10.23345791</v>
      </c>
      <c r="QU15">
        <v>177.9817042</v>
      </c>
    </row>
    <row r="16" spans="1:463" x14ac:dyDescent="0.2">
      <c r="A16" t="s">
        <v>286</v>
      </c>
      <c r="B16" s="2">
        <v>4.7477112700000003E-12</v>
      </c>
      <c r="C16" s="2">
        <v>3.3016028659999999E-12</v>
      </c>
      <c r="D16">
        <v>1.6682543880000001E-3</v>
      </c>
      <c r="E16">
        <v>3.8122278939999997E-2</v>
      </c>
      <c r="F16">
        <v>0.35370992280000002</v>
      </c>
      <c r="G16">
        <v>5.1146937969999999E-3</v>
      </c>
      <c r="H16">
        <v>0.1168789274</v>
      </c>
      <c r="I16">
        <v>1.0844376979999999</v>
      </c>
      <c r="J16">
        <v>32.615228369999997</v>
      </c>
      <c r="K16">
        <v>32.616896619999999</v>
      </c>
      <c r="L16">
        <v>32.616896619999999</v>
      </c>
      <c r="M16">
        <v>32.616896619999999</v>
      </c>
      <c r="N16">
        <v>32.578774350000003</v>
      </c>
      <c r="O16">
        <v>32.616896619999999</v>
      </c>
      <c r="P16">
        <v>32.263186699999999</v>
      </c>
      <c r="Q16">
        <v>32.616896619999999</v>
      </c>
      <c r="R16">
        <v>4.7001304060000004</v>
      </c>
      <c r="S16">
        <v>0.94408159940000003</v>
      </c>
      <c r="T16">
        <v>2.7405482839999999</v>
      </c>
      <c r="U16">
        <v>7.7744890550000001</v>
      </c>
      <c r="V16">
        <v>4.6837248420000002</v>
      </c>
      <c r="W16">
        <v>1.0210323480000001</v>
      </c>
      <c r="X16">
        <v>2.6081040350000002</v>
      </c>
      <c r="Y16">
        <v>8.5730765649999991</v>
      </c>
      <c r="Z16">
        <v>9.3838552469999996</v>
      </c>
      <c r="AA16">
        <v>1.2895553559999999</v>
      </c>
      <c r="AB16">
        <v>6.5683499999999997</v>
      </c>
      <c r="AC16">
        <v>13.292114</v>
      </c>
      <c r="AD16">
        <v>4.0162099080000004</v>
      </c>
      <c r="AE16">
        <v>1.368277543</v>
      </c>
      <c r="AF16">
        <v>1.7561215379999999</v>
      </c>
      <c r="AG16">
        <v>10.982824000000001</v>
      </c>
      <c r="AH16">
        <v>9.3838552469999996</v>
      </c>
      <c r="AI16">
        <v>1.2895553559999999</v>
      </c>
      <c r="AJ16">
        <v>6.5683499999999997</v>
      </c>
      <c r="AK16">
        <v>13.292114</v>
      </c>
      <c r="AL16">
        <v>1.7711483729999999</v>
      </c>
      <c r="AM16">
        <v>0.3395285831</v>
      </c>
      <c r="AN16">
        <v>1.0658533100000001</v>
      </c>
      <c r="AO16">
        <v>2.7253673649999999</v>
      </c>
      <c r="AP16">
        <v>2.1428142879999998</v>
      </c>
      <c r="AQ16">
        <v>0.35773873490000002</v>
      </c>
      <c r="AR16">
        <v>1.2865404979999999</v>
      </c>
      <c r="AS16">
        <v>3.181504436</v>
      </c>
      <c r="AT16">
        <v>6.6515134850000004E-2</v>
      </c>
      <c r="AU16">
        <v>0.47368405130000002</v>
      </c>
      <c r="AV16">
        <v>-1.340752146</v>
      </c>
      <c r="AW16">
        <v>1.3225873260000001</v>
      </c>
      <c r="AX16">
        <v>2.5128796219999998</v>
      </c>
      <c r="AY16">
        <v>0.64744237120000003</v>
      </c>
      <c r="AZ16">
        <v>1.500832132</v>
      </c>
      <c r="BA16">
        <v>4.6783662359999996</v>
      </c>
      <c r="BB16">
        <v>0.63206312779999996</v>
      </c>
      <c r="BC16">
        <v>0.55251862929999995</v>
      </c>
      <c r="BD16">
        <v>0.1957718175</v>
      </c>
      <c r="BE16">
        <v>5.1473999819999996</v>
      </c>
      <c r="BF16">
        <v>6.6820462689999998</v>
      </c>
      <c r="BG16">
        <v>1.455330367</v>
      </c>
      <c r="BH16">
        <v>3.3968430189999999</v>
      </c>
      <c r="BI16">
        <v>11.45632337</v>
      </c>
      <c r="BJ16">
        <v>6.5980273890000003</v>
      </c>
      <c r="BK16">
        <v>7.1817762150000002</v>
      </c>
      <c r="BL16">
        <v>8.8378258949999997E-2</v>
      </c>
      <c r="BM16">
        <v>36.995614830000001</v>
      </c>
      <c r="BN16">
        <v>3.989378098</v>
      </c>
      <c r="BO16">
        <v>1.005873816</v>
      </c>
      <c r="BP16">
        <v>1.931483917</v>
      </c>
      <c r="BQ16">
        <v>6.8904477809999998</v>
      </c>
      <c r="BR16">
        <v>21.114230299999999</v>
      </c>
      <c r="BS16">
        <v>9.1098931600000004</v>
      </c>
      <c r="BT16">
        <v>1.9427283740000001</v>
      </c>
      <c r="BU16">
        <v>51.079875170000001</v>
      </c>
      <c r="BV16">
        <v>4.5714742360000002</v>
      </c>
      <c r="BW16">
        <v>0.8489829981</v>
      </c>
      <c r="BX16">
        <v>2.7405482839999999</v>
      </c>
      <c r="BY16">
        <v>7.4629214140000002</v>
      </c>
      <c r="BZ16">
        <v>4.5660787110000003</v>
      </c>
      <c r="CA16">
        <v>0.90337859170000001</v>
      </c>
      <c r="CB16">
        <v>2.6081040350000002</v>
      </c>
      <c r="CC16">
        <v>7.0780696809999997</v>
      </c>
      <c r="CD16">
        <v>9.1375529469999996</v>
      </c>
      <c r="CE16">
        <v>1.086432369</v>
      </c>
      <c r="CF16">
        <v>6.5683499999999997</v>
      </c>
      <c r="CG16">
        <v>11.611105999999999</v>
      </c>
      <c r="CH16">
        <v>3.938778396</v>
      </c>
      <c r="CI16">
        <v>1.304203193</v>
      </c>
      <c r="CJ16">
        <v>1.7561215379999999</v>
      </c>
      <c r="CK16">
        <v>10.982824000000001</v>
      </c>
      <c r="CL16">
        <v>9.1375529469999996</v>
      </c>
      <c r="CM16">
        <v>1.086432369</v>
      </c>
      <c r="CN16">
        <v>6.5683499999999997</v>
      </c>
      <c r="CO16">
        <v>11.611105999999999</v>
      </c>
      <c r="CP16">
        <v>1.7608952280000001</v>
      </c>
      <c r="CQ16">
        <v>0.33299571080000001</v>
      </c>
      <c r="CR16">
        <v>1.0658533100000001</v>
      </c>
      <c r="CS16">
        <v>2.6981603500000002</v>
      </c>
      <c r="CT16">
        <v>2.124929748</v>
      </c>
      <c r="CU16">
        <v>0.34543821209999998</v>
      </c>
      <c r="CV16">
        <v>1.2865404979999999</v>
      </c>
      <c r="CW16">
        <v>3.0982206479999999</v>
      </c>
      <c r="CX16">
        <v>6.7880923319999995E-2</v>
      </c>
      <c r="CY16">
        <v>0.45350507410000002</v>
      </c>
      <c r="CZ16">
        <v>-1.2328079190000001</v>
      </c>
      <c r="DA16">
        <v>1.322587322</v>
      </c>
      <c r="DB16">
        <v>2.4659426889999998</v>
      </c>
      <c r="DC16">
        <v>0.59744165709999997</v>
      </c>
      <c r="DD16">
        <v>1.500832132</v>
      </c>
      <c r="DE16">
        <v>4.6783661829999996</v>
      </c>
      <c r="DF16">
        <v>0.62421277460000002</v>
      </c>
      <c r="DG16">
        <v>0.54991242920000005</v>
      </c>
      <c r="DH16">
        <v>0.1957718175</v>
      </c>
      <c r="DI16">
        <v>5.1473999819999996</v>
      </c>
      <c r="DJ16">
        <v>6.5479654529999998</v>
      </c>
      <c r="DK16">
        <v>1.3770739489999999</v>
      </c>
      <c r="DL16">
        <v>3.3968430189999999</v>
      </c>
      <c r="DM16">
        <v>11.45632365</v>
      </c>
      <c r="DN16">
        <v>7.0240949270000002</v>
      </c>
      <c r="DO16">
        <v>7.1326021329999998</v>
      </c>
      <c r="DP16">
        <v>8.8378258949999997E-2</v>
      </c>
      <c r="DQ16">
        <v>36.995614830000001</v>
      </c>
      <c r="DR16">
        <v>3.9796279889999999</v>
      </c>
      <c r="DS16">
        <v>0.99222363759999999</v>
      </c>
      <c r="DT16">
        <v>1.931483917</v>
      </c>
      <c r="DU16">
        <v>6.890173989</v>
      </c>
      <c r="DV16">
        <v>21.396143219999999</v>
      </c>
      <c r="DW16">
        <v>9.2624341769999994</v>
      </c>
      <c r="DX16">
        <v>1.9427283740000001</v>
      </c>
      <c r="DY16">
        <v>51.079875170000001</v>
      </c>
      <c r="DZ16">
        <v>2.2785011630000001</v>
      </c>
      <c r="EA16">
        <v>0.62376992590000002</v>
      </c>
      <c r="EB16">
        <v>1.09380707</v>
      </c>
      <c r="EC16">
        <v>4.2636603290000004</v>
      </c>
      <c r="ED16">
        <v>1.6283503070000001</v>
      </c>
      <c r="EE16">
        <v>0.29385236170000001</v>
      </c>
      <c r="EF16">
        <v>0.91897050160000004</v>
      </c>
      <c r="EG16">
        <v>2.5212431620000002</v>
      </c>
      <c r="EH16">
        <v>3.9068514699999999</v>
      </c>
      <c r="EI16">
        <v>0.83730479010000003</v>
      </c>
      <c r="EJ16">
        <v>2.012777571</v>
      </c>
      <c r="EK16">
        <v>6.423309143</v>
      </c>
      <c r="EL16">
        <v>2.2604858819999998</v>
      </c>
      <c r="EM16">
        <v>0.51180907679999998</v>
      </c>
      <c r="EN16">
        <v>1.192758548</v>
      </c>
      <c r="EO16">
        <v>3.8890114499999999</v>
      </c>
      <c r="EP16">
        <v>6.7856851999999996</v>
      </c>
      <c r="EQ16">
        <v>1.8316728739999999</v>
      </c>
      <c r="ER16">
        <v>3.5902250000000002</v>
      </c>
      <c r="ES16">
        <v>12.068811</v>
      </c>
      <c r="ET16">
        <v>0.62194518779999997</v>
      </c>
      <c r="EU16">
        <v>0.1100180207</v>
      </c>
      <c r="EV16">
        <v>0.34761944719999999</v>
      </c>
      <c r="EW16">
        <v>0.9508168145</v>
      </c>
      <c r="EX16">
        <v>0.81839045529999999</v>
      </c>
      <c r="EY16">
        <v>0.15472618029999999</v>
      </c>
      <c r="EZ16">
        <v>0.4369491117</v>
      </c>
      <c r="FA16">
        <v>1.286753217</v>
      </c>
      <c r="FB16">
        <v>0.48832512970000003</v>
      </c>
      <c r="FC16">
        <v>0.35008257409999999</v>
      </c>
      <c r="FD16">
        <v>-0.60004672010000004</v>
      </c>
      <c r="FE16">
        <v>1.6450820880000001</v>
      </c>
      <c r="FF16">
        <v>4.0131787560000003</v>
      </c>
      <c r="FG16">
        <v>0.92549882210000001</v>
      </c>
      <c r="FH16">
        <v>2.4525315089999999</v>
      </c>
      <c r="FI16">
        <v>7.8322261600000003</v>
      </c>
      <c r="FJ16">
        <v>3.9481206960000002</v>
      </c>
      <c r="FK16">
        <v>1.2841219800000001</v>
      </c>
      <c r="FL16">
        <v>1.770007654</v>
      </c>
      <c r="FM16">
        <v>7.5794699139999997</v>
      </c>
      <c r="FN16">
        <v>2.8371215259999998</v>
      </c>
      <c r="FO16">
        <v>0.88063534480000005</v>
      </c>
      <c r="FP16">
        <v>1.332784644</v>
      </c>
      <c r="FQ16">
        <v>6.5831636299999996</v>
      </c>
      <c r="FR16">
        <v>6.4186882790000004</v>
      </c>
      <c r="FS16">
        <v>1.832502785</v>
      </c>
      <c r="FT16">
        <v>3.213635</v>
      </c>
      <c r="FU16">
        <v>12.068811</v>
      </c>
      <c r="FV16">
        <v>4.5305387789999996</v>
      </c>
      <c r="FW16">
        <v>1.5417610530000001</v>
      </c>
      <c r="FX16">
        <v>1.6864479999999999</v>
      </c>
      <c r="FY16">
        <v>9.0512320000000006</v>
      </c>
      <c r="FZ16">
        <v>0.2007865267</v>
      </c>
      <c r="GA16">
        <v>3.6329296349999998E-2</v>
      </c>
      <c r="GB16">
        <v>0.11093999960000001</v>
      </c>
      <c r="GC16">
        <v>0.30060999900000002</v>
      </c>
      <c r="GD16">
        <v>6.0695153030000002</v>
      </c>
      <c r="GE16">
        <v>1.3969454509999999</v>
      </c>
      <c r="GF16">
        <v>2.8416846279999999</v>
      </c>
      <c r="GG16">
        <v>10.1704525</v>
      </c>
      <c r="GH16">
        <v>1.7632323510000001</v>
      </c>
      <c r="GI16">
        <v>1.860786933</v>
      </c>
      <c r="GJ16">
        <v>7.3873430190000006E-2</v>
      </c>
      <c r="GK16">
        <v>13.937453830000001</v>
      </c>
      <c r="GL16">
        <v>1.12825296</v>
      </c>
      <c r="GM16">
        <v>0.19208348989999999</v>
      </c>
      <c r="GN16">
        <v>0.69062270349999999</v>
      </c>
      <c r="GO16">
        <v>1.713013777</v>
      </c>
      <c r="GP16">
        <v>10.655292319999999</v>
      </c>
      <c r="GQ16">
        <v>2.4621760880000001</v>
      </c>
      <c r="GR16">
        <v>5.7867520319999999</v>
      </c>
      <c r="GS16">
        <v>17.206764700000001</v>
      </c>
      <c r="GT16">
        <v>51.485126710000003</v>
      </c>
      <c r="GU16">
        <v>9.6735307370000001</v>
      </c>
      <c r="GV16">
        <v>33.265693210000002</v>
      </c>
      <c r="GW16">
        <v>90.138814080000003</v>
      </c>
      <c r="GX16">
        <v>2.262025081</v>
      </c>
      <c r="GY16">
        <v>0.6133579951</v>
      </c>
      <c r="GZ16">
        <v>1.09380707</v>
      </c>
      <c r="HA16">
        <v>4.263660045</v>
      </c>
      <c r="HB16">
        <v>1.617249215</v>
      </c>
      <c r="HC16">
        <v>0.29110853860000002</v>
      </c>
      <c r="HD16">
        <v>0.91897050160000004</v>
      </c>
      <c r="HE16">
        <v>2.5082850620000001</v>
      </c>
      <c r="HF16">
        <v>3.8792742950000001</v>
      </c>
      <c r="HG16">
        <v>0.81822752109999997</v>
      </c>
      <c r="HH16">
        <v>2.012777571</v>
      </c>
      <c r="HI16">
        <v>6.1873788569999997</v>
      </c>
      <c r="HJ16">
        <v>2.2399125419999999</v>
      </c>
      <c r="HK16">
        <v>0.50146335959999999</v>
      </c>
      <c r="HL16">
        <v>1.192758548</v>
      </c>
      <c r="HM16">
        <v>3.8669227369999999</v>
      </c>
      <c r="HN16">
        <v>6.6814941000000001</v>
      </c>
      <c r="HO16">
        <v>1.6912209010000001</v>
      </c>
      <c r="HP16">
        <v>3.5902250000000002</v>
      </c>
      <c r="HQ16">
        <v>10.697876000000001</v>
      </c>
      <c r="HR16">
        <v>0.61936146960000005</v>
      </c>
      <c r="HS16">
        <v>0.1086905686</v>
      </c>
      <c r="HT16">
        <v>0.34761944719999999</v>
      </c>
      <c r="HU16">
        <v>0.9508168145</v>
      </c>
      <c r="HV16">
        <v>0.81402163829999996</v>
      </c>
      <c r="HW16">
        <v>0.15222838420000001</v>
      </c>
      <c r="HX16">
        <v>0.4369491117</v>
      </c>
      <c r="HY16">
        <v>1.2418434089999999</v>
      </c>
      <c r="HZ16">
        <v>0.48572480870000001</v>
      </c>
      <c r="IA16">
        <v>0.3514088943</v>
      </c>
      <c r="IB16">
        <v>-0.60004672010000004</v>
      </c>
      <c r="IC16">
        <v>1.645081899</v>
      </c>
      <c r="ID16">
        <v>4.0010252460000002</v>
      </c>
      <c r="IE16">
        <v>0.92421707990000002</v>
      </c>
      <c r="IF16">
        <v>2.4525315089999999</v>
      </c>
      <c r="IG16">
        <v>7.83222548</v>
      </c>
      <c r="IH16">
        <v>3.8879316610000001</v>
      </c>
      <c r="II16">
        <v>1.225712307</v>
      </c>
      <c r="IJ16">
        <v>1.592039666</v>
      </c>
      <c r="IK16">
        <v>7.5794679159999996</v>
      </c>
      <c r="IL16">
        <v>2.7931194600000002</v>
      </c>
      <c r="IM16">
        <v>0.83031014520000002</v>
      </c>
      <c r="IN16">
        <v>1.332784644</v>
      </c>
      <c r="IO16">
        <v>6.5766016330000001</v>
      </c>
      <c r="IP16">
        <v>6.3218050679999997</v>
      </c>
      <c r="IQ16">
        <v>1.68151227</v>
      </c>
      <c r="IR16">
        <v>3.2136300000000002</v>
      </c>
      <c r="IS16">
        <v>10.664342</v>
      </c>
      <c r="IT16">
        <v>4.4832672579999997</v>
      </c>
      <c r="IU16">
        <v>1.5376448410000001</v>
      </c>
      <c r="IV16">
        <v>1.665049</v>
      </c>
      <c r="IW16">
        <v>9.0512320000000006</v>
      </c>
      <c r="IX16">
        <v>0.19984617700000001</v>
      </c>
      <c r="IY16">
        <v>3.5580919930000003E-2</v>
      </c>
      <c r="IZ16">
        <v>0.11093999960000001</v>
      </c>
      <c r="JA16">
        <v>0.30060999900000002</v>
      </c>
      <c r="JB16">
        <v>5.9735201269999996</v>
      </c>
      <c r="JC16">
        <v>1.361807585</v>
      </c>
      <c r="JD16">
        <v>2.8416846279999999</v>
      </c>
      <c r="JE16">
        <v>10.17044991</v>
      </c>
      <c r="JF16">
        <v>1.7977011540000001</v>
      </c>
      <c r="JG16">
        <v>1.965633465</v>
      </c>
      <c r="JH16">
        <v>9.8497906920000003E-2</v>
      </c>
      <c r="JI16">
        <v>15.19330214</v>
      </c>
      <c r="JJ16">
        <v>1.1255192940000001</v>
      </c>
      <c r="JK16">
        <v>0.19047643010000001</v>
      </c>
      <c r="JL16">
        <v>0.69062270349999999</v>
      </c>
      <c r="JM16">
        <v>1.713013777</v>
      </c>
      <c r="JN16">
        <v>10.695627419999999</v>
      </c>
      <c r="JO16">
        <v>2.4227101549999999</v>
      </c>
      <c r="JP16">
        <v>5.7660953680000002</v>
      </c>
      <c r="JQ16">
        <v>17.206764700000001</v>
      </c>
      <c r="JR16">
        <v>51.677896410000002</v>
      </c>
      <c r="JS16">
        <v>9.5685450949999993</v>
      </c>
      <c r="JT16">
        <v>33.265693210000002</v>
      </c>
      <c r="JU16">
        <v>90.138814080000003</v>
      </c>
      <c r="JV16">
        <v>3.2713877409999998</v>
      </c>
      <c r="JW16">
        <v>0.89324851589999998</v>
      </c>
      <c r="JX16">
        <v>1.5518745140000001</v>
      </c>
      <c r="JY16">
        <v>5.7614897190000001</v>
      </c>
      <c r="JZ16">
        <v>3.2393710329999998</v>
      </c>
      <c r="KA16">
        <v>0.91894621629999995</v>
      </c>
      <c r="KB16">
        <v>1.5276343960000001</v>
      </c>
      <c r="KC16">
        <v>6.8636600019999996</v>
      </c>
      <c r="KD16">
        <v>6.5107587740000001</v>
      </c>
      <c r="KE16">
        <v>1.238589333</v>
      </c>
      <c r="KF16">
        <v>3.326263</v>
      </c>
      <c r="KG16">
        <v>9.3755469999999992</v>
      </c>
      <c r="KH16">
        <v>5.1121964110000002</v>
      </c>
      <c r="KI16">
        <v>1.661674332</v>
      </c>
      <c r="KJ16">
        <v>2.018802</v>
      </c>
      <c r="KK16">
        <v>9.2705760000000001</v>
      </c>
      <c r="KL16">
        <v>6.5107587740000001</v>
      </c>
      <c r="KM16">
        <v>1.238589333</v>
      </c>
      <c r="KN16">
        <v>3.326263</v>
      </c>
      <c r="KO16">
        <v>9.3755469999999992</v>
      </c>
      <c r="KP16">
        <v>1.4919859609999999</v>
      </c>
      <c r="KQ16">
        <v>0.37133183139999998</v>
      </c>
      <c r="KR16">
        <v>0.66619823079999996</v>
      </c>
      <c r="KS16">
        <v>2.5172445830000001</v>
      </c>
      <c r="KT16">
        <v>1.80105267</v>
      </c>
      <c r="KU16">
        <v>0.3900222189</v>
      </c>
      <c r="KV16">
        <v>0.86065078740000001</v>
      </c>
      <c r="KW16">
        <v>2.8246244520000001</v>
      </c>
      <c r="KX16">
        <v>0.12273356019999999</v>
      </c>
      <c r="KY16">
        <v>0.59892465989999999</v>
      </c>
      <c r="KZ16">
        <v>-1.484279795</v>
      </c>
      <c r="LA16">
        <v>1.5091740769999999</v>
      </c>
      <c r="LB16">
        <v>2.4987332659999999</v>
      </c>
      <c r="LC16">
        <v>0.92277926300000002</v>
      </c>
      <c r="LD16">
        <v>1.340005482</v>
      </c>
      <c r="LE16">
        <v>6.7704386449999996</v>
      </c>
      <c r="LF16">
        <v>2.1758884539999999</v>
      </c>
      <c r="LG16">
        <v>1.1564453640000001</v>
      </c>
      <c r="LH16">
        <v>0.56303999810000005</v>
      </c>
      <c r="LI16">
        <v>5.4744599809999999</v>
      </c>
      <c r="LJ16">
        <v>0.2447284673</v>
      </c>
      <c r="LK16">
        <v>4.9792816529999999E-2</v>
      </c>
      <c r="LL16">
        <v>0.13105222329999999</v>
      </c>
      <c r="LM16">
        <v>0.39745471090000001</v>
      </c>
      <c r="LN16">
        <v>18.988269129999999</v>
      </c>
      <c r="LO16">
        <v>10.32357974</v>
      </c>
      <c r="LP16">
        <v>2.3199292969999998</v>
      </c>
      <c r="LQ16">
        <v>51.259390189999998</v>
      </c>
      <c r="LR16">
        <v>3.3773812099999998</v>
      </c>
      <c r="LS16">
        <v>1.1109790939999999</v>
      </c>
      <c r="LT16">
        <v>1.159728243</v>
      </c>
      <c r="LU16">
        <v>6.554434294</v>
      </c>
      <c r="LV16">
        <v>21.74257193</v>
      </c>
      <c r="LW16">
        <v>8.0785272060000004</v>
      </c>
      <c r="LX16">
        <v>3.9644880539999998</v>
      </c>
      <c r="LY16">
        <v>40.219359910000001</v>
      </c>
      <c r="LZ16">
        <v>5.9793551870000003</v>
      </c>
      <c r="MA16">
        <v>3.1864278499999998</v>
      </c>
      <c r="MB16">
        <v>1.8266641889999999</v>
      </c>
      <c r="MC16">
        <v>17.760727540000001</v>
      </c>
      <c r="MD16">
        <v>3.2418459030000002</v>
      </c>
      <c r="ME16">
        <v>0.85988968369999996</v>
      </c>
      <c r="MF16">
        <v>1.5518745140000001</v>
      </c>
      <c r="MG16">
        <v>5.6555312329999996</v>
      </c>
      <c r="MH16">
        <v>3.1998622550000002</v>
      </c>
      <c r="MI16">
        <v>0.87713454209999997</v>
      </c>
      <c r="MJ16">
        <v>1.5276343960000001</v>
      </c>
      <c r="MK16">
        <v>6.4311917049999998</v>
      </c>
      <c r="ML16">
        <v>6.441708158</v>
      </c>
      <c r="MM16">
        <v>1.1849867759999999</v>
      </c>
      <c r="MN16">
        <v>3.326263</v>
      </c>
      <c r="MO16">
        <v>9.3253979999999999</v>
      </c>
      <c r="MP16">
        <v>5.062235351</v>
      </c>
      <c r="MQ16">
        <v>1.596219249</v>
      </c>
      <c r="MR16">
        <v>2.018802</v>
      </c>
      <c r="MS16">
        <v>8.8539010000000005</v>
      </c>
      <c r="MT16">
        <v>6.441708158</v>
      </c>
      <c r="MU16">
        <v>1.1849867759999999</v>
      </c>
      <c r="MV16">
        <v>3.326263</v>
      </c>
      <c r="MW16">
        <v>9.3253979999999999</v>
      </c>
      <c r="MX16">
        <v>1.4827760489999999</v>
      </c>
      <c r="MY16">
        <v>0.36802672800000003</v>
      </c>
      <c r="MZ16">
        <v>0.66619823079999996</v>
      </c>
      <c r="NA16">
        <v>2.5172445830000001</v>
      </c>
      <c r="NB16">
        <v>1.786012596</v>
      </c>
      <c r="NC16">
        <v>0.38368796309999997</v>
      </c>
      <c r="ND16">
        <v>0.86065078740000001</v>
      </c>
      <c r="NE16">
        <v>2.8230331419999999</v>
      </c>
      <c r="NF16">
        <v>0.123066263</v>
      </c>
      <c r="NG16">
        <v>0.57597574809999996</v>
      </c>
      <c r="NH16">
        <v>-1.425470918</v>
      </c>
      <c r="NI16">
        <v>1.451762684</v>
      </c>
      <c r="NJ16">
        <v>2.4642334749999999</v>
      </c>
      <c r="NK16">
        <v>0.87192121160000002</v>
      </c>
      <c r="NL16">
        <v>1.340005482</v>
      </c>
      <c r="NM16">
        <v>6.1912123750000001</v>
      </c>
      <c r="NN16">
        <v>2.1816799160000002</v>
      </c>
      <c r="NO16">
        <v>1.1518922279999999</v>
      </c>
      <c r="NP16">
        <v>0.56303999810000005</v>
      </c>
      <c r="NQ16">
        <v>5.4744599809999999</v>
      </c>
      <c r="NR16">
        <v>0.24257581149999999</v>
      </c>
      <c r="NS16">
        <v>4.8052662539999999E-2</v>
      </c>
      <c r="NT16">
        <v>0.13105222329999999</v>
      </c>
      <c r="NU16">
        <v>0.39139229460000002</v>
      </c>
      <c r="NV16">
        <v>19.009215829999999</v>
      </c>
      <c r="NW16">
        <v>10.323916880000001</v>
      </c>
      <c r="NX16">
        <v>2.342023862</v>
      </c>
      <c r="NY16">
        <v>51.259390189999998</v>
      </c>
      <c r="NZ16">
        <v>3.3669731409999999</v>
      </c>
      <c r="OA16">
        <v>1.103520227</v>
      </c>
      <c r="OB16">
        <v>1.159728243</v>
      </c>
      <c r="OC16">
        <v>6.5547489969999999</v>
      </c>
      <c r="OD16">
        <v>21.846235010000001</v>
      </c>
      <c r="OE16">
        <v>7.9657119749999996</v>
      </c>
      <c r="OF16">
        <v>3.9644880539999998</v>
      </c>
      <c r="OG16">
        <v>40.219359910000001</v>
      </c>
      <c r="OH16">
        <v>5.9613897470000001</v>
      </c>
      <c r="OI16">
        <v>3.1848556110000001</v>
      </c>
      <c r="OJ16">
        <v>1.8266641889999999</v>
      </c>
      <c r="OK16">
        <v>17.760727540000001</v>
      </c>
      <c r="OL16">
        <v>1.993874978</v>
      </c>
      <c r="OM16">
        <v>-0.1056716411</v>
      </c>
      <c r="ON16">
        <v>2.5922532939999998</v>
      </c>
      <c r="OO16">
        <v>7.7162490000000004</v>
      </c>
      <c r="OP16">
        <v>7.6330419999999997</v>
      </c>
      <c r="OQ16">
        <v>15.349290999999999</v>
      </c>
      <c r="OR16">
        <v>1.639555093</v>
      </c>
      <c r="OS16" s="2">
        <v>7.1739762309999994E-5</v>
      </c>
      <c r="OT16">
        <v>2.677040079E-3</v>
      </c>
      <c r="OU16" s="2">
        <v>7.1739762309999994E-5</v>
      </c>
      <c r="OV16">
        <v>1.9049829930000001E-3</v>
      </c>
      <c r="OW16">
        <v>2.468989007E-3</v>
      </c>
      <c r="OX16">
        <v>2.0805107209999999E-4</v>
      </c>
      <c r="OY16">
        <v>5.7835363690000001</v>
      </c>
      <c r="OZ16">
        <v>1.276053181</v>
      </c>
      <c r="PA16">
        <v>1.6808625049999999</v>
      </c>
      <c r="PB16">
        <v>7.2266939920000004</v>
      </c>
      <c r="PC16">
        <v>92.497668630000007</v>
      </c>
      <c r="PD16">
        <v>1.975154503</v>
      </c>
      <c r="PE16">
        <v>-7.5585629299999998E-2</v>
      </c>
      <c r="PF16">
        <v>2.4598305919999999</v>
      </c>
      <c r="PG16">
        <v>6.7449339999999998</v>
      </c>
      <c r="PH16">
        <v>6.7411789999999998</v>
      </c>
      <c r="PI16">
        <v>13.486113</v>
      </c>
      <c r="PJ16">
        <v>1.631178982</v>
      </c>
      <c r="PK16" s="2">
        <v>6.9546462050000001E-5</v>
      </c>
      <c r="PL16">
        <v>2.667562447E-3</v>
      </c>
      <c r="PM16" s="2">
        <v>6.9546462050000001E-5</v>
      </c>
      <c r="PN16">
        <v>1.9033133640000001E-3</v>
      </c>
      <c r="PO16">
        <v>2.464404636E-3</v>
      </c>
      <c r="PP16">
        <v>2.0315781080000001E-4</v>
      </c>
      <c r="PQ16">
        <v>5.7806420779999996</v>
      </c>
      <c r="PR16">
        <v>1.215747779</v>
      </c>
      <c r="PS16">
        <v>1.550647932</v>
      </c>
      <c r="PT16">
        <v>7.1813114469999997</v>
      </c>
      <c r="PU16">
        <v>92.496443299999996</v>
      </c>
      <c r="PV16">
        <v>6.782374635</v>
      </c>
      <c r="PW16">
        <v>1.601676554</v>
      </c>
      <c r="PX16">
        <v>2.082863465</v>
      </c>
      <c r="PY16">
        <v>8.0800748290000008</v>
      </c>
      <c r="PZ16">
        <v>92.324157389999996</v>
      </c>
      <c r="QA16">
        <v>6.7822533539999998</v>
      </c>
      <c r="QB16">
        <v>1.5313012349999999</v>
      </c>
      <c r="QC16">
        <v>1.9226646329999999</v>
      </c>
      <c r="QD16">
        <v>8.0628604520000007</v>
      </c>
      <c r="QE16">
        <v>92.342755870000005</v>
      </c>
      <c r="QF16" s="2">
        <v>8.1288722270000005E-5</v>
      </c>
      <c r="QG16">
        <v>2.2876318290000002E-3</v>
      </c>
      <c r="QH16">
        <v>3.0206651709999998E-3</v>
      </c>
      <c r="QI16">
        <v>2.5042698069999999E-4</v>
      </c>
      <c r="QJ16" s="2">
        <v>7.8433089490000004E-5</v>
      </c>
      <c r="QK16">
        <v>2.286733756E-3</v>
      </c>
      <c r="QL16">
        <v>3.0192622439999999E-3</v>
      </c>
      <c r="QM16">
        <v>2.4405299450000001E-4</v>
      </c>
      <c r="QN16">
        <v>5.0914751110000003</v>
      </c>
      <c r="QO16">
        <v>3.5115864000000001</v>
      </c>
      <c r="QP16">
        <v>10.23558001</v>
      </c>
      <c r="QQ16">
        <v>177.99605220000001</v>
      </c>
      <c r="QR16">
        <v>5.0825720790000002</v>
      </c>
      <c r="QS16">
        <v>3.511440436</v>
      </c>
      <c r="QT16">
        <v>10.23701415</v>
      </c>
      <c r="QU16">
        <v>177.99291769999999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E21" sqref="E21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Baza!OL1</f>
        <v>70</v>
      </c>
      <c r="C3">
        <f>Baza!OM1</f>
        <v>70</v>
      </c>
      <c r="D3">
        <f>Baza!ON1</f>
        <v>70</v>
      </c>
      <c r="E3">
        <f>Baza!OO1</f>
        <v>70</v>
      </c>
      <c r="F3">
        <f>Baza!OP1</f>
        <v>70</v>
      </c>
      <c r="G3">
        <f>Baza!OQ1</f>
        <v>70</v>
      </c>
      <c r="H3">
        <f>Baza!OR1</f>
        <v>70</v>
      </c>
      <c r="I3">
        <f>Baza!OS1</f>
        <v>70</v>
      </c>
      <c r="J3">
        <f>Baza!OT1</f>
        <v>70</v>
      </c>
      <c r="K3">
        <f>Baza!OU1</f>
        <v>70</v>
      </c>
      <c r="L3">
        <f>Baza!OV1</f>
        <v>70</v>
      </c>
      <c r="M3">
        <f>Baza!OW1</f>
        <v>70</v>
      </c>
      <c r="N3">
        <f>Baza!OX1</f>
        <v>70</v>
      </c>
      <c r="O3">
        <f>Baza!OY1</f>
        <v>70</v>
      </c>
      <c r="P3">
        <f>Baza!OZ1</f>
        <v>70</v>
      </c>
      <c r="Q3">
        <f>Baza!PA1</f>
        <v>70</v>
      </c>
      <c r="R3">
        <f>Baza!PB1</f>
        <v>70</v>
      </c>
      <c r="S3">
        <f>Baza!PC1</f>
        <v>70</v>
      </c>
    </row>
    <row r="4" spans="1:19" x14ac:dyDescent="0.2">
      <c r="B4" t="str">
        <f>Baza!OL2</f>
        <v>Sq</v>
      </c>
      <c r="C4" t="str">
        <f>Baza!OM2</f>
        <v>Ssk</v>
      </c>
      <c r="D4" t="str">
        <f>Baza!ON2</f>
        <v>Sku</v>
      </c>
      <c r="E4" t="str">
        <f>Baza!OO2</f>
        <v>Sp</v>
      </c>
      <c r="F4" t="str">
        <f>Baza!OP2</f>
        <v>Sv</v>
      </c>
      <c r="G4" t="str">
        <f>Baza!OQ2</f>
        <v>Sz</v>
      </c>
      <c r="H4" t="str">
        <f>Baza!OR2</f>
        <v>Sa</v>
      </c>
      <c r="I4" t="str">
        <f>Baza!OS2</f>
        <v>Vm (p = 10%)</v>
      </c>
      <c r="J4" t="str">
        <f>Baza!OT2</f>
        <v>Vv (p = 10%)</v>
      </c>
      <c r="K4" t="str">
        <f>Baza!OU2</f>
        <v>Vmp (p = 10%)</v>
      </c>
      <c r="L4" t="str">
        <f>Baza!OV2</f>
        <v>Vmc (p = 10%, q = 80%)</v>
      </c>
      <c r="M4" t="str">
        <f>Baza!OW2</f>
        <v>Vvc (p = 10%, q = 80%)</v>
      </c>
      <c r="N4" t="str">
        <f>Baza!OX2</f>
        <v>Vvv (p = 80%)</v>
      </c>
      <c r="O4" t="str">
        <f>Baza!OY2</f>
        <v>Sk</v>
      </c>
      <c r="P4" t="str">
        <f>Baza!OZ2</f>
        <v>Spk</v>
      </c>
      <c r="Q4" t="str">
        <f>Baza!PA2</f>
        <v>Svk</v>
      </c>
      <c r="R4" t="str">
        <f>Baza!PB2</f>
        <v>Smrk1</v>
      </c>
      <c r="S4" t="str">
        <f>Baza!PC2</f>
        <v>Smrk2</v>
      </c>
    </row>
    <row r="5" spans="1:19" x14ac:dyDescent="0.2">
      <c r="B5" t="str">
        <f>Baza!OL3</f>
        <v>µm</v>
      </c>
      <c r="C5" t="str">
        <f>Baza!OM3</f>
        <v>&lt;no unit&gt;</v>
      </c>
      <c r="D5" t="str">
        <f>Baza!ON3</f>
        <v>&lt;no unit&gt;</v>
      </c>
      <c r="E5" t="str">
        <f>Baza!OO3</f>
        <v>µm</v>
      </c>
      <c r="F5" t="str">
        <f>Baza!OP3</f>
        <v>µm</v>
      </c>
      <c r="G5" t="str">
        <f>Baza!OQ3</f>
        <v>µm</v>
      </c>
      <c r="H5" t="str">
        <f>Baza!OR3</f>
        <v>µm</v>
      </c>
      <c r="I5" t="str">
        <f>Baza!OS3</f>
        <v>mm³/mm²</v>
      </c>
      <c r="J5" t="str">
        <f>Baza!OT3</f>
        <v>mm³/mm²</v>
      </c>
      <c r="K5" t="str">
        <f>Baza!OU3</f>
        <v>mm³/mm²</v>
      </c>
      <c r="L5" t="str">
        <f>Baza!OV3</f>
        <v>mm³/mm²</v>
      </c>
      <c r="M5" t="str">
        <f>Baza!OW3</f>
        <v>mm³/mm²</v>
      </c>
      <c r="N5" t="str">
        <f>Baza!OX3</f>
        <v>mm³/mm²</v>
      </c>
      <c r="O5" t="str">
        <f>Baza!OY3</f>
        <v>µm</v>
      </c>
      <c r="P5" t="str">
        <f>Baza!OZ3</f>
        <v>µm</v>
      </c>
      <c r="Q5" t="str">
        <f>Baza!PA3</f>
        <v>µm</v>
      </c>
      <c r="R5" t="str">
        <f>Baza!PB3</f>
        <v>%</v>
      </c>
      <c r="S5" t="str">
        <f>Baza!PC3</f>
        <v>%</v>
      </c>
    </row>
    <row r="6" spans="1:19" x14ac:dyDescent="0.2">
      <c r="A6" s="1" t="s">
        <v>244</v>
      </c>
      <c r="B6">
        <f>Baza!OL4</f>
        <v>2.0426979410000001</v>
      </c>
      <c r="C6">
        <f>Baza!OM4</f>
        <v>-8.3115139049999995E-2</v>
      </c>
      <c r="D6">
        <f>Baza!ON4</f>
        <v>2.5683354770000002</v>
      </c>
      <c r="E6">
        <f>Baza!OO4</f>
        <v>8.4812419999999999</v>
      </c>
      <c r="F6">
        <f>Baza!OP4</f>
        <v>7.7076859999999998</v>
      </c>
      <c r="G6">
        <f>Baza!OQ4</f>
        <v>16.188928000000001</v>
      </c>
      <c r="H6">
        <f>Baza!OR4</f>
        <v>1.6815334209999999</v>
      </c>
      <c r="I6" s="2">
        <f>Baza!OS4</f>
        <v>7.4225564369999995E-5</v>
      </c>
      <c r="J6">
        <f>Baza!OT4</f>
        <v>2.7466985330000001E-3</v>
      </c>
      <c r="K6" s="2">
        <f>Baza!OU4</f>
        <v>7.4225564369999995E-5</v>
      </c>
      <c r="L6">
        <f>Baza!OV4</f>
        <v>1.947715276E-3</v>
      </c>
      <c r="M6">
        <f>Baza!OW4</f>
        <v>2.5357867240000001E-3</v>
      </c>
      <c r="N6">
        <f>Baza!OX4</f>
        <v>2.1091180819999999E-4</v>
      </c>
      <c r="O6">
        <f>Baza!OY4</f>
        <v>5.9362169610000004</v>
      </c>
      <c r="P6">
        <f>Baza!OZ4</f>
        <v>1.3361745009999999</v>
      </c>
      <c r="Q6">
        <f>Baza!PA4</f>
        <v>1.6839187769999999</v>
      </c>
      <c r="R6">
        <f>Baza!PB4</f>
        <v>7.3006423570000001</v>
      </c>
      <c r="S6">
        <f>Baza!PC4</f>
        <v>92.730475200000001</v>
      </c>
    </row>
    <row r="7" spans="1:19" x14ac:dyDescent="0.2">
      <c r="A7" s="1" t="s">
        <v>245</v>
      </c>
      <c r="B7">
        <f>Baza!OL5</f>
        <v>2.1027492680000002</v>
      </c>
      <c r="C7">
        <f>Baza!OM5</f>
        <v>-7.3259703760000003E-2</v>
      </c>
      <c r="D7">
        <f>Baza!ON5</f>
        <v>2.5894944660000001</v>
      </c>
      <c r="E7">
        <f>Baza!OO5</f>
        <v>8.5207359999999994</v>
      </c>
      <c r="F7">
        <f>Baza!OP5</f>
        <v>8.9009440000000009</v>
      </c>
      <c r="G7">
        <f>Baza!OQ5</f>
        <v>17.421679999999999</v>
      </c>
      <c r="H7">
        <f>Baza!OR5</f>
        <v>1.7283617339999999</v>
      </c>
      <c r="I7" s="2">
        <f>Baza!OS5</f>
        <v>7.7718566210000005E-5</v>
      </c>
      <c r="J7">
        <f>Baza!OT5</f>
        <v>2.8370767270000001E-3</v>
      </c>
      <c r="K7" s="2">
        <f>Baza!OU5</f>
        <v>7.7718566210000005E-5</v>
      </c>
      <c r="L7">
        <f>Baza!OV5</f>
        <v>1.9928652870000001E-3</v>
      </c>
      <c r="M7">
        <f>Baza!OW5</f>
        <v>2.619281713E-3</v>
      </c>
      <c r="N7">
        <f>Baza!OX5</f>
        <v>2.1779501419999999E-4</v>
      </c>
      <c r="O7">
        <f>Baza!OY5</f>
        <v>6.0722547819999999</v>
      </c>
      <c r="P7">
        <f>Baza!OZ5</f>
        <v>1.4172958170000001</v>
      </c>
      <c r="Q7">
        <f>Baza!PA5</f>
        <v>1.76115665</v>
      </c>
      <c r="R7">
        <f>Baza!PB5</f>
        <v>7.636106625</v>
      </c>
      <c r="S7">
        <f>Baza!PC5</f>
        <v>92.742183990000001</v>
      </c>
    </row>
    <row r="8" spans="1:19" x14ac:dyDescent="0.2">
      <c r="A8" s="1" t="s">
        <v>246</v>
      </c>
      <c r="B8">
        <f>Baza!OL6</f>
        <v>2.1582324709999998</v>
      </c>
      <c r="C8">
        <f>Baza!OM6</f>
        <v>-9.5194273450000005E-2</v>
      </c>
      <c r="D8">
        <f>Baza!ON6</f>
        <v>2.6450682950000002</v>
      </c>
      <c r="E8">
        <f>Baza!OO6</f>
        <v>8.5285919999999997</v>
      </c>
      <c r="F8">
        <f>Baza!OP6</f>
        <v>10.447842</v>
      </c>
      <c r="G8">
        <f>Baza!OQ6</f>
        <v>18.976434000000001</v>
      </c>
      <c r="H8">
        <f>Baza!OR6</f>
        <v>1.7692513240000001</v>
      </c>
      <c r="I8" s="2">
        <f>Baza!OS6</f>
        <v>8.0322820839999996E-5</v>
      </c>
      <c r="J8">
        <f>Baza!OT6</f>
        <v>2.8992814100000002E-3</v>
      </c>
      <c r="K8" s="2">
        <f>Baza!OU6</f>
        <v>8.0322820839999996E-5</v>
      </c>
      <c r="L8">
        <f>Baza!OV6</f>
        <v>2.0364710370000001E-3</v>
      </c>
      <c r="M8">
        <f>Baza!OW6</f>
        <v>2.6715439629999998E-3</v>
      </c>
      <c r="N8">
        <f>Baza!OX6</f>
        <v>2.277374471E-4</v>
      </c>
      <c r="O8">
        <f>Baza!OY6</f>
        <v>6.1941749489999998</v>
      </c>
      <c r="P8">
        <f>Baza!OZ6</f>
        <v>1.4675958769999999</v>
      </c>
      <c r="Q8">
        <f>Baza!PA6</f>
        <v>1.8867805040000001</v>
      </c>
      <c r="R8">
        <f>Baza!PB6</f>
        <v>7.622342229</v>
      </c>
      <c r="S8">
        <f>Baza!PC6</f>
        <v>92.545256370000004</v>
      </c>
    </row>
    <row r="9" spans="1:19" x14ac:dyDescent="0.2">
      <c r="A9" s="1" t="s">
        <v>247</v>
      </c>
      <c r="B9">
        <f>Baza!OL7</f>
        <v>2.0881520999999998</v>
      </c>
      <c r="C9">
        <f>Baza!OM7</f>
        <v>-6.4353189699999994E-2</v>
      </c>
      <c r="D9">
        <f>Baza!ON7</f>
        <v>2.6308420739999998</v>
      </c>
      <c r="E9">
        <f>Baza!OO7</f>
        <v>9.5203769999999999</v>
      </c>
      <c r="F9">
        <f>Baza!OP7</f>
        <v>8.2654829999999997</v>
      </c>
      <c r="G9">
        <f>Baza!OQ7</f>
        <v>17.78586</v>
      </c>
      <c r="H9">
        <f>Baza!OR7</f>
        <v>1.7145780509999999</v>
      </c>
      <c r="I9" s="2">
        <f>Baza!OS7</f>
        <v>7.961015438E-5</v>
      </c>
      <c r="J9">
        <f>Baza!OT7</f>
        <v>2.7925242079999998E-3</v>
      </c>
      <c r="K9" s="2">
        <f>Baza!OU7</f>
        <v>7.961015438E-5</v>
      </c>
      <c r="L9">
        <f>Baza!OV7</f>
        <v>1.9821143360000001E-3</v>
      </c>
      <c r="M9">
        <f>Baza!OW7</f>
        <v>2.5763366640000002E-3</v>
      </c>
      <c r="N9">
        <f>Baza!OX7</f>
        <v>2.161875444E-4</v>
      </c>
      <c r="O9">
        <f>Baza!OY7</f>
        <v>6.0363998890000001</v>
      </c>
      <c r="P9">
        <f>Baza!OZ7</f>
        <v>1.458540006</v>
      </c>
      <c r="Q9">
        <f>Baza!PA7</f>
        <v>1.7334311680000001</v>
      </c>
      <c r="R9">
        <f>Baza!PB7</f>
        <v>7.297157415</v>
      </c>
      <c r="S9">
        <f>Baza!PC7</f>
        <v>92.627944049999996</v>
      </c>
    </row>
    <row r="10" spans="1:19" x14ac:dyDescent="0.2">
      <c r="A10" s="1" t="s">
        <v>248</v>
      </c>
      <c r="B10">
        <f>Baza!OL8</f>
        <v>2.1379647730000002</v>
      </c>
      <c r="C10">
        <f>Baza!OM8</f>
        <v>-8.5022312510000003E-2</v>
      </c>
      <c r="D10">
        <f>Baza!ON8</f>
        <v>2.6155298</v>
      </c>
      <c r="E10">
        <f>Baza!OO8</f>
        <v>8.7906659999999999</v>
      </c>
      <c r="F10">
        <f>Baza!OP8</f>
        <v>9.1100890000000003</v>
      </c>
      <c r="G10">
        <f>Baza!OQ8</f>
        <v>17.900755</v>
      </c>
      <c r="H10">
        <f>Baza!OR8</f>
        <v>1.7546140619999999</v>
      </c>
      <c r="I10" s="2">
        <f>Baza!OS8</f>
        <v>7.9580436459999998E-5</v>
      </c>
      <c r="J10">
        <f>Baza!OT8</f>
        <v>2.8732393929999998E-3</v>
      </c>
      <c r="K10" s="2">
        <f>Baza!OU8</f>
        <v>7.9580436459999998E-5</v>
      </c>
      <c r="L10">
        <f>Baza!OV8</f>
        <v>2.0210115450000001E-3</v>
      </c>
      <c r="M10">
        <f>Baza!OW8</f>
        <v>2.6486914549999998E-3</v>
      </c>
      <c r="N10">
        <f>Baza!OX8</f>
        <v>2.245479383E-4</v>
      </c>
      <c r="O10">
        <f>Baza!OY8</f>
        <v>6.1479539479999996</v>
      </c>
      <c r="P10">
        <f>Baza!OZ8</f>
        <v>1.4532541489999999</v>
      </c>
      <c r="Q10">
        <f>Baza!PA8</f>
        <v>1.8335602440000001</v>
      </c>
      <c r="R10">
        <f>Baza!PB8</f>
        <v>7.5946352460000002</v>
      </c>
      <c r="S10">
        <f>Baza!PC8</f>
        <v>92.56080145</v>
      </c>
    </row>
    <row r="11" spans="1:19" x14ac:dyDescent="0.2">
      <c r="A11" s="1" t="s">
        <v>249</v>
      </c>
      <c r="B11">
        <f>Baza!OL9</f>
        <v>2.2035216900000001</v>
      </c>
      <c r="C11">
        <f>Baza!OM9</f>
        <v>-0.1137745034</v>
      </c>
      <c r="D11">
        <f>Baza!ON9</f>
        <v>2.6793927740000001</v>
      </c>
      <c r="E11">
        <f>Baza!OO9</f>
        <v>8.9751119999999993</v>
      </c>
      <c r="F11">
        <f>Baza!OP9</f>
        <v>10.045055</v>
      </c>
      <c r="G11">
        <f>Baza!OQ9</f>
        <v>19.020167000000001</v>
      </c>
      <c r="H11">
        <f>Baza!OR9</f>
        <v>1.8028552879999999</v>
      </c>
      <c r="I11" s="2">
        <f>Baza!OS9</f>
        <v>8.2707817490000003E-5</v>
      </c>
      <c r="J11">
        <f>Baza!OT9</f>
        <v>2.9433499580000001E-3</v>
      </c>
      <c r="K11" s="2">
        <f>Baza!OU9</f>
        <v>8.2707817490000003E-5</v>
      </c>
      <c r="L11">
        <f>Baza!OV9</f>
        <v>2.072546906E-3</v>
      </c>
      <c r="M11">
        <f>Baza!OW9</f>
        <v>2.7064170940000001E-3</v>
      </c>
      <c r="N11">
        <f>Baza!OX9</f>
        <v>2.3693286399999999E-4</v>
      </c>
      <c r="O11">
        <f>Baza!OY9</f>
        <v>6.2933703459999997</v>
      </c>
      <c r="P11">
        <f>Baza!OZ9</f>
        <v>1.5085376829999999</v>
      </c>
      <c r="Q11">
        <f>Baza!PA9</f>
        <v>1.9777057039999999</v>
      </c>
      <c r="R11">
        <f>Baza!PB9</f>
        <v>7.539561086</v>
      </c>
      <c r="S11">
        <f>Baza!PC9</f>
        <v>92.288967790000001</v>
      </c>
    </row>
    <row r="12" spans="1:19" x14ac:dyDescent="0.2">
      <c r="A12" s="1" t="s">
        <v>250</v>
      </c>
      <c r="B12">
        <f>Baza!OL10</f>
        <v>2.0414408179999999</v>
      </c>
      <c r="C12">
        <f>Baza!OM10</f>
        <v>-7.7478851629999998E-2</v>
      </c>
      <c r="D12">
        <f>Baza!ON10</f>
        <v>2.5815739629999999</v>
      </c>
      <c r="E12">
        <f>Baza!OO10</f>
        <v>8.2990739999999992</v>
      </c>
      <c r="F12">
        <f>Baza!OP10</f>
        <v>7.844862</v>
      </c>
      <c r="G12">
        <f>Baza!OQ10</f>
        <v>16.143936</v>
      </c>
      <c r="H12">
        <f>Baza!OR10</f>
        <v>1.6768644610000001</v>
      </c>
      <c r="I12" s="2">
        <f>Baza!OS10</f>
        <v>7.2919317899999996E-5</v>
      </c>
      <c r="J12">
        <f>Baza!OT10</f>
        <v>2.7623480560000002E-3</v>
      </c>
      <c r="K12" s="2">
        <f>Baza!OU10</f>
        <v>7.2919317899999996E-5</v>
      </c>
      <c r="L12">
        <f>Baza!OV10</f>
        <v>1.9416973569999999E-3</v>
      </c>
      <c r="M12">
        <f>Baza!OW10</f>
        <v>2.5508626430000001E-3</v>
      </c>
      <c r="N12">
        <f>Baza!OX10</f>
        <v>2.1148541389999999E-4</v>
      </c>
      <c r="O12">
        <f>Baza!OY10</f>
        <v>5.8442457839999999</v>
      </c>
      <c r="P12">
        <f>Baza!OZ10</f>
        <v>1.346128473</v>
      </c>
      <c r="Q12">
        <f>Baza!PA10</f>
        <v>1.7133209519999999</v>
      </c>
      <c r="R12">
        <f>Baza!PB10</f>
        <v>7.8505173660000001</v>
      </c>
      <c r="S12">
        <f>Baza!PC10</f>
        <v>92.512924220000002</v>
      </c>
    </row>
    <row r="13" spans="1:19" x14ac:dyDescent="0.2">
      <c r="A13" s="1" t="s">
        <v>251</v>
      </c>
      <c r="B13">
        <f>Baza!OL11</f>
        <v>1.9986322480000001</v>
      </c>
      <c r="C13">
        <f>Baza!OM11</f>
        <v>-0.1099145488</v>
      </c>
      <c r="D13">
        <f>Baza!ON11</f>
        <v>2.5852200019999998</v>
      </c>
      <c r="E13">
        <f>Baza!OO11</f>
        <v>7.619624</v>
      </c>
      <c r="F13">
        <f>Baza!OP11</f>
        <v>7.5131949999999996</v>
      </c>
      <c r="G13">
        <f>Baza!OQ11</f>
        <v>15.132819</v>
      </c>
      <c r="H13">
        <f>Baza!OR11</f>
        <v>1.6440400070000001</v>
      </c>
      <c r="I13" s="2">
        <f>Baza!OS11</f>
        <v>7.0483557960000003E-5</v>
      </c>
      <c r="J13">
        <f>Baza!OT11</f>
        <v>2.6851636689999999E-3</v>
      </c>
      <c r="K13" s="2">
        <f>Baza!OU11</f>
        <v>7.0483557960000003E-5</v>
      </c>
      <c r="L13">
        <f>Baza!OV11</f>
        <v>1.908406136E-3</v>
      </c>
      <c r="M13">
        <f>Baza!OW11</f>
        <v>2.4758678640000001E-3</v>
      </c>
      <c r="N13">
        <f>Baza!OX11</f>
        <v>2.092958049E-4</v>
      </c>
      <c r="O13">
        <f>Baza!OY11</f>
        <v>5.8050674249999998</v>
      </c>
      <c r="P13">
        <f>Baza!OZ11</f>
        <v>1.2670729780000001</v>
      </c>
      <c r="Q13">
        <f>Baza!PA11</f>
        <v>1.6842420789999999</v>
      </c>
      <c r="R13">
        <f>Baza!PB11</f>
        <v>7.103610432</v>
      </c>
      <c r="S13">
        <f>Baza!PC11</f>
        <v>92.535847340000004</v>
      </c>
    </row>
    <row r="14" spans="1:19" x14ac:dyDescent="0.2">
      <c r="A14" s="1" t="s">
        <v>252</v>
      </c>
      <c r="B14">
        <f>Baza!OL12</f>
        <v>1.995453156</v>
      </c>
      <c r="C14">
        <f>Baza!OM12</f>
        <v>-0.139189813</v>
      </c>
      <c r="D14">
        <f>Baza!ON12</f>
        <v>2.6316058689999999</v>
      </c>
      <c r="E14">
        <f>Baza!OO12</f>
        <v>7.7282039999999999</v>
      </c>
      <c r="F14">
        <f>Baza!OP12</f>
        <v>7.6501950000000001</v>
      </c>
      <c r="G14">
        <f>Baza!OQ12</f>
        <v>15.378399</v>
      </c>
      <c r="H14">
        <f>Baza!OR12</f>
        <v>1.636786546</v>
      </c>
      <c r="I14" s="2">
        <f>Baza!OS12</f>
        <v>7.1293699929999996E-5</v>
      </c>
      <c r="J14">
        <f>Baza!OT12</f>
        <v>2.6585436500000002E-3</v>
      </c>
      <c r="K14" s="2">
        <f>Baza!OU12</f>
        <v>7.1293699929999996E-5</v>
      </c>
      <c r="L14">
        <f>Baza!OV12</f>
        <v>1.907504911E-3</v>
      </c>
      <c r="M14">
        <f>Baza!OW12</f>
        <v>2.445362089E-3</v>
      </c>
      <c r="N14">
        <f>Baza!OX12</f>
        <v>2.1318156100000001E-4</v>
      </c>
      <c r="O14">
        <f>Baza!OY12</f>
        <v>5.7342957999999999</v>
      </c>
      <c r="P14">
        <f>Baza!OZ12</f>
        <v>1.2714929639999999</v>
      </c>
      <c r="Q14">
        <f>Baza!PA12</f>
        <v>1.7470758550000001</v>
      </c>
      <c r="R14">
        <f>Baza!PB12</f>
        <v>7.0152721710000003</v>
      </c>
      <c r="S14">
        <f>Baza!PC12</f>
        <v>91.964766690000005</v>
      </c>
    </row>
    <row r="15" spans="1:19" x14ac:dyDescent="0.2">
      <c r="A15" s="1" t="s">
        <v>253</v>
      </c>
      <c r="B15">
        <f>Baza!OL13</f>
        <v>2.0688081299999999</v>
      </c>
      <c r="C15">
        <f>Baza!OM13</f>
        <v>-0.1022955338</v>
      </c>
      <c r="D15">
        <f>Baza!ON13</f>
        <v>2.5512378849999999</v>
      </c>
      <c r="E15">
        <f>Baza!OO13</f>
        <v>7.6118779999999999</v>
      </c>
      <c r="F15">
        <f>Baza!OP13</f>
        <v>8.0898810000000001</v>
      </c>
      <c r="G15">
        <f>Baza!OQ13</f>
        <v>15.701758999999999</v>
      </c>
      <c r="H15">
        <f>Baza!OR13</f>
        <v>1.706946673</v>
      </c>
      <c r="I15" s="2">
        <f>Baza!OS13</f>
        <v>7.4147417320000002E-5</v>
      </c>
      <c r="J15">
        <f>Baza!OT13</f>
        <v>2.7746373599999998E-3</v>
      </c>
      <c r="K15" s="2">
        <f>Baza!OU13</f>
        <v>7.4147417320000002E-5</v>
      </c>
      <c r="L15">
        <f>Baza!OV13</f>
        <v>1.9844922960000001E-3</v>
      </c>
      <c r="M15">
        <f>Baza!OW13</f>
        <v>2.5607457039999999E-3</v>
      </c>
      <c r="N15">
        <f>Baza!OX13</f>
        <v>2.138916561E-4</v>
      </c>
      <c r="O15">
        <f>Baza!OY13</f>
        <v>6.1123545210000003</v>
      </c>
      <c r="P15">
        <f>Baza!OZ13</f>
        <v>1.2787300509999999</v>
      </c>
      <c r="Q15">
        <f>Baza!PA13</f>
        <v>1.7074578869999999</v>
      </c>
      <c r="R15">
        <f>Baza!PB13</f>
        <v>6.7351535159999996</v>
      </c>
      <c r="S15">
        <f>Baza!PC13</f>
        <v>92.894370589999994</v>
      </c>
    </row>
    <row r="16" spans="1:19" x14ac:dyDescent="0.2">
      <c r="A16" s="1" t="s">
        <v>254</v>
      </c>
      <c r="B16">
        <f>Baza!OL14</f>
        <v>1.9889558439999999</v>
      </c>
      <c r="C16">
        <f>Baza!OM14</f>
        <v>-0.1014179667</v>
      </c>
      <c r="D16">
        <f>Baza!ON14</f>
        <v>2.6024450039999998</v>
      </c>
      <c r="E16">
        <f>Baza!OO14</f>
        <v>7.55877</v>
      </c>
      <c r="F16">
        <f>Baza!OP14</f>
        <v>7.7852379999999997</v>
      </c>
      <c r="G16">
        <f>Baza!OQ14</f>
        <v>15.344008000000001</v>
      </c>
      <c r="H16">
        <f>Baza!OR14</f>
        <v>1.6348765489999999</v>
      </c>
      <c r="I16" s="2">
        <f>Baza!OS14</f>
        <v>7.1985579359999994E-5</v>
      </c>
      <c r="J16">
        <f>Baza!OT14</f>
        <v>2.6722234729999999E-3</v>
      </c>
      <c r="K16" s="2">
        <f>Baza!OU14</f>
        <v>7.1985579359999994E-5</v>
      </c>
      <c r="L16">
        <f>Baza!OV14</f>
        <v>1.895520692E-3</v>
      </c>
      <c r="M16">
        <f>Baza!OW14</f>
        <v>2.4647863080000001E-3</v>
      </c>
      <c r="N16">
        <f>Baza!OX14</f>
        <v>2.07437165E-4</v>
      </c>
      <c r="O16">
        <f>Baza!OY14</f>
        <v>5.7700790719999997</v>
      </c>
      <c r="P16">
        <f>Baza!OZ14</f>
        <v>1.2901151820000001</v>
      </c>
      <c r="Q16">
        <f>Baza!PA14</f>
        <v>1.689509677</v>
      </c>
      <c r="R16">
        <f>Baza!PB14</f>
        <v>7.2468571529999997</v>
      </c>
      <c r="S16">
        <f>Baza!PC14</f>
        <v>92.593093539999998</v>
      </c>
    </row>
    <row r="17" spans="1:19" x14ac:dyDescent="0.2">
      <c r="A17" s="1" t="s">
        <v>255</v>
      </c>
      <c r="B17">
        <f>Baza!OL15</f>
        <v>1.9923759729999999</v>
      </c>
      <c r="C17">
        <f>Baza!OM15</f>
        <v>-0.10853842750000001</v>
      </c>
      <c r="D17">
        <f>Baza!ON15</f>
        <v>2.6034165499999999</v>
      </c>
      <c r="E17">
        <f>Baza!OO15</f>
        <v>7.2337420000000003</v>
      </c>
      <c r="F17">
        <f>Baza!OP15</f>
        <v>7.7126089999999996</v>
      </c>
      <c r="G17">
        <f>Baza!OQ15</f>
        <v>14.946351</v>
      </c>
      <c r="H17">
        <f>Baza!OR15</f>
        <v>1.6369161329999999</v>
      </c>
      <c r="I17" s="2">
        <f>Baza!OS15</f>
        <v>7.223279136E-5</v>
      </c>
      <c r="J17">
        <f>Baza!OT15</f>
        <v>2.66875492E-3</v>
      </c>
      <c r="K17" s="2">
        <f>Baza!OU15</f>
        <v>7.223279136E-5</v>
      </c>
      <c r="L17">
        <f>Baza!OV15</f>
        <v>1.894227713E-3</v>
      </c>
      <c r="M17">
        <f>Baza!OW15</f>
        <v>2.458349287E-3</v>
      </c>
      <c r="N17">
        <f>Baza!OX15</f>
        <v>2.1040563269999999E-4</v>
      </c>
      <c r="O17">
        <f>Baza!OY15</f>
        <v>5.7605730260000003</v>
      </c>
      <c r="P17">
        <f>Baza!OZ15</f>
        <v>1.2931907010000001</v>
      </c>
      <c r="Q17">
        <f>Baza!PA15</f>
        <v>1.6995947849999999</v>
      </c>
      <c r="R17">
        <f>Baza!PB15</f>
        <v>7.2513556340000003</v>
      </c>
      <c r="S17">
        <f>Baza!PC15</f>
        <v>92.434505619999996</v>
      </c>
    </row>
    <row r="18" spans="1:19" x14ac:dyDescent="0.2">
      <c r="A18" s="1" t="s">
        <v>256</v>
      </c>
      <c r="B18">
        <f>Baza!OL16</f>
        <v>1.993874978</v>
      </c>
      <c r="C18">
        <f>Baza!OM16</f>
        <v>-0.1056716411</v>
      </c>
      <c r="D18">
        <f>Baza!ON16</f>
        <v>2.5922532939999998</v>
      </c>
      <c r="E18">
        <f>Baza!OO16</f>
        <v>7.7162490000000004</v>
      </c>
      <c r="F18">
        <f>Baza!OP16</f>
        <v>7.6330419999999997</v>
      </c>
      <c r="G18">
        <f>Baza!OQ16</f>
        <v>15.349290999999999</v>
      </c>
      <c r="H18">
        <f>Baza!OR16</f>
        <v>1.639555093</v>
      </c>
      <c r="I18" s="2">
        <f>Baza!OS16</f>
        <v>7.1739762309999994E-5</v>
      </c>
      <c r="J18">
        <f>Baza!OT16</f>
        <v>2.677040079E-3</v>
      </c>
      <c r="K18" s="2">
        <f>Baza!OU16</f>
        <v>7.1739762309999994E-5</v>
      </c>
      <c r="L18">
        <f>Baza!OV16</f>
        <v>1.9049829930000001E-3</v>
      </c>
      <c r="M18">
        <f>Baza!OW16</f>
        <v>2.468989007E-3</v>
      </c>
      <c r="N18">
        <f>Baza!OX16</f>
        <v>2.0805107209999999E-4</v>
      </c>
      <c r="O18">
        <f>Baza!OY16</f>
        <v>5.7835363690000001</v>
      </c>
      <c r="P18">
        <f>Baza!OZ16</f>
        <v>1.276053181</v>
      </c>
      <c r="Q18">
        <f>Baza!PA16</f>
        <v>1.6808625049999999</v>
      </c>
      <c r="R18">
        <f>Baza!PB16</f>
        <v>7.2266939920000004</v>
      </c>
      <c r="S18">
        <f>Baza!PC16</f>
        <v>92.497668630000007</v>
      </c>
    </row>
    <row r="19" spans="1:19" x14ac:dyDescent="0.2">
      <c r="A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Baza!PD1</f>
        <v>71</v>
      </c>
      <c r="C3">
        <f>Baza!PE1</f>
        <v>71</v>
      </c>
      <c r="D3">
        <f>Baza!PF1</f>
        <v>71</v>
      </c>
      <c r="E3">
        <f>Baza!PG1</f>
        <v>71</v>
      </c>
      <c r="F3">
        <f>Baza!PH1</f>
        <v>71</v>
      </c>
      <c r="G3">
        <f>Baza!PI1</f>
        <v>71</v>
      </c>
      <c r="H3">
        <f>Baza!PJ1</f>
        <v>71</v>
      </c>
      <c r="I3">
        <f>Baza!PK1</f>
        <v>71</v>
      </c>
      <c r="J3">
        <f>Baza!PL1</f>
        <v>71</v>
      </c>
      <c r="K3">
        <f>Baza!PM1</f>
        <v>71</v>
      </c>
      <c r="L3">
        <f>Baza!PN1</f>
        <v>71</v>
      </c>
      <c r="M3">
        <f>Baza!PO1</f>
        <v>71</v>
      </c>
      <c r="N3">
        <f>Baza!PP1</f>
        <v>71</v>
      </c>
      <c r="O3">
        <f>Baza!PQ1</f>
        <v>71</v>
      </c>
      <c r="P3">
        <f>Baza!PR1</f>
        <v>71</v>
      </c>
      <c r="Q3">
        <f>Baza!PS1</f>
        <v>71</v>
      </c>
      <c r="R3">
        <f>Baza!PT1</f>
        <v>71</v>
      </c>
      <c r="S3">
        <f>Baza!PU1</f>
        <v>71</v>
      </c>
    </row>
    <row r="4" spans="1:19" x14ac:dyDescent="0.2">
      <c r="B4" t="str">
        <f>Baza!PD2</f>
        <v>Sq</v>
      </c>
      <c r="C4" t="str">
        <f>Baza!PE2</f>
        <v>Ssk</v>
      </c>
      <c r="D4" t="str">
        <f>Baza!PF2</f>
        <v>Sku</v>
      </c>
      <c r="E4" t="str">
        <f>Baza!PG2</f>
        <v>Sp</v>
      </c>
      <c r="F4" t="str">
        <f>Baza!PH2</f>
        <v>Sv</v>
      </c>
      <c r="G4" t="str">
        <f>Baza!PI2</f>
        <v>Sz</v>
      </c>
      <c r="H4" t="str">
        <f>Baza!PJ2</f>
        <v>Sa</v>
      </c>
      <c r="I4" t="str">
        <f>Baza!PK2</f>
        <v>Vm (p = 10%)</v>
      </c>
      <c r="J4" t="str">
        <f>Baza!PL2</f>
        <v>Vv (p = 10%)</v>
      </c>
      <c r="K4" t="str">
        <f>Baza!PM2</f>
        <v>Vmp (p = 10%)</v>
      </c>
      <c r="L4" t="str">
        <f>Baza!PN2</f>
        <v>Vmc (p = 10%, q = 80%)</v>
      </c>
      <c r="M4" t="str">
        <f>Baza!PO2</f>
        <v>Vvc (p = 10%, q = 80%)</v>
      </c>
      <c r="N4" t="str">
        <f>Baza!PP2</f>
        <v>Vvv (p = 80%)</v>
      </c>
      <c r="O4" t="str">
        <f>Baza!PQ2</f>
        <v>Sk</v>
      </c>
      <c r="P4" t="str">
        <f>Baza!PR2</f>
        <v>Spk</v>
      </c>
      <c r="Q4" t="str">
        <f>Baza!PS2</f>
        <v>Svk</v>
      </c>
      <c r="R4" t="str">
        <f>Baza!PT2</f>
        <v>Smrk1</v>
      </c>
      <c r="S4" t="str">
        <f>Baza!PU2</f>
        <v>Smrk2</v>
      </c>
    </row>
    <row r="5" spans="1:19" x14ac:dyDescent="0.2">
      <c r="B5" t="str">
        <f>Baza!PD3</f>
        <v>µm</v>
      </c>
      <c r="C5" t="str">
        <f>Baza!PE3</f>
        <v>&lt;no unit&gt;</v>
      </c>
      <c r="D5" t="str">
        <f>Baza!PF3</f>
        <v>&lt;no unit&gt;</v>
      </c>
      <c r="E5" t="str">
        <f>Baza!PG3</f>
        <v>µm</v>
      </c>
      <c r="F5" t="str">
        <f>Baza!PH3</f>
        <v>µm</v>
      </c>
      <c r="G5" t="str">
        <f>Baza!PI3</f>
        <v>µm</v>
      </c>
      <c r="H5" t="str">
        <f>Baza!PJ3</f>
        <v>µm</v>
      </c>
      <c r="I5" t="str">
        <f>Baza!PK3</f>
        <v>mm³/mm²</v>
      </c>
      <c r="J5" t="str">
        <f>Baza!PL3</f>
        <v>mm³/mm²</v>
      </c>
      <c r="K5" t="str">
        <f>Baza!PM3</f>
        <v>mm³/mm²</v>
      </c>
      <c r="L5" t="str">
        <f>Baza!PN3</f>
        <v>mm³/mm²</v>
      </c>
      <c r="M5" t="str">
        <f>Baza!PO3</f>
        <v>mm³/mm²</v>
      </c>
      <c r="N5" t="str">
        <f>Baza!PP3</f>
        <v>mm³/mm²</v>
      </c>
      <c r="O5" t="str">
        <f>Baza!PQ3</f>
        <v>µm</v>
      </c>
      <c r="P5" t="str">
        <f>Baza!PR3</f>
        <v>µm</v>
      </c>
      <c r="Q5" t="str">
        <f>Baza!PS3</f>
        <v>µm</v>
      </c>
      <c r="R5" t="str">
        <f>Baza!PT3</f>
        <v>%</v>
      </c>
      <c r="S5" t="str">
        <f>Baza!PU3</f>
        <v>%</v>
      </c>
    </row>
    <row r="6" spans="1:19" x14ac:dyDescent="0.2">
      <c r="A6" s="1" t="s">
        <v>244</v>
      </c>
      <c r="B6">
        <f>Baza!PD4</f>
        <v>2.0261030149999999</v>
      </c>
      <c r="C6">
        <f>Baza!PE4</f>
        <v>-5.8647041480000002E-2</v>
      </c>
      <c r="D6">
        <f>Baza!PF4</f>
        <v>2.4458564479999998</v>
      </c>
      <c r="E6">
        <f>Baza!PG4</f>
        <v>7.3892160000000002</v>
      </c>
      <c r="F6">
        <f>Baza!PH4</f>
        <v>7.0936779999999997</v>
      </c>
      <c r="G6">
        <f>Baza!PI4</f>
        <v>14.482894</v>
      </c>
      <c r="H6">
        <f>Baza!PJ4</f>
        <v>1.6745243949999999</v>
      </c>
      <c r="I6" s="2">
        <f>Baza!PK4</f>
        <v>7.1985852790000003E-5</v>
      </c>
      <c r="J6">
        <f>Baza!PL4</f>
        <v>2.740746659E-3</v>
      </c>
      <c r="K6" s="2">
        <f>Baza!PM4</f>
        <v>7.1985852790000003E-5</v>
      </c>
      <c r="L6">
        <f>Baza!PN4</f>
        <v>1.947003291E-3</v>
      </c>
      <c r="M6">
        <f>Baza!PO4</f>
        <v>2.5341337089999998E-3</v>
      </c>
      <c r="N6">
        <f>Baza!PP4</f>
        <v>2.0661295060000001E-4</v>
      </c>
      <c r="O6">
        <f>Baza!PQ4</f>
        <v>5.9350366230000002</v>
      </c>
      <c r="P6">
        <f>Baza!PR4</f>
        <v>1.2755202059999999</v>
      </c>
      <c r="Q6">
        <f>Baza!PS4</f>
        <v>1.563095785</v>
      </c>
      <c r="R6">
        <f>Baza!PT4</f>
        <v>7.2780985759999997</v>
      </c>
      <c r="S6">
        <f>Baza!PU4</f>
        <v>92.719186179999994</v>
      </c>
    </row>
    <row r="7" spans="1:19" x14ac:dyDescent="0.2">
      <c r="A7" s="1" t="s">
        <v>245</v>
      </c>
      <c r="B7">
        <f>Baza!PD5</f>
        <v>2.0846696150000001</v>
      </c>
      <c r="C7">
        <f>Baza!PE5</f>
        <v>-4.3136645420000001E-2</v>
      </c>
      <c r="D7">
        <f>Baza!PF5</f>
        <v>2.4569973219999999</v>
      </c>
      <c r="E7">
        <f>Baza!PG5</f>
        <v>7.6400629999999996</v>
      </c>
      <c r="F7">
        <f>Baza!PH5</f>
        <v>7.9652219999999998</v>
      </c>
      <c r="G7">
        <f>Baza!PI5</f>
        <v>15.605285</v>
      </c>
      <c r="H7">
        <f>Baza!PJ5</f>
        <v>1.720847359</v>
      </c>
      <c r="I7" s="2">
        <f>Baza!PK5</f>
        <v>7.5624791130000005E-5</v>
      </c>
      <c r="J7">
        <f>Baza!PL5</f>
        <v>2.8301577629999998E-3</v>
      </c>
      <c r="K7" s="2">
        <f>Baza!PM5</f>
        <v>7.5624791130000005E-5</v>
      </c>
      <c r="L7">
        <f>Baza!PN5</f>
        <v>1.992290727E-3</v>
      </c>
      <c r="M7">
        <f>Baza!PO5</f>
        <v>2.6173682729999999E-3</v>
      </c>
      <c r="N7">
        <f>Baza!PP5</f>
        <v>2.127894904E-4</v>
      </c>
      <c r="O7">
        <f>Baza!PQ5</f>
        <v>6.0679324110000001</v>
      </c>
      <c r="P7">
        <f>Baza!PR5</f>
        <v>1.36473124</v>
      </c>
      <c r="Q7">
        <f>Baza!PS5</f>
        <v>1.620613114</v>
      </c>
      <c r="R7">
        <f>Baza!PT5</f>
        <v>7.6234838759999999</v>
      </c>
      <c r="S7">
        <f>Baza!PU5</f>
        <v>92.718803829999999</v>
      </c>
    </row>
    <row r="8" spans="1:19" x14ac:dyDescent="0.2">
      <c r="A8" s="1" t="s">
        <v>246</v>
      </c>
      <c r="B8">
        <f>Baza!PD6</f>
        <v>2.1372676570000002</v>
      </c>
      <c r="C8">
        <f>Baza!PE6</f>
        <v>-5.9580588599999998E-2</v>
      </c>
      <c r="D8">
        <f>Baza!PF6</f>
        <v>2.491060772</v>
      </c>
      <c r="E8">
        <f>Baza!PG6</f>
        <v>7.6817260000000003</v>
      </c>
      <c r="F8">
        <f>Baza!PH6</f>
        <v>8.0736489999999996</v>
      </c>
      <c r="G8">
        <f>Baza!PI6</f>
        <v>15.755375000000001</v>
      </c>
      <c r="H8">
        <f>Baza!PJ6</f>
        <v>1.760558807</v>
      </c>
      <c r="I8" s="2">
        <f>Baza!PK6</f>
        <v>7.8112679759999998E-5</v>
      </c>
      <c r="J8">
        <f>Baza!PL6</f>
        <v>2.8908772930000002E-3</v>
      </c>
      <c r="K8" s="2">
        <f>Baza!PM6</f>
        <v>7.8112679759999998E-5</v>
      </c>
      <c r="L8">
        <f>Baza!PN6</f>
        <v>2.0355895140000001E-3</v>
      </c>
      <c r="M8">
        <f>Baza!PO6</f>
        <v>2.6690094860000002E-3</v>
      </c>
      <c r="N8">
        <f>Baza!PP6</f>
        <v>2.218678071E-4</v>
      </c>
      <c r="O8">
        <f>Baza!PQ6</f>
        <v>6.1910816889999998</v>
      </c>
      <c r="P8">
        <f>Baza!PR6</f>
        <v>1.411273784</v>
      </c>
      <c r="Q8">
        <f>Baza!PS6</f>
        <v>1.7267608729999999</v>
      </c>
      <c r="R8">
        <f>Baza!PT6</f>
        <v>7.5998691750000003</v>
      </c>
      <c r="S8">
        <f>Baza!PU6</f>
        <v>92.536420469999996</v>
      </c>
    </row>
    <row r="9" spans="1:19" x14ac:dyDescent="0.2">
      <c r="A9" s="1" t="s">
        <v>247</v>
      </c>
      <c r="B9">
        <f>Baza!PD7</f>
        <v>2.0630563400000002</v>
      </c>
      <c r="C9">
        <f>Baza!PE7</f>
        <v>-5.9299148230000001E-2</v>
      </c>
      <c r="D9">
        <f>Baza!PF7</f>
        <v>2.4587452989999998</v>
      </c>
      <c r="E9">
        <f>Baza!PG7</f>
        <v>7.4538549999999999</v>
      </c>
      <c r="F9">
        <f>Baza!PH7</f>
        <v>7.2031150000000004</v>
      </c>
      <c r="G9">
        <f>Baza!PI7</f>
        <v>14.656969999999999</v>
      </c>
      <c r="H9">
        <f>Baza!PJ7</f>
        <v>1.7035995690000001</v>
      </c>
      <c r="I9" s="2">
        <f>Baza!PK7</f>
        <v>7.4623883850000004E-5</v>
      </c>
      <c r="J9">
        <f>Baza!PL7</f>
        <v>2.7833045820000002E-3</v>
      </c>
      <c r="K9" s="2">
        <f>Baza!PM7</f>
        <v>7.4623883850000004E-5</v>
      </c>
      <c r="L9">
        <f>Baza!PN7</f>
        <v>1.9804840779999999E-3</v>
      </c>
      <c r="M9">
        <f>Baza!PO7</f>
        <v>2.5717779220000001E-3</v>
      </c>
      <c r="N9">
        <f>Baza!PP7</f>
        <v>2.1152665959999999E-4</v>
      </c>
      <c r="O9">
        <f>Baza!PQ7</f>
        <v>6.0326019310000003</v>
      </c>
      <c r="P9">
        <f>Baza!PR7</f>
        <v>1.32227261</v>
      </c>
      <c r="Q9">
        <f>Baza!PS7</f>
        <v>1.6023545960000001</v>
      </c>
      <c r="R9">
        <f>Baza!PT7</f>
        <v>7.2557978150000002</v>
      </c>
      <c r="S9">
        <f>Baza!PU7</f>
        <v>92.605851049999998</v>
      </c>
    </row>
    <row r="10" spans="1:19" x14ac:dyDescent="0.2">
      <c r="A10" s="1" t="s">
        <v>248</v>
      </c>
      <c r="B10">
        <f>Baza!PD8</f>
        <v>2.1166241650000002</v>
      </c>
      <c r="C10">
        <f>Baza!PE8</f>
        <v>-5.7339968730000003E-2</v>
      </c>
      <c r="D10">
        <f>Baza!PF8</f>
        <v>2.468688464</v>
      </c>
      <c r="E10">
        <f>Baza!PG8</f>
        <v>7.5987679999999997</v>
      </c>
      <c r="F10">
        <f>Baza!PH8</f>
        <v>8.0345870000000001</v>
      </c>
      <c r="G10">
        <f>Baza!PI8</f>
        <v>15.633355</v>
      </c>
      <c r="H10">
        <f>Baza!PJ8</f>
        <v>1.7455474630000001</v>
      </c>
      <c r="I10" s="2">
        <f>Baza!PK8</f>
        <v>7.6651874690000004E-5</v>
      </c>
      <c r="J10">
        <f>Baza!PL8</f>
        <v>2.8650195709999998E-3</v>
      </c>
      <c r="K10" s="2">
        <f>Baza!PM8</f>
        <v>7.6651874690000004E-5</v>
      </c>
      <c r="L10">
        <f>Baza!PN8</f>
        <v>2.0202642850000001E-3</v>
      </c>
      <c r="M10">
        <f>Baza!PO8</f>
        <v>2.645973715E-3</v>
      </c>
      <c r="N10">
        <f>Baza!PP8</f>
        <v>2.1904585550000001E-4</v>
      </c>
      <c r="O10">
        <f>Baza!PQ8</f>
        <v>6.1413434349999996</v>
      </c>
      <c r="P10">
        <f>Baza!PR8</f>
        <v>1.379274374</v>
      </c>
      <c r="Q10">
        <f>Baza!PS8</f>
        <v>1.6838479660000001</v>
      </c>
      <c r="R10">
        <f>Baza!PT8</f>
        <v>7.5800937599999996</v>
      </c>
      <c r="S10">
        <f>Baza!PU8</f>
        <v>92.535190510000007</v>
      </c>
    </row>
    <row r="11" spans="1:19" x14ac:dyDescent="0.2">
      <c r="A11" s="1" t="s">
        <v>249</v>
      </c>
      <c r="B11">
        <f>Baza!PD9</f>
        <v>2.1797129659999999</v>
      </c>
      <c r="C11">
        <f>Baza!PE9</f>
        <v>-7.9991213490000004E-2</v>
      </c>
      <c r="D11">
        <f>Baza!PF9</f>
        <v>2.5113935359999999</v>
      </c>
      <c r="E11">
        <f>Baza!PG9</f>
        <v>7.7348030000000003</v>
      </c>
      <c r="F11">
        <f>Baza!PH9</f>
        <v>8.3968539999999994</v>
      </c>
      <c r="G11">
        <f>Baza!PI9</f>
        <v>16.131657000000001</v>
      </c>
      <c r="H11">
        <f>Baza!PJ9</f>
        <v>1.7929443860000001</v>
      </c>
      <c r="I11" s="2">
        <f>Baza!PK9</f>
        <v>7.9701366680000004E-5</v>
      </c>
      <c r="J11">
        <f>Baza!PL9</f>
        <v>2.9344150539999999E-3</v>
      </c>
      <c r="K11" s="2">
        <f>Baza!PM9</f>
        <v>7.9701366680000004E-5</v>
      </c>
      <c r="L11">
        <f>Baza!PN9</f>
        <v>2.0719129899999999E-3</v>
      </c>
      <c r="M11">
        <f>Baza!PO9</f>
        <v>2.7038070099999999E-3</v>
      </c>
      <c r="N11">
        <f>Baza!PP9</f>
        <v>2.306080441E-4</v>
      </c>
      <c r="O11">
        <f>Baza!PQ9</f>
        <v>6.2975184180000001</v>
      </c>
      <c r="P11">
        <f>Baza!PR9</f>
        <v>1.4309898320000001</v>
      </c>
      <c r="Q11">
        <f>Baza!PS9</f>
        <v>1.8104722689999999</v>
      </c>
      <c r="R11">
        <f>Baza!PT9</f>
        <v>7.4716211570000004</v>
      </c>
      <c r="S11">
        <f>Baza!PU9</f>
        <v>92.301399520000004</v>
      </c>
    </row>
    <row r="12" spans="1:19" x14ac:dyDescent="0.2">
      <c r="A12" s="1" t="s">
        <v>250</v>
      </c>
      <c r="B12">
        <f>Baza!PD10</f>
        <v>2.0263419869999999</v>
      </c>
      <c r="C12">
        <f>Baza!PE10</f>
        <v>-5.7996307970000001E-2</v>
      </c>
      <c r="D12">
        <f>Baza!PF10</f>
        <v>2.4639618589999999</v>
      </c>
      <c r="E12">
        <f>Baza!PG10</f>
        <v>7.1406270000000003</v>
      </c>
      <c r="F12">
        <f>Baza!PH10</f>
        <v>6.6075650000000001</v>
      </c>
      <c r="G12">
        <f>Baza!PI10</f>
        <v>13.748192</v>
      </c>
      <c r="H12">
        <f>Baza!PJ10</f>
        <v>1.670716002</v>
      </c>
      <c r="I12" s="2">
        <f>Baza!PK10</f>
        <v>7.0549902670000004E-5</v>
      </c>
      <c r="J12">
        <f>Baza!PL10</f>
        <v>2.757952684E-3</v>
      </c>
      <c r="K12" s="2">
        <f>Baza!PM10</f>
        <v>7.0549902670000004E-5</v>
      </c>
      <c r="L12">
        <f>Baza!PN10</f>
        <v>1.941333629E-3</v>
      </c>
      <c r="M12">
        <f>Baza!PO10</f>
        <v>2.5500823710000002E-3</v>
      </c>
      <c r="N12">
        <f>Baza!PP10</f>
        <v>2.0787031380000001E-4</v>
      </c>
      <c r="O12">
        <f>Baza!PQ10</f>
        <v>5.8437947120000002</v>
      </c>
      <c r="P12">
        <f>Baza!PR10</f>
        <v>1.284539278</v>
      </c>
      <c r="Q12">
        <f>Baza!PS10</f>
        <v>1.610876234</v>
      </c>
      <c r="R12">
        <f>Baza!PT10</f>
        <v>7.8465019820000004</v>
      </c>
      <c r="S12">
        <f>Baza!PU10</f>
        <v>92.493951550000006</v>
      </c>
    </row>
    <row r="13" spans="1:19" x14ac:dyDescent="0.2">
      <c r="A13" s="1" t="s">
        <v>251</v>
      </c>
      <c r="B13">
        <f>Baza!PD11</f>
        <v>1.9836438139999999</v>
      </c>
      <c r="C13">
        <f>Baza!PE11</f>
        <v>-8.6175305260000001E-2</v>
      </c>
      <c r="D13">
        <f>Baza!PF11</f>
        <v>2.4602118640000001</v>
      </c>
      <c r="E13">
        <f>Baza!PG11</f>
        <v>6.6910049999999996</v>
      </c>
      <c r="F13">
        <f>Baza!PH11</f>
        <v>6.5861099999999997</v>
      </c>
      <c r="G13">
        <f>Baza!PI11</f>
        <v>13.277115</v>
      </c>
      <c r="H13">
        <f>Baza!PJ11</f>
        <v>1.637949847</v>
      </c>
      <c r="I13" s="2">
        <f>Baza!PK11</f>
        <v>6.8429253410000007E-5</v>
      </c>
      <c r="J13">
        <f>Baza!PL11</f>
        <v>2.6804403300000001E-3</v>
      </c>
      <c r="K13" s="2">
        <f>Baza!PM11</f>
        <v>6.8429253410000007E-5</v>
      </c>
      <c r="L13">
        <f>Baza!PN11</f>
        <v>1.9080337679999999E-3</v>
      </c>
      <c r="M13">
        <f>Baza!PO11</f>
        <v>2.4749062320000002E-3</v>
      </c>
      <c r="N13">
        <f>Baza!PP11</f>
        <v>2.0553409749999999E-4</v>
      </c>
      <c r="O13">
        <f>Baza!PQ11</f>
        <v>5.8052390440000003</v>
      </c>
      <c r="P13">
        <f>Baza!PR11</f>
        <v>1.207792263</v>
      </c>
      <c r="Q13">
        <f>Baza!PS11</f>
        <v>1.5810400870000001</v>
      </c>
      <c r="R13">
        <f>Baza!PT11</f>
        <v>7.0962634470000001</v>
      </c>
      <c r="S13">
        <f>Baza!PU11</f>
        <v>92.531368060000005</v>
      </c>
    </row>
    <row r="14" spans="1:19" x14ac:dyDescent="0.2">
      <c r="A14" s="1" t="s">
        <v>252</v>
      </c>
      <c r="B14">
        <f>Baza!PD12</f>
        <v>1.9793384140000001</v>
      </c>
      <c r="C14">
        <f>Baza!PE12</f>
        <v>-0.11712082209999999</v>
      </c>
      <c r="D14">
        <f>Baza!PF12</f>
        <v>2.4933943360000002</v>
      </c>
      <c r="E14">
        <f>Baza!PG12</f>
        <v>6.9514639999999996</v>
      </c>
      <c r="F14">
        <f>Baza!PH12</f>
        <v>6.529547</v>
      </c>
      <c r="G14">
        <f>Baza!PI12</f>
        <v>13.481011000000001</v>
      </c>
      <c r="H14">
        <f>Baza!PJ12</f>
        <v>1.630266923</v>
      </c>
      <c r="I14" s="2">
        <f>Baza!PK12</f>
        <v>6.8814782749999998E-5</v>
      </c>
      <c r="J14">
        <f>Baza!PL12</f>
        <v>2.654388467E-3</v>
      </c>
      <c r="K14" s="2">
        <f>Baza!PM12</f>
        <v>6.8814782749999998E-5</v>
      </c>
      <c r="L14">
        <f>Baza!PN12</f>
        <v>1.907176662E-3</v>
      </c>
      <c r="M14">
        <f>Baza!PO12</f>
        <v>2.4449743379999999E-3</v>
      </c>
      <c r="N14">
        <f>Baza!PP12</f>
        <v>2.094141291E-4</v>
      </c>
      <c r="O14">
        <f>Baza!PQ12</f>
        <v>5.7330528479999998</v>
      </c>
      <c r="P14">
        <f>Baza!PR12</f>
        <v>1.2039349699999999</v>
      </c>
      <c r="Q14">
        <f>Baza!PS12</f>
        <v>1.650022898</v>
      </c>
      <c r="R14">
        <f>Baza!PT12</f>
        <v>7.004913223</v>
      </c>
      <c r="S14">
        <f>Baza!PU12</f>
        <v>91.953294510000006</v>
      </c>
    </row>
    <row r="15" spans="1:19" x14ac:dyDescent="0.2">
      <c r="A15" s="1" t="s">
        <v>253</v>
      </c>
      <c r="B15">
        <f>Baza!PD13</f>
        <v>2.0480843989999999</v>
      </c>
      <c r="C15">
        <f>Baza!PE13</f>
        <v>-6.8644457699999994E-2</v>
      </c>
      <c r="D15">
        <f>Baza!PF13</f>
        <v>2.4195685249999999</v>
      </c>
      <c r="E15">
        <f>Baza!PG13</f>
        <v>7.2436819999999997</v>
      </c>
      <c r="F15">
        <f>Baza!PH13</f>
        <v>7.0546939999999996</v>
      </c>
      <c r="G15">
        <f>Baza!PI13</f>
        <v>14.298375999999999</v>
      </c>
      <c r="H15">
        <f>Baza!PJ13</f>
        <v>1.6975771820000001</v>
      </c>
      <c r="I15" s="2">
        <f>Baza!PK13</f>
        <v>7.1927277419999995E-5</v>
      </c>
      <c r="J15">
        <f>Baza!PL13</f>
        <v>2.7646595989999998E-3</v>
      </c>
      <c r="K15" s="2">
        <f>Baza!PM13</f>
        <v>7.1927277419999995E-5</v>
      </c>
      <c r="L15">
        <f>Baza!PN13</f>
        <v>1.9836616810000002E-3</v>
      </c>
      <c r="M15">
        <f>Baza!PO13</f>
        <v>2.5568843190000002E-3</v>
      </c>
      <c r="N15">
        <f>Baza!PP13</f>
        <v>2.0777527930000001E-4</v>
      </c>
      <c r="O15">
        <f>Baza!PQ13</f>
        <v>6.1101113099999997</v>
      </c>
      <c r="P15">
        <f>Baza!PR13</f>
        <v>1.2231139680000001</v>
      </c>
      <c r="Q15">
        <f>Baza!PS13</f>
        <v>1.5403466990000001</v>
      </c>
      <c r="R15">
        <f>Baza!PT13</f>
        <v>6.6546882810000003</v>
      </c>
      <c r="S15">
        <f>Baza!PU13</f>
        <v>92.898967999999996</v>
      </c>
    </row>
    <row r="16" spans="1:19" x14ac:dyDescent="0.2">
      <c r="A16" s="1" t="s">
        <v>254</v>
      </c>
      <c r="B16">
        <f>Baza!PD14</f>
        <v>1.970193707</v>
      </c>
      <c r="C16">
        <f>Baza!PE14</f>
        <v>-7.0902312950000004E-2</v>
      </c>
      <c r="D16">
        <f>Baza!PF14</f>
        <v>2.4688614690000001</v>
      </c>
      <c r="E16">
        <f>Baza!PG14</f>
        <v>6.7667020000000004</v>
      </c>
      <c r="F16">
        <f>Baza!PH14</f>
        <v>6.7551829999999997</v>
      </c>
      <c r="G16">
        <f>Baza!PI14</f>
        <v>13.521884999999999</v>
      </c>
      <c r="H16">
        <f>Baza!PJ14</f>
        <v>1.6264822050000001</v>
      </c>
      <c r="I16" s="2">
        <f>Baza!PK14</f>
        <v>6.9741742310000003E-5</v>
      </c>
      <c r="J16">
        <f>Baza!PL14</f>
        <v>2.6632226389999999E-3</v>
      </c>
      <c r="K16" s="2">
        <f>Baza!PM14</f>
        <v>6.9741742310000003E-5</v>
      </c>
      <c r="L16">
        <f>Baza!PN14</f>
        <v>1.8941018510000001E-3</v>
      </c>
      <c r="M16">
        <f>Baza!PO14</f>
        <v>2.4607361490000001E-3</v>
      </c>
      <c r="N16">
        <f>Baza!PP14</f>
        <v>2.0248649060000001E-4</v>
      </c>
      <c r="O16">
        <f>Baza!PQ14</f>
        <v>5.7658481349999997</v>
      </c>
      <c r="P16">
        <f>Baza!PR14</f>
        <v>1.2326182020000001</v>
      </c>
      <c r="Q16">
        <f>Baza!PS14</f>
        <v>1.5576396210000001</v>
      </c>
      <c r="R16">
        <f>Baza!PT14</f>
        <v>7.1969778829999997</v>
      </c>
      <c r="S16">
        <f>Baza!PU14</f>
        <v>92.589299260000004</v>
      </c>
    </row>
    <row r="17" spans="1:19" x14ac:dyDescent="0.2">
      <c r="A17" s="1" t="s">
        <v>255</v>
      </c>
      <c r="B17">
        <f>Baza!PD15</f>
        <v>1.9750267269999999</v>
      </c>
      <c r="C17">
        <f>Baza!PE15</f>
        <v>-8.0515316680000004E-2</v>
      </c>
      <c r="D17">
        <f>Baza!PF15</f>
        <v>2.4784308390000001</v>
      </c>
      <c r="E17">
        <f>Baza!PG15</f>
        <v>6.9102930000000002</v>
      </c>
      <c r="F17">
        <f>Baza!PH15</f>
        <v>6.806406</v>
      </c>
      <c r="G17">
        <f>Baza!PI15</f>
        <v>13.716699</v>
      </c>
      <c r="H17">
        <f>Baza!PJ15</f>
        <v>1.6293054039999999</v>
      </c>
      <c r="I17" s="2">
        <f>Baza!PK15</f>
        <v>7.0083783640000004E-5</v>
      </c>
      <c r="J17">
        <f>Baza!PL15</f>
        <v>2.6613131089999998E-3</v>
      </c>
      <c r="K17" s="2">
        <f>Baza!PM15</f>
        <v>7.0083783640000004E-5</v>
      </c>
      <c r="L17">
        <f>Baza!PN15</f>
        <v>1.893057071E-3</v>
      </c>
      <c r="M17">
        <f>Baza!PO15</f>
        <v>2.4555639290000002E-3</v>
      </c>
      <c r="N17">
        <f>Baza!PP15</f>
        <v>2.0574918009999999E-4</v>
      </c>
      <c r="O17">
        <f>Baza!PQ15</f>
        <v>5.7594661900000004</v>
      </c>
      <c r="P17">
        <f>Baza!PR15</f>
        <v>1.2330012619999999</v>
      </c>
      <c r="Q17">
        <f>Baza!PS15</f>
        <v>1.5783618580000001</v>
      </c>
      <c r="R17">
        <f>Baza!PT15</f>
        <v>7.2275857720000003</v>
      </c>
      <c r="S17">
        <f>Baza!PU15</f>
        <v>92.437783690000003</v>
      </c>
    </row>
    <row r="18" spans="1:19" x14ac:dyDescent="0.2">
      <c r="A18" s="1" t="s">
        <v>256</v>
      </c>
      <c r="B18">
        <f>Baza!PD16</f>
        <v>1.975154503</v>
      </c>
      <c r="C18">
        <f>Baza!PE16</f>
        <v>-7.5585629299999998E-2</v>
      </c>
      <c r="D18">
        <f>Baza!PF16</f>
        <v>2.4598305919999999</v>
      </c>
      <c r="E18">
        <f>Baza!PG16</f>
        <v>6.7449339999999998</v>
      </c>
      <c r="F18">
        <f>Baza!PH16</f>
        <v>6.7411789999999998</v>
      </c>
      <c r="G18">
        <f>Baza!PI16</f>
        <v>13.486113</v>
      </c>
      <c r="H18">
        <f>Baza!PJ16</f>
        <v>1.631178982</v>
      </c>
      <c r="I18" s="2">
        <f>Baza!PK16</f>
        <v>6.9546462050000001E-5</v>
      </c>
      <c r="J18">
        <f>Baza!PL16</f>
        <v>2.667562447E-3</v>
      </c>
      <c r="K18" s="2">
        <f>Baza!PM16</f>
        <v>6.9546462050000001E-5</v>
      </c>
      <c r="L18">
        <f>Baza!PN16</f>
        <v>1.9033133640000001E-3</v>
      </c>
      <c r="M18">
        <f>Baza!PO16</f>
        <v>2.464404636E-3</v>
      </c>
      <c r="N18">
        <f>Baza!PP16</f>
        <v>2.0315781080000001E-4</v>
      </c>
      <c r="O18">
        <f>Baza!PQ16</f>
        <v>5.7806420779999996</v>
      </c>
      <c r="P18">
        <f>Baza!PR16</f>
        <v>1.215747779</v>
      </c>
      <c r="Q18">
        <f>Baza!PS16</f>
        <v>1.550647932</v>
      </c>
      <c r="R18">
        <f>Baza!PT16</f>
        <v>7.1813114469999997</v>
      </c>
      <c r="S18">
        <f>Baza!PU16</f>
        <v>92.496443299999996</v>
      </c>
    </row>
    <row r="19" spans="1:19" x14ac:dyDescent="0.2">
      <c r="A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workbookViewId="0">
      <selection activeCell="B6" sqref="B6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</cols>
  <sheetData>
    <row r="1" spans="1:15" x14ac:dyDescent="0.2">
      <c r="B1" t="str">
        <f>B4</f>
        <v>Pp[Średnia]</v>
      </c>
      <c r="C1" t="str">
        <f t="shared" ref="C1:O1" ca="1" si="0">C4</f>
        <v>Pv[Średnia]</v>
      </c>
      <c r="D1" t="str">
        <f t="shared" ca="1" si="0"/>
        <v>Pz[Średnia]</v>
      </c>
      <c r="E1" t="str">
        <f t="shared" ca="1" si="0"/>
        <v>Pc (Brak uśredniania (pojedyncza wartość))[Średnia]</v>
      </c>
      <c r="F1" t="str">
        <f t="shared" ca="1" si="0"/>
        <v>Pt[Średnia]</v>
      </c>
      <c r="G1" t="str">
        <f t="shared" ca="1" si="0"/>
        <v>Pa[Średnia]</v>
      </c>
      <c r="H1" t="str">
        <f t="shared" ca="1" si="0"/>
        <v>Pq[Średnia]</v>
      </c>
      <c r="I1" t="str">
        <f t="shared" ca="1" si="0"/>
        <v>Psk[Średnia]</v>
      </c>
      <c r="J1" t="str">
        <f t="shared" ca="1" si="0"/>
        <v>Pku[Średnia]</v>
      </c>
      <c r="K1" t="str">
        <f t="shared" ca="1" si="0"/>
        <v>PSm (Brak uśredniania (pojedyncza wartość))[Średnia]</v>
      </c>
      <c r="L1" t="str">
        <f t="shared" ca="1" si="0"/>
        <v>Pdq[Średnia]</v>
      </c>
      <c r="M1" t="str">
        <f t="shared" ca="1" si="0"/>
        <v>Pmr (c = 1 µm poniżej najwyższego wypiętrzenia)[Średnia]</v>
      </c>
      <c r="N1" t="str">
        <f t="shared" ca="1" si="0"/>
        <v>Pdc (p = 20%, q = 80%)[Średnia]</v>
      </c>
      <c r="O1" t="str">
        <f t="shared" ca="1" si="0"/>
        <v>PPc (Brak uśredniania (pojedyncza wartość))[Średnia]</v>
      </c>
    </row>
    <row r="2" spans="1:15" x14ac:dyDescent="0.2">
      <c r="C2">
        <v>4</v>
      </c>
      <c r="D2">
        <f>C2+4</f>
        <v>8</v>
      </c>
      <c r="E2">
        <f t="shared" ref="E2:O2" si="1">D2+4</f>
        <v>12</v>
      </c>
      <c r="F2">
        <f t="shared" si="1"/>
        <v>16</v>
      </c>
      <c r="G2">
        <f t="shared" si="1"/>
        <v>20</v>
      </c>
      <c r="H2">
        <f t="shared" si="1"/>
        <v>24</v>
      </c>
      <c r="I2">
        <f t="shared" si="1"/>
        <v>28</v>
      </c>
      <c r="J2">
        <f t="shared" si="1"/>
        <v>32</v>
      </c>
      <c r="K2">
        <f t="shared" si="1"/>
        <v>36</v>
      </c>
      <c r="L2">
        <f t="shared" si="1"/>
        <v>40</v>
      </c>
      <c r="M2">
        <f t="shared" si="1"/>
        <v>44</v>
      </c>
      <c r="N2">
        <f t="shared" si="1"/>
        <v>48</v>
      </c>
      <c r="O2">
        <f t="shared" si="1"/>
        <v>52</v>
      </c>
    </row>
    <row r="3" spans="1:15" x14ac:dyDescent="0.2">
      <c r="B3">
        <f>Baza!R1</f>
        <v>40</v>
      </c>
      <c r="C3">
        <f ca="1">OFFSET(Baza!$R1,0,C$2)</f>
        <v>40</v>
      </c>
      <c r="D3">
        <f ca="1">OFFSET(Baza!$R1,0,D$2)</f>
        <v>40</v>
      </c>
      <c r="E3">
        <f ca="1">OFFSET(Baza!$R1,0,E$2)</f>
        <v>40</v>
      </c>
      <c r="F3">
        <f ca="1">OFFSET(Baza!$R1,0,F$2)</f>
        <v>40</v>
      </c>
      <c r="G3">
        <f ca="1">OFFSET(Baza!$R1,0,G$2)</f>
        <v>40</v>
      </c>
      <c r="H3">
        <f ca="1">OFFSET(Baza!$R1,0,H$2)</f>
        <v>40</v>
      </c>
      <c r="I3">
        <f ca="1">OFFSET(Baza!$R1,0,I$2)</f>
        <v>40</v>
      </c>
      <c r="J3">
        <f ca="1">OFFSET(Baza!$R1,0,J$2)</f>
        <v>40</v>
      </c>
      <c r="K3">
        <f ca="1">OFFSET(Baza!$R1,0,K$2)</f>
        <v>40</v>
      </c>
      <c r="L3">
        <f ca="1">OFFSET(Baza!$R1,0,L$2)</f>
        <v>40</v>
      </c>
      <c r="M3">
        <f ca="1">OFFSET(Baza!$R1,0,M$2)</f>
        <v>40</v>
      </c>
      <c r="N3">
        <f ca="1">OFFSET(Baza!$R1,0,N$2)</f>
        <v>40</v>
      </c>
      <c r="O3">
        <f ca="1">OFFSET(Baza!$R1,0,O$2)</f>
        <v>40</v>
      </c>
    </row>
    <row r="4" spans="1:15" x14ac:dyDescent="0.2">
      <c r="B4" t="str">
        <f>Baza!R2</f>
        <v>Pp[Średnia]</v>
      </c>
      <c r="C4" t="str">
        <f ca="1">OFFSET(Baza!$R2,0,C$2)</f>
        <v>Pv[Średnia]</v>
      </c>
      <c r="D4" t="str">
        <f ca="1">OFFSET(Baza!$R2,0,D$2)</f>
        <v>Pz[Średnia]</v>
      </c>
      <c r="E4" t="str">
        <f ca="1">OFFSET(Baza!$R2,0,E$2)</f>
        <v>Pc (Brak uśredniania (pojedyncza wartość))[Średnia]</v>
      </c>
      <c r="F4" t="str">
        <f ca="1">OFFSET(Baza!$R2,0,F$2)</f>
        <v>Pt[Średnia]</v>
      </c>
      <c r="G4" t="str">
        <f ca="1">OFFSET(Baza!$R2,0,G$2)</f>
        <v>Pa[Średnia]</v>
      </c>
      <c r="H4" t="str">
        <f ca="1">OFFSET(Baza!$R2,0,H$2)</f>
        <v>Pq[Średnia]</v>
      </c>
      <c r="I4" t="str">
        <f ca="1">OFFSET(Baza!$R2,0,I$2)</f>
        <v>Psk[Średnia]</v>
      </c>
      <c r="J4" t="str">
        <f ca="1">OFFSET(Baza!$R2,0,J$2)</f>
        <v>Pku[Średnia]</v>
      </c>
      <c r="K4" t="str">
        <f ca="1">OFFSET(Baza!$R2,0,K$2)</f>
        <v>PSm (Brak uśredniania (pojedyncza wartość))[Średnia]</v>
      </c>
      <c r="L4" t="str">
        <f ca="1">OFFSET(Baza!$R2,0,L$2)</f>
        <v>Pdq[Średnia]</v>
      </c>
      <c r="M4" t="str">
        <f ca="1">OFFSET(Baza!$R2,0,M$2)</f>
        <v>Pmr (c = 1 µm poniżej najwyższego wypiętrzenia)[Średnia]</v>
      </c>
      <c r="N4" t="str">
        <f ca="1">OFFSET(Baza!$R2,0,N$2)</f>
        <v>Pdc (p = 20%, q = 80%)[Średnia]</v>
      </c>
      <c r="O4" t="str">
        <f ca="1">OFFSET(Baza!$R2,0,O$2)</f>
        <v>PPc (Brak uśredniania (pojedyncza wartość))[Średnia]</v>
      </c>
    </row>
    <row r="5" spans="1:15" x14ac:dyDescent="0.2">
      <c r="B5" t="str">
        <f>Baza!R3</f>
        <v>µm</v>
      </c>
      <c r="C5" t="str">
        <f ca="1">OFFSET(Baza!$R3,0,C$2)</f>
        <v>µm</v>
      </c>
      <c r="D5" t="str">
        <f ca="1">OFFSET(Baza!$R3,0,D$2)</f>
        <v>µm</v>
      </c>
      <c r="E5" t="str">
        <f ca="1">OFFSET(Baza!$R3,0,E$2)</f>
        <v>µm</v>
      </c>
      <c r="F5" t="str">
        <f ca="1">OFFSET(Baza!$R3,0,F$2)</f>
        <v>µm</v>
      </c>
      <c r="G5" t="str">
        <f ca="1">OFFSET(Baza!$R3,0,G$2)</f>
        <v>µm</v>
      </c>
      <c r="H5" t="str">
        <f ca="1">OFFSET(Baza!$R3,0,H$2)</f>
        <v>µm</v>
      </c>
      <c r="I5" t="str">
        <f ca="1">OFFSET(Baza!$R3,0,I$2)</f>
        <v>&lt;no unit&gt;</v>
      </c>
      <c r="J5" t="str">
        <f ca="1">OFFSET(Baza!$R3,0,J$2)</f>
        <v>&lt;no unit&gt;</v>
      </c>
      <c r="K5" t="str">
        <f ca="1">OFFSET(Baza!$R3,0,K$2)</f>
        <v>mm</v>
      </c>
      <c r="L5" t="str">
        <f ca="1">OFFSET(Baza!$R3,0,L$2)</f>
        <v>°</v>
      </c>
      <c r="M5" t="str">
        <f ca="1">OFFSET(Baza!$R3,0,M$2)</f>
        <v>%</v>
      </c>
      <c r="N5" t="str">
        <f ca="1">OFFSET(Baza!$R3,0,N$2)</f>
        <v>µm</v>
      </c>
      <c r="O5" t="str">
        <f ca="1">OFFSET(Baza!$R3,0,O$2)</f>
        <v>1/cm</v>
      </c>
    </row>
    <row r="6" spans="1:15" x14ac:dyDescent="0.2">
      <c r="A6" s="1" t="s">
        <v>244</v>
      </c>
      <c r="B6">
        <f>Baza!R4</f>
        <v>5.2214201329999996</v>
      </c>
      <c r="C6">
        <f ca="1">OFFSET(Baza!$R4,0,C$2)</f>
        <v>5.1494451300000001</v>
      </c>
      <c r="D6">
        <f ca="1">OFFSET(Baza!$R4,0,D$2)</f>
        <v>10.37086526</v>
      </c>
      <c r="E6">
        <f ca="1">OFFSET(Baza!$R4,0,E$2)</f>
        <v>3.0797093370000002</v>
      </c>
      <c r="F6">
        <f ca="1">OFFSET(Baza!$R4,0,F$2)</f>
        <v>10.37086526</v>
      </c>
      <c r="G6">
        <f ca="1">OFFSET(Baza!$R4,0,G$2)</f>
        <v>1.8264212630000001</v>
      </c>
      <c r="H6">
        <f ca="1">OFFSET(Baza!$R4,0,H$2)</f>
        <v>2.2069065669999999</v>
      </c>
      <c r="I6">
        <f ca="1">OFFSET(Baza!$R4,0,I$2)</f>
        <v>7.9716634169999995E-2</v>
      </c>
      <c r="J6">
        <f ca="1">OFFSET(Baza!$R4,0,J$2)</f>
        <v>2.544404836</v>
      </c>
      <c r="K6">
        <f ca="1">OFFSET(Baza!$R4,0,K$2)</f>
        <v>0.30911799839999998</v>
      </c>
      <c r="L6">
        <f ca="1">OFFSET(Baza!$R4,0,L$2)</f>
        <v>6.2805828930000001</v>
      </c>
      <c r="M6">
        <f ca="1">OFFSET(Baza!$R4,0,M$2)</f>
        <v>4.1734110690000001</v>
      </c>
      <c r="N6">
        <f ca="1">OFFSET(Baza!$R4,0,N$2)</f>
        <v>4.0982414240000002</v>
      </c>
      <c r="O6">
        <f ca="1">OFFSET(Baza!$R4,0,O$2)</f>
        <v>38.056193800000003</v>
      </c>
    </row>
    <row r="7" spans="1:15" x14ac:dyDescent="0.2">
      <c r="A7" s="1" t="s">
        <v>245</v>
      </c>
      <c r="B7">
        <f>Baza!R5</f>
        <v>5.2215423029999997</v>
      </c>
      <c r="C7">
        <f ca="1">OFFSET(Baza!$R5,0,C$2)</f>
        <v>5.6638037499999996</v>
      </c>
      <c r="D7">
        <f ca="1">OFFSET(Baza!$R5,0,D$2)</f>
        <v>10.885346050000001</v>
      </c>
      <c r="E7">
        <f ca="1">OFFSET(Baza!$R5,0,E$2)</f>
        <v>3.2343585799999999</v>
      </c>
      <c r="F7">
        <f ca="1">OFFSET(Baza!$R5,0,F$2)</f>
        <v>10.885346050000001</v>
      </c>
      <c r="G7">
        <f ca="1">OFFSET(Baza!$R5,0,G$2)</f>
        <v>1.87380104</v>
      </c>
      <c r="H7">
        <f ca="1">OFFSET(Baza!$R5,0,H$2)</f>
        <v>2.2635129260000002</v>
      </c>
      <c r="I7">
        <f ca="1">OFFSET(Baza!$R5,0,I$2)</f>
        <v>7.1777011350000003E-2</v>
      </c>
      <c r="J7">
        <f ca="1">OFFSET(Baza!$R5,0,J$2)</f>
        <v>2.5474591680000001</v>
      </c>
      <c r="K7">
        <f ca="1">OFFSET(Baza!$R5,0,K$2)</f>
        <v>0.28019731590000002</v>
      </c>
      <c r="L7">
        <f ca="1">OFFSET(Baza!$R5,0,L$2)</f>
        <v>6.7307547669999996</v>
      </c>
      <c r="M7">
        <f ca="1">OFFSET(Baza!$R5,0,M$2)</f>
        <v>4.6330173459999999</v>
      </c>
      <c r="N7">
        <f ca="1">OFFSET(Baza!$R5,0,N$2)</f>
        <v>4.2004382050000002</v>
      </c>
      <c r="O7">
        <f ca="1">OFFSET(Baza!$R5,0,O$2)</f>
        <v>40.870549220000001</v>
      </c>
    </row>
    <row r="8" spans="1:15" x14ac:dyDescent="0.2">
      <c r="A8" s="1" t="s">
        <v>246</v>
      </c>
      <c r="B8">
        <f>Baza!R6</f>
        <v>5.3415822840000002</v>
      </c>
      <c r="C8">
        <f ca="1">OFFSET(Baza!$R6,0,C$2)</f>
        <v>6.1583591679999996</v>
      </c>
      <c r="D8">
        <f ca="1">OFFSET(Baza!$R6,0,D$2)</f>
        <v>11.49994145</v>
      </c>
      <c r="E8">
        <f ca="1">OFFSET(Baza!$R6,0,E$2)</f>
        <v>3.3364453749999998</v>
      </c>
      <c r="F8">
        <f ca="1">OFFSET(Baza!$R6,0,F$2)</f>
        <v>11.49994145</v>
      </c>
      <c r="G8">
        <f ca="1">OFFSET(Baza!$R6,0,G$2)</f>
        <v>1.9093520180000001</v>
      </c>
      <c r="H8">
        <f ca="1">OFFSET(Baza!$R6,0,H$2)</f>
        <v>2.311195611</v>
      </c>
      <c r="I8">
        <f ca="1">OFFSET(Baza!$R6,0,I$2)</f>
        <v>4.7533544699999999E-2</v>
      </c>
      <c r="J8">
        <f ca="1">OFFSET(Baza!$R6,0,J$2)</f>
        <v>2.5736889930000002</v>
      </c>
      <c r="K8">
        <f ca="1">OFFSET(Baza!$R6,0,K$2)</f>
        <v>0.24297033530000001</v>
      </c>
      <c r="L8">
        <f ca="1">OFFSET(Baza!$R6,0,L$2)</f>
        <v>7.6002031299999997</v>
      </c>
      <c r="M8">
        <f ca="1">OFFSET(Baza!$R6,0,M$2)</f>
        <v>4.0913676260000003</v>
      </c>
      <c r="N8">
        <f ca="1">OFFSET(Baza!$R6,0,N$2)</f>
        <v>4.2749722930000003</v>
      </c>
      <c r="O8">
        <f ca="1">OFFSET(Baza!$R6,0,O$2)</f>
        <v>46.461116910000001</v>
      </c>
    </row>
    <row r="9" spans="1:15" x14ac:dyDescent="0.2">
      <c r="A9" s="1" t="s">
        <v>247</v>
      </c>
      <c r="B9">
        <f>Baza!R7</f>
        <v>6.0242515819999998</v>
      </c>
      <c r="C9">
        <f ca="1">OFFSET(Baza!$R7,0,C$2)</f>
        <v>5.5887834439999997</v>
      </c>
      <c r="D9">
        <f ca="1">OFFSET(Baza!$R7,0,D$2)</f>
        <v>11.613035030000001</v>
      </c>
      <c r="E9">
        <f ca="1">OFFSET(Baza!$R7,0,E$2)</f>
        <v>3.1130027920000001</v>
      </c>
      <c r="F9">
        <f ca="1">OFFSET(Baza!$R7,0,F$2)</f>
        <v>11.613035030000001</v>
      </c>
      <c r="G9">
        <f ca="1">OFFSET(Baza!$R7,0,G$2)</f>
        <v>1.862311391</v>
      </c>
      <c r="H9">
        <f ca="1">OFFSET(Baza!$R7,0,H$2)</f>
        <v>2.2562643439999999</v>
      </c>
      <c r="I9">
        <f ca="1">OFFSET(Baza!$R7,0,I$2)</f>
        <v>9.1135880480000001E-2</v>
      </c>
      <c r="J9">
        <f ca="1">OFFSET(Baza!$R7,0,J$2)</f>
        <v>2.6162525529999998</v>
      </c>
      <c r="K9">
        <f ca="1">OFFSET(Baza!$R7,0,K$2)</f>
        <v>0.20691747460000001</v>
      </c>
      <c r="L9">
        <f ca="1">OFFSET(Baza!$R7,0,L$2)</f>
        <v>10.10450814</v>
      </c>
      <c r="M9">
        <f ca="1">OFFSET(Baza!$R7,0,M$2)</f>
        <v>1.6611396899999999</v>
      </c>
      <c r="N9">
        <f ca="1">OFFSET(Baza!$R7,0,N$2)</f>
        <v>4.1641061019999999</v>
      </c>
      <c r="O9">
        <f ca="1">OFFSET(Baza!$R7,0,O$2)</f>
        <v>56.0861637</v>
      </c>
    </row>
    <row r="10" spans="1:15" x14ac:dyDescent="0.2">
      <c r="A10" s="1" t="s">
        <v>248</v>
      </c>
      <c r="B10">
        <f>Baza!R8</f>
        <v>5.5727010620000001</v>
      </c>
      <c r="C10">
        <f ca="1">OFFSET(Baza!$R8,0,C$2)</f>
        <v>6.2461818119999997</v>
      </c>
      <c r="D10">
        <f ca="1">OFFSET(Baza!$R8,0,D$2)</f>
        <v>11.818882869999999</v>
      </c>
      <c r="E10">
        <f ca="1">OFFSET(Baza!$R8,0,E$2)</f>
        <v>3.213484206</v>
      </c>
      <c r="F10">
        <f ca="1">OFFSET(Baza!$R8,0,F$2)</f>
        <v>11.818882869999999</v>
      </c>
      <c r="G10">
        <f ca="1">OFFSET(Baza!$R8,0,G$2)</f>
        <v>1.9002284899999999</v>
      </c>
      <c r="H10">
        <f ca="1">OFFSET(Baza!$R8,0,H$2)</f>
        <v>2.3011015979999998</v>
      </c>
      <c r="I10">
        <f ca="1">OFFSET(Baza!$R8,0,I$2)</f>
        <v>5.5567859300000001E-2</v>
      </c>
      <c r="J10">
        <f ca="1">OFFSET(Baza!$R8,0,J$2)</f>
        <v>2.5778069229999998</v>
      </c>
      <c r="K10">
        <f ca="1">OFFSET(Baza!$R8,0,K$2)</f>
        <v>0.18464626749999999</v>
      </c>
      <c r="L10">
        <f ca="1">OFFSET(Baza!$R8,0,L$2)</f>
        <v>10.41379034</v>
      </c>
      <c r="M10">
        <f ca="1">OFFSET(Baza!$R8,0,M$2)</f>
        <v>2.9858511139999999</v>
      </c>
      <c r="N10">
        <f ca="1">OFFSET(Baza!$R8,0,N$2)</f>
        <v>4.2594436250000003</v>
      </c>
      <c r="O10">
        <f ca="1">OFFSET(Baza!$R8,0,O$2)</f>
        <v>61.370245130000001</v>
      </c>
    </row>
    <row r="11" spans="1:15" x14ac:dyDescent="0.2">
      <c r="A11" s="1" t="s">
        <v>249</v>
      </c>
      <c r="B11">
        <f>Baza!R9</f>
        <v>5.6963693720000004</v>
      </c>
      <c r="C11">
        <f ca="1">OFFSET(Baza!$R9,0,C$2)</f>
        <v>6.8392659599999996</v>
      </c>
      <c r="D11">
        <f ca="1">OFFSET(Baza!$R9,0,D$2)</f>
        <v>12.53563533</v>
      </c>
      <c r="E11">
        <f ca="1">OFFSET(Baza!$R9,0,E$2)</f>
        <v>3.4508029740000001</v>
      </c>
      <c r="F11">
        <f ca="1">OFFSET(Baza!$R9,0,F$2)</f>
        <v>12.53563533</v>
      </c>
      <c r="G11">
        <f ca="1">OFFSET(Baza!$R9,0,G$2)</f>
        <v>1.948151414</v>
      </c>
      <c r="H11">
        <f ca="1">OFFSET(Baza!$R9,0,H$2)</f>
        <v>2.3641628849999998</v>
      </c>
      <c r="I11">
        <f ca="1">OFFSET(Baza!$R9,0,I$2)</f>
        <v>2.4107553069999999E-2</v>
      </c>
      <c r="J11">
        <f ca="1">OFFSET(Baza!$R9,0,J$2)</f>
        <v>2.6103066959999999</v>
      </c>
      <c r="K11">
        <f ca="1">OFFSET(Baza!$R9,0,K$2)</f>
        <v>0.16905676510000001</v>
      </c>
      <c r="L11">
        <f ca="1">OFFSET(Baza!$R9,0,L$2)</f>
        <v>11.676408289999999</v>
      </c>
      <c r="M11">
        <f ca="1">OFFSET(Baza!$R9,0,M$2)</f>
        <v>2.7687376989999999</v>
      </c>
      <c r="N11">
        <f ca="1">OFFSET(Baza!$R9,0,N$2)</f>
        <v>4.3515065259999997</v>
      </c>
      <c r="O11">
        <f ca="1">OFFSET(Baza!$R9,0,O$2)</f>
        <v>66.768390319999995</v>
      </c>
    </row>
    <row r="12" spans="1:15" x14ac:dyDescent="0.2">
      <c r="A12" s="1" t="s">
        <v>250</v>
      </c>
      <c r="B12">
        <f>Baza!R10</f>
        <v>5.092477454</v>
      </c>
      <c r="C12">
        <f ca="1">OFFSET(Baza!$R10,0,C$2)</f>
        <v>5.3198408199999996</v>
      </c>
      <c r="D12">
        <f ca="1">OFFSET(Baza!$R10,0,D$2)</f>
        <v>10.41231827</v>
      </c>
      <c r="E12">
        <f ca="1">OFFSET(Baza!$R10,0,E$2)</f>
        <v>3.2382133419999999</v>
      </c>
      <c r="F12">
        <f ca="1">OFFSET(Baza!$R10,0,F$2)</f>
        <v>10.41231827</v>
      </c>
      <c r="G12">
        <f ca="1">OFFSET(Baza!$R10,0,G$2)</f>
        <v>1.833442931</v>
      </c>
      <c r="H12">
        <f ca="1">OFFSET(Baza!$R10,0,H$2)</f>
        <v>2.2156262130000002</v>
      </c>
      <c r="I12">
        <f ca="1">OFFSET(Baza!$R10,0,I$2)</f>
        <v>6.6286215479999994E-2</v>
      </c>
      <c r="J12">
        <f ca="1">OFFSET(Baza!$R10,0,J$2)</f>
        <v>2.5215645659999999</v>
      </c>
      <c r="K12">
        <f ca="1">OFFSET(Baza!$R10,0,K$2)</f>
        <v>0.36358939350000002</v>
      </c>
      <c r="L12">
        <f ca="1">OFFSET(Baza!$R10,0,L$2)</f>
        <v>4.3696697379999998</v>
      </c>
      <c r="M12">
        <f ca="1">OFFSET(Baza!$R10,0,M$2)</f>
        <v>4.5574165620000002</v>
      </c>
      <c r="N12">
        <f ca="1">OFFSET(Baza!$R10,0,N$2)</f>
        <v>4.0868145069999997</v>
      </c>
      <c r="O12">
        <f ca="1">OFFSET(Baza!$R10,0,O$2)</f>
        <v>32.877891869999999</v>
      </c>
    </row>
    <row r="13" spans="1:15" x14ac:dyDescent="0.2">
      <c r="A13" s="1" t="s">
        <v>251</v>
      </c>
      <c r="B13">
        <f>Baza!R11</f>
        <v>4.7662405559999996</v>
      </c>
      <c r="C13">
        <f ca="1">OFFSET(Baza!$R11,0,C$2)</f>
        <v>4.9002024649999996</v>
      </c>
      <c r="D13">
        <f ca="1">OFFSET(Baza!$R11,0,D$2)</f>
        <v>9.6664430209999992</v>
      </c>
      <c r="E13">
        <f ca="1">OFFSET(Baza!$R11,0,E$2)</f>
        <v>3.3009330590000001</v>
      </c>
      <c r="F13">
        <f ca="1">OFFSET(Baza!$R11,0,F$2)</f>
        <v>9.6664430209999992</v>
      </c>
      <c r="G13">
        <f ca="1">OFFSET(Baza!$R11,0,G$2)</f>
        <v>1.7825053040000001</v>
      </c>
      <c r="H13">
        <f ca="1">OFFSET(Baza!$R11,0,H$2)</f>
        <v>2.151682976</v>
      </c>
      <c r="I13">
        <f ca="1">OFFSET(Baza!$R11,0,I$2)</f>
        <v>5.4614686490000001E-2</v>
      </c>
      <c r="J13">
        <f ca="1">OFFSET(Baza!$R11,0,J$2)</f>
        <v>2.5247500610000002</v>
      </c>
      <c r="K13">
        <f ca="1">OFFSET(Baza!$R11,0,K$2)</f>
        <v>0.46747583180000002</v>
      </c>
      <c r="L13">
        <f ca="1">OFFSET(Baza!$R11,0,L$2)</f>
        <v>3.5962465419999998</v>
      </c>
      <c r="M13">
        <f ca="1">OFFSET(Baza!$R11,0,M$2)</f>
        <v>5.8371843849999996</v>
      </c>
      <c r="N13">
        <f ca="1">OFFSET(Baza!$R11,0,N$2)</f>
        <v>3.9979605610000002</v>
      </c>
      <c r="O13">
        <f ca="1">OFFSET(Baza!$R11,0,O$2)</f>
        <v>25.649859280000001</v>
      </c>
    </row>
    <row r="14" spans="1:15" x14ac:dyDescent="0.2">
      <c r="A14" s="1" t="s">
        <v>252</v>
      </c>
      <c r="B14">
        <f>Baza!R12</f>
        <v>4.9108249380000002</v>
      </c>
      <c r="C14">
        <f ca="1">OFFSET(Baza!$R12,0,C$2)</f>
        <v>5.0283683779999997</v>
      </c>
      <c r="D14">
        <f ca="1">OFFSET(Baza!$R12,0,D$2)</f>
        <v>9.9391933160000008</v>
      </c>
      <c r="E14">
        <f ca="1">OFFSET(Baza!$R12,0,E$2)</f>
        <v>3.2602028299999999</v>
      </c>
      <c r="F14">
        <f ca="1">OFFSET(Baza!$R12,0,F$2)</f>
        <v>9.9391933160000008</v>
      </c>
      <c r="G14">
        <f ca="1">OFFSET(Baza!$R12,0,G$2)</f>
        <v>1.767907873</v>
      </c>
      <c r="H14">
        <f ca="1">OFFSET(Baza!$R12,0,H$2)</f>
        <v>2.13874656</v>
      </c>
      <c r="I14">
        <f ca="1">OFFSET(Baza!$R12,0,I$2)</f>
        <v>2.4205497039999999E-2</v>
      </c>
      <c r="J14">
        <f ca="1">OFFSET(Baza!$R12,0,J$2)</f>
        <v>2.5548865780000001</v>
      </c>
      <c r="K14">
        <f ca="1">OFFSET(Baza!$R12,0,K$2)</f>
        <v>0.40710875229999999</v>
      </c>
      <c r="L14">
        <f ca="1">OFFSET(Baza!$R12,0,L$2)</f>
        <v>4.037076688</v>
      </c>
      <c r="M14">
        <f ca="1">OFFSET(Baza!$R12,0,M$2)</f>
        <v>3.9627310640000002</v>
      </c>
      <c r="N14">
        <f ca="1">OFFSET(Baza!$R12,0,N$2)</f>
        <v>3.9424633230000001</v>
      </c>
      <c r="O14">
        <f ca="1">OFFSET(Baza!$R12,0,O$2)</f>
        <v>30.353572620000001</v>
      </c>
    </row>
    <row r="15" spans="1:15" x14ac:dyDescent="0.2">
      <c r="A15" s="1" t="s">
        <v>253</v>
      </c>
      <c r="B15">
        <f>Baza!R13</f>
        <v>5.010131919</v>
      </c>
      <c r="C15">
        <f ca="1">OFFSET(Baza!$R13,0,C$2)</f>
        <v>5.2850369490000002</v>
      </c>
      <c r="D15">
        <f ca="1">OFFSET(Baza!$R13,0,D$2)</f>
        <v>10.295168869999999</v>
      </c>
      <c r="E15">
        <f ca="1">OFFSET(Baza!$R13,0,E$2)</f>
        <v>3.3670607189999999</v>
      </c>
      <c r="F15">
        <f ca="1">OFFSET(Baza!$R13,0,F$2)</f>
        <v>10.295168869999999</v>
      </c>
      <c r="G15">
        <f ca="1">OFFSET(Baza!$R13,0,G$2)</f>
        <v>1.8351430200000001</v>
      </c>
      <c r="H15">
        <f ca="1">OFFSET(Baza!$R13,0,H$2)</f>
        <v>2.2135580290000001</v>
      </c>
      <c r="I15">
        <f ca="1">OFFSET(Baza!$R13,0,I$2)</f>
        <v>6.1087202879999997E-2</v>
      </c>
      <c r="J15">
        <f ca="1">OFFSET(Baza!$R13,0,J$2)</f>
        <v>2.4940433180000001</v>
      </c>
      <c r="K15">
        <f ca="1">OFFSET(Baza!$R13,0,K$2)</f>
        <v>0.26338592420000001</v>
      </c>
      <c r="L15">
        <f ca="1">OFFSET(Baza!$R13,0,L$2)</f>
        <v>10.627149129999999</v>
      </c>
      <c r="M15">
        <f ca="1">OFFSET(Baza!$R13,0,M$2)</f>
        <v>4.3905799009999997</v>
      </c>
      <c r="N15">
        <f ca="1">OFFSET(Baza!$R13,0,N$2)</f>
        <v>4.0870040449999996</v>
      </c>
      <c r="O15">
        <f ca="1">OFFSET(Baza!$R13,0,O$2)</f>
        <v>43.901175899999998</v>
      </c>
    </row>
    <row r="16" spans="1:15" x14ac:dyDescent="0.2">
      <c r="A16" s="1" t="s">
        <v>254</v>
      </c>
      <c r="B16">
        <f>Baza!R14</f>
        <v>4.6782346229999998</v>
      </c>
      <c r="C16">
        <f ca="1">OFFSET(Baza!$R14,0,C$2)</f>
        <v>4.6818673190000002</v>
      </c>
      <c r="D16">
        <f ca="1">OFFSET(Baza!$R14,0,D$2)</f>
        <v>9.360101942</v>
      </c>
      <c r="E16">
        <f ca="1">OFFSET(Baza!$R14,0,E$2)</f>
        <v>3.9138832350000001</v>
      </c>
      <c r="F16">
        <f ca="1">OFFSET(Baza!$R14,0,F$2)</f>
        <v>9.360101942</v>
      </c>
      <c r="G16">
        <f ca="1">OFFSET(Baza!$R14,0,G$2)</f>
        <v>1.766349226</v>
      </c>
      <c r="H16">
        <f ca="1">OFFSET(Baza!$R14,0,H$2)</f>
        <v>2.1382149890000002</v>
      </c>
      <c r="I16">
        <f ca="1">OFFSET(Baza!$R14,0,I$2)</f>
        <v>6.9029429419999996E-2</v>
      </c>
      <c r="J16">
        <f ca="1">OFFSET(Baza!$R14,0,J$2)</f>
        <v>2.5243650010000001</v>
      </c>
      <c r="K16">
        <f ca="1">OFFSET(Baza!$R14,0,K$2)</f>
        <v>0.60328629300000003</v>
      </c>
      <c r="L16">
        <f ca="1">OFFSET(Baza!$R14,0,L$2)</f>
        <v>6.716295745</v>
      </c>
      <c r="M16">
        <f ca="1">OFFSET(Baza!$R14,0,M$2)</f>
        <v>6.5692985500000001</v>
      </c>
      <c r="N16">
        <f ca="1">OFFSET(Baza!$R14,0,N$2)</f>
        <v>3.9699862869999998</v>
      </c>
      <c r="O16">
        <f ca="1">OFFSET(Baza!$R14,0,O$2)</f>
        <v>21.365320010000001</v>
      </c>
    </row>
    <row r="17" spans="1:15" x14ac:dyDescent="0.2">
      <c r="A17" s="1" t="s">
        <v>255</v>
      </c>
      <c r="B17">
        <f>Baza!R15</f>
        <v>4.8239820819999997</v>
      </c>
      <c r="C17">
        <f ca="1">OFFSET(Baza!$R15,0,C$2)</f>
        <v>4.760269718</v>
      </c>
      <c r="D17">
        <f ca="1">OFFSET(Baza!$R15,0,D$2)</f>
        <v>9.5842518000000005</v>
      </c>
      <c r="E17">
        <f ca="1">OFFSET(Baza!$R15,0,E$2)</f>
        <v>3.7347743360000001</v>
      </c>
      <c r="F17">
        <f ca="1">OFFSET(Baza!$R15,0,F$2)</f>
        <v>9.5842518000000005</v>
      </c>
      <c r="G17">
        <f ca="1">OFFSET(Baza!$R15,0,G$2)</f>
        <v>1.7711093899999999</v>
      </c>
      <c r="H17">
        <f ca="1">OFFSET(Baza!$R15,0,H$2)</f>
        <v>2.1419052810000001</v>
      </c>
      <c r="I17">
        <f ca="1">OFFSET(Baza!$R15,0,I$2)</f>
        <v>6.01657783E-2</v>
      </c>
      <c r="J17">
        <f ca="1">OFFSET(Baza!$R15,0,J$2)</f>
        <v>2.5169553750000002</v>
      </c>
      <c r="K17">
        <f ca="1">OFFSET(Baza!$R15,0,K$2)</f>
        <v>0.54830260500000005</v>
      </c>
      <c r="L17">
        <f ca="1">OFFSET(Baza!$R15,0,L$2)</f>
        <v>5.9720663480000002</v>
      </c>
      <c r="M17">
        <f ca="1">OFFSET(Baza!$R15,0,M$2)</f>
        <v>5.5685359139999999</v>
      </c>
      <c r="N17">
        <f ca="1">OFFSET(Baza!$R15,0,N$2)</f>
        <v>3.9536588030000002</v>
      </c>
      <c r="O17">
        <f ca="1">OFFSET(Baza!$R15,0,O$2)</f>
        <v>23.191257650000001</v>
      </c>
    </row>
    <row r="18" spans="1:15" x14ac:dyDescent="0.2">
      <c r="A18" s="1" t="s">
        <v>256</v>
      </c>
      <c r="B18">
        <f>Baza!R16</f>
        <v>4.7001304060000004</v>
      </c>
      <c r="C18">
        <f ca="1">OFFSET(Baza!$R16,0,C$2)</f>
        <v>4.6837248420000002</v>
      </c>
      <c r="D18">
        <f ca="1">OFFSET(Baza!$R16,0,D$2)</f>
        <v>9.3838552469999996</v>
      </c>
      <c r="E18">
        <f ca="1">OFFSET(Baza!$R16,0,E$2)</f>
        <v>4.0162099080000004</v>
      </c>
      <c r="F18">
        <f ca="1">OFFSET(Baza!$R16,0,F$2)</f>
        <v>9.3838552469999996</v>
      </c>
      <c r="G18">
        <f ca="1">OFFSET(Baza!$R16,0,G$2)</f>
        <v>1.7711483729999999</v>
      </c>
      <c r="H18">
        <f ca="1">OFFSET(Baza!$R16,0,H$2)</f>
        <v>2.1428142879999998</v>
      </c>
      <c r="I18">
        <f ca="1">OFFSET(Baza!$R16,0,I$2)</f>
        <v>6.6515134850000004E-2</v>
      </c>
      <c r="J18">
        <f ca="1">OFFSET(Baza!$R16,0,J$2)</f>
        <v>2.5128796219999998</v>
      </c>
      <c r="K18">
        <f ca="1">OFFSET(Baza!$R16,0,K$2)</f>
        <v>0.63206312779999996</v>
      </c>
      <c r="L18">
        <f ca="1">OFFSET(Baza!$R16,0,L$2)</f>
        <v>6.6820462689999998</v>
      </c>
      <c r="M18">
        <f ca="1">OFFSET(Baza!$R16,0,M$2)</f>
        <v>6.5980273890000003</v>
      </c>
      <c r="N18">
        <f ca="1">OFFSET(Baza!$R16,0,N$2)</f>
        <v>3.989378098</v>
      </c>
      <c r="O18">
        <f ca="1">OFFSET(Baza!$R16,0,O$2)</f>
        <v>21.114230299999999</v>
      </c>
    </row>
    <row r="19" spans="1:15" x14ac:dyDescent="0.2">
      <c r="A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2" width="14.5" bestFit="1" customWidth="1"/>
    <col min="3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</cols>
  <sheetData>
    <row r="1" spans="1:16" x14ac:dyDescent="0.2">
      <c r="B1" t="str">
        <f>B4</f>
        <v>Pp[Średnia]</v>
      </c>
      <c r="C1" t="str">
        <f t="shared" ref="C1:O1" ca="1" si="0">C4</f>
        <v>Pv[Średnia]</v>
      </c>
      <c r="D1" t="str">
        <f t="shared" ca="1" si="0"/>
        <v>Pz[Średnia]</v>
      </c>
      <c r="E1" t="str">
        <f t="shared" ca="1" si="0"/>
        <v>Pc (Brak uśredniania (pojedyncza wartość))[Średnia]</v>
      </c>
      <c r="F1" t="str">
        <f t="shared" ca="1" si="0"/>
        <v>Pt[Średnia]</v>
      </c>
      <c r="G1" t="str">
        <f t="shared" ca="1" si="0"/>
        <v>Pa[Średnia]</v>
      </c>
      <c r="H1" t="str">
        <f t="shared" ca="1" si="0"/>
        <v>Pq[Średnia]</v>
      </c>
      <c r="I1" t="str">
        <f t="shared" ca="1" si="0"/>
        <v>Psk[Średnia]</v>
      </c>
      <c r="J1" t="str">
        <f t="shared" ca="1" si="0"/>
        <v>Pku[Średnia]</v>
      </c>
      <c r="K1" t="str">
        <f t="shared" ca="1" si="0"/>
        <v>PSm (Brak uśredniania (pojedyncza wartość))[Średnia]</v>
      </c>
      <c r="L1" t="str">
        <f t="shared" ca="1" si="0"/>
        <v>Pdq[Średnia]</v>
      </c>
      <c r="M1" t="str">
        <f t="shared" ca="1" si="0"/>
        <v>Pmr (c = 1 µm poniżej najwyższego wypiętrzenia)[Średnia]</v>
      </c>
      <c r="N1" t="str">
        <f t="shared" ca="1" si="0"/>
        <v>Pdc (p = 20%, q = 80%)[Średnia]</v>
      </c>
      <c r="O1" t="str">
        <f t="shared" ca="1" si="0"/>
        <v>PPc (Brak uśredniania (pojedyncza wartość))[Średnia]</v>
      </c>
    </row>
    <row r="2" spans="1:16" x14ac:dyDescent="0.2">
      <c r="B2" s="3" t="s">
        <v>257</v>
      </c>
      <c r="C2" s="3">
        <v>4</v>
      </c>
      <c r="D2" s="3">
        <f>C2+4</f>
        <v>8</v>
      </c>
      <c r="E2" s="3">
        <f t="shared" ref="E2:P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</row>
    <row r="3" spans="1:16" x14ac:dyDescent="0.2">
      <c r="B3">
        <f>Baza!BV1</f>
        <v>41</v>
      </c>
      <c r="C3">
        <f ca="1">OFFSET(Baza!$BV1,0,C$2)</f>
        <v>41</v>
      </c>
      <c r="D3">
        <f ca="1">OFFSET(Baza!$BV1,0,D$2)</f>
        <v>41</v>
      </c>
      <c r="E3">
        <f ca="1">OFFSET(Baza!$BV1,0,E$2)</f>
        <v>41</v>
      </c>
      <c r="F3">
        <f ca="1">OFFSET(Baza!$BV1,0,F$2)</f>
        <v>41</v>
      </c>
      <c r="G3">
        <f ca="1">OFFSET(Baza!$BV1,0,G$2)</f>
        <v>41</v>
      </c>
      <c r="H3">
        <f ca="1">OFFSET(Baza!$BV1,0,H$2)</f>
        <v>41</v>
      </c>
      <c r="I3">
        <f ca="1">OFFSET(Baza!$BV1,0,I$2)</f>
        <v>41</v>
      </c>
      <c r="J3">
        <f ca="1">OFFSET(Baza!$BV1,0,J$2)</f>
        <v>41</v>
      </c>
      <c r="K3">
        <f ca="1">OFFSET(Baza!$BV1,0,K$2)</f>
        <v>41</v>
      </c>
      <c r="L3">
        <f ca="1">OFFSET(Baza!$BV1,0,L$2)</f>
        <v>41</v>
      </c>
      <c r="M3">
        <f ca="1">OFFSET(Baza!$BV1,0,M$2)</f>
        <v>41</v>
      </c>
      <c r="N3">
        <f ca="1">OFFSET(Baza!$BV1,0,N$2)</f>
        <v>41</v>
      </c>
      <c r="O3">
        <f ca="1">OFFSET(Baza!$BV1,0,O$2)</f>
        <v>41</v>
      </c>
    </row>
    <row r="4" spans="1:16" x14ac:dyDescent="0.2">
      <c r="B4" t="str">
        <f>Baza!BV2</f>
        <v>Pp[Średnia]</v>
      </c>
      <c r="C4" t="str">
        <f ca="1">OFFSET(Baza!$BV2,0,C$2)</f>
        <v>Pv[Średnia]</v>
      </c>
      <c r="D4" t="str">
        <f ca="1">OFFSET(Baza!$BV2,0,D$2)</f>
        <v>Pz[Średnia]</v>
      </c>
      <c r="E4" t="str">
        <f ca="1">OFFSET(Baza!$BV2,0,E$2)</f>
        <v>Pc (Brak uśredniania (pojedyncza wartość))[Średnia]</v>
      </c>
      <c r="F4" t="str">
        <f ca="1">OFFSET(Baza!$BV2,0,F$2)</f>
        <v>Pt[Średnia]</v>
      </c>
      <c r="G4" t="str">
        <f ca="1">OFFSET(Baza!$BV2,0,G$2)</f>
        <v>Pa[Średnia]</v>
      </c>
      <c r="H4" t="str">
        <f ca="1">OFFSET(Baza!$BV2,0,H$2)</f>
        <v>Pq[Średnia]</v>
      </c>
      <c r="I4" t="str">
        <f ca="1">OFFSET(Baza!$BV2,0,I$2)</f>
        <v>Psk[Średnia]</v>
      </c>
      <c r="J4" t="str">
        <f ca="1">OFFSET(Baza!$BV2,0,J$2)</f>
        <v>Pku[Średnia]</v>
      </c>
      <c r="K4" t="str">
        <f ca="1">OFFSET(Baza!$BV2,0,K$2)</f>
        <v>PSm (Brak uśredniania (pojedyncza wartość))[Średnia]</v>
      </c>
      <c r="L4" t="str">
        <f ca="1">OFFSET(Baza!$BV2,0,L$2)</f>
        <v>Pdq[Średnia]</v>
      </c>
      <c r="M4" t="str">
        <f ca="1">OFFSET(Baza!$BV2,0,M$2)</f>
        <v>Pmr (c = 1 µm poniżej najwyższego wypiętrzenia)[Średnia]</v>
      </c>
      <c r="N4" t="str">
        <f ca="1">OFFSET(Baza!$BV2,0,N$2)</f>
        <v>Pdc (p = 20%, q = 80%)[Średnia]</v>
      </c>
      <c r="O4" t="str">
        <f ca="1">OFFSET(Baza!$BV2,0,O$2)</f>
        <v>PPc (Brak uśredniania (pojedyncza wartość))[Średnia]</v>
      </c>
    </row>
    <row r="5" spans="1:16" x14ac:dyDescent="0.2">
      <c r="B5" t="str">
        <f>Baza!BV3</f>
        <v>µm</v>
      </c>
      <c r="C5" t="str">
        <f ca="1">OFFSET(Baza!$BV3,0,C$2)</f>
        <v>µm</v>
      </c>
      <c r="D5" t="str">
        <f ca="1">OFFSET(Baza!$BV3,0,D$2)</f>
        <v>µm</v>
      </c>
      <c r="E5" t="str">
        <f ca="1">OFFSET(Baza!$BV3,0,E$2)</f>
        <v>µm</v>
      </c>
      <c r="F5" t="str">
        <f ca="1">OFFSET(Baza!$BV3,0,F$2)</f>
        <v>µm</v>
      </c>
      <c r="G5" t="str">
        <f ca="1">OFFSET(Baza!$BV3,0,G$2)</f>
        <v>µm</v>
      </c>
      <c r="H5" t="str">
        <f ca="1">OFFSET(Baza!$BV3,0,H$2)</f>
        <v>µm</v>
      </c>
      <c r="I5" t="str">
        <f ca="1">OFFSET(Baza!$BV3,0,I$2)</f>
        <v>&lt;no unit&gt;</v>
      </c>
      <c r="J5" t="str">
        <f ca="1">OFFSET(Baza!$BV3,0,J$2)</f>
        <v>&lt;no unit&gt;</v>
      </c>
      <c r="K5" t="str">
        <f ca="1">OFFSET(Baza!$BV3,0,K$2)</f>
        <v>mm</v>
      </c>
      <c r="L5" t="str">
        <f ca="1">OFFSET(Baza!$BV3,0,L$2)</f>
        <v>°</v>
      </c>
      <c r="M5" t="str">
        <f ca="1">OFFSET(Baza!$BV3,0,M$2)</f>
        <v>%</v>
      </c>
      <c r="N5" t="str">
        <f ca="1">OFFSET(Baza!$BV3,0,N$2)</f>
        <v>µm</v>
      </c>
      <c r="O5" t="str">
        <f ca="1">OFFSET(Baza!$BV3,0,O$2)</f>
        <v>1/cm</v>
      </c>
    </row>
    <row r="6" spans="1:16" x14ac:dyDescent="0.2">
      <c r="A6" s="1" t="s">
        <v>244</v>
      </c>
      <c r="B6">
        <f>Baza!BV4</f>
        <v>4.9570603379999998</v>
      </c>
      <c r="C6">
        <f ca="1">OFFSET(Baza!$BV4,0,C$2)</f>
        <v>4.9675821879999997</v>
      </c>
      <c r="D6">
        <f ca="1">OFFSET(Baza!$BV4,0,D$2)</f>
        <v>9.9246425259999995</v>
      </c>
      <c r="E6">
        <f ca="1">OFFSET(Baza!$BV4,0,E$2)</f>
        <v>3.013724029</v>
      </c>
      <c r="F6">
        <f ca="1">OFFSET(Baza!$BV4,0,F$2)</f>
        <v>9.9246425259999995</v>
      </c>
      <c r="G6">
        <f ca="1">OFFSET(Baza!$BV4,0,G$2)</f>
        <v>1.8181648930000001</v>
      </c>
      <c r="H6">
        <f ca="1">OFFSET(Baza!$BV4,0,H$2)</f>
        <v>2.1913234070000001</v>
      </c>
      <c r="I6">
        <f ca="1">OFFSET(Baza!$BV4,0,I$2)</f>
        <v>8.2308976300000003E-2</v>
      </c>
      <c r="J6">
        <f ca="1">OFFSET(Baza!$BV4,0,J$2)</f>
        <v>2.4894744869999998</v>
      </c>
      <c r="K6">
        <f ca="1">OFFSET(Baza!$BV4,0,K$2)</f>
        <v>0.30278398560000003</v>
      </c>
      <c r="L6">
        <f ca="1">OFFSET(Baza!$BV4,0,L$2)</f>
        <v>6.249605173</v>
      </c>
      <c r="M6">
        <f ca="1">OFFSET(Baza!$BV4,0,M$2)</f>
        <v>5.2849801269999999</v>
      </c>
      <c r="N6">
        <f ca="1">OFFSET(Baza!$BV4,0,N$2)</f>
        <v>4.0941768180000002</v>
      </c>
      <c r="O6">
        <f ca="1">OFFSET(Baza!$BV4,0,O$2)</f>
        <v>38.773763129999999</v>
      </c>
    </row>
    <row r="7" spans="1:16" x14ac:dyDescent="0.2">
      <c r="A7" s="1" t="s">
        <v>245</v>
      </c>
      <c r="B7">
        <f>Baza!BV5</f>
        <v>5.0169104940000002</v>
      </c>
      <c r="C7">
        <f ca="1">OFFSET(Baza!$BV5,0,C$2)</f>
        <v>5.3648699799999999</v>
      </c>
      <c r="D7">
        <f ca="1">OFFSET(Baza!$BV5,0,D$2)</f>
        <v>10.381780470000001</v>
      </c>
      <c r="E7">
        <f ca="1">OFFSET(Baza!$BV5,0,E$2)</f>
        <v>3.168937895</v>
      </c>
      <c r="F7">
        <f ca="1">OFFSET(Baza!$BV5,0,F$2)</f>
        <v>10.381780470000001</v>
      </c>
      <c r="G7">
        <f ca="1">OFFSET(Baza!$BV5,0,G$2)</f>
        <v>1.864861656</v>
      </c>
      <c r="H7">
        <f ca="1">OFFSET(Baza!$BV5,0,H$2)</f>
        <v>2.2470959270000002</v>
      </c>
      <c r="I7">
        <f ca="1">OFFSET(Baza!$BV5,0,I$2)</f>
        <v>7.8362143100000003E-2</v>
      </c>
      <c r="J7">
        <f ca="1">OFFSET(Baza!$BV5,0,J$2)</f>
        <v>2.4959279909999998</v>
      </c>
      <c r="K7">
        <f ca="1">OFFSET(Baza!$BV5,0,K$2)</f>
        <v>0.27573350679999997</v>
      </c>
      <c r="L7">
        <f ca="1">OFFSET(Baza!$BV5,0,L$2)</f>
        <v>6.6972336940000003</v>
      </c>
      <c r="M7">
        <f ca="1">OFFSET(Baza!$BV5,0,M$2)</f>
        <v>5.411831276</v>
      </c>
      <c r="N7">
        <f ca="1">OFFSET(Baza!$BV5,0,N$2)</f>
        <v>4.1966503069999996</v>
      </c>
      <c r="O7">
        <f ca="1">OFFSET(Baza!$BV5,0,O$2)</f>
        <v>41.77727908</v>
      </c>
    </row>
    <row r="8" spans="1:16" x14ac:dyDescent="0.2">
      <c r="A8" s="1" t="s">
        <v>246</v>
      </c>
      <c r="B8">
        <f>Baza!BV6</f>
        <v>5.1329671259999996</v>
      </c>
      <c r="C8">
        <f ca="1">OFFSET(Baza!$BV6,0,C$2)</f>
        <v>5.7279748850000001</v>
      </c>
      <c r="D8">
        <f ca="1">OFFSET(Baza!$BV6,0,D$2)</f>
        <v>10.86094201</v>
      </c>
      <c r="E8">
        <f ca="1">OFFSET(Baza!$BV6,0,E$2)</f>
        <v>3.2439300750000002</v>
      </c>
      <c r="F8">
        <f ca="1">OFFSET(Baza!$BV6,0,F$2)</f>
        <v>10.86094201</v>
      </c>
      <c r="G8">
        <f ca="1">OFFSET(Baza!$BV6,0,G$2)</f>
        <v>1.899412825</v>
      </c>
      <c r="H8">
        <f ca="1">OFFSET(Baza!$BV6,0,H$2)</f>
        <v>2.2930012749999999</v>
      </c>
      <c r="I8">
        <f ca="1">OFFSET(Baza!$BV6,0,I$2)</f>
        <v>5.6117516989999998E-2</v>
      </c>
      <c r="J8">
        <f ca="1">OFFSET(Baza!$BV6,0,J$2)</f>
        <v>2.514320412</v>
      </c>
      <c r="K8">
        <f ca="1">OFFSET(Baza!$BV6,0,K$2)</f>
        <v>0.23630496819999999</v>
      </c>
      <c r="L8">
        <f ca="1">OFFSET(Baza!$BV6,0,L$2)</f>
        <v>7.550277736</v>
      </c>
      <c r="M8">
        <f ca="1">OFFSET(Baza!$BV6,0,M$2)</f>
        <v>4.8726820569999996</v>
      </c>
      <c r="N8">
        <f ca="1">OFFSET(Baza!$BV6,0,N$2)</f>
        <v>4.2706644249999997</v>
      </c>
      <c r="O8">
        <f ca="1">OFFSET(Baza!$BV6,0,O$2)</f>
        <v>47.693514929999999</v>
      </c>
    </row>
    <row r="9" spans="1:16" x14ac:dyDescent="0.2">
      <c r="A9" s="1" t="s">
        <v>247</v>
      </c>
      <c r="B9">
        <f>Baza!BV7</f>
        <v>5.2789389499999997</v>
      </c>
      <c r="C9">
        <f ca="1">OFFSET(Baza!$BV7,0,C$2)</f>
        <v>5.3134344340000004</v>
      </c>
      <c r="D9">
        <f ca="1">OFFSET(Baza!$BV7,0,D$2)</f>
        <v>10.59237338</v>
      </c>
      <c r="E9">
        <f ca="1">OFFSET(Baza!$BV7,0,E$2)</f>
        <v>2.977241019</v>
      </c>
      <c r="F9">
        <f ca="1">OFFSET(Baza!$BV7,0,F$2)</f>
        <v>10.59237338</v>
      </c>
      <c r="G9">
        <f ca="1">OFFSET(Baza!$BV7,0,G$2)</f>
        <v>1.8496475290000001</v>
      </c>
      <c r="H9">
        <f ca="1">OFFSET(Baza!$BV7,0,H$2)</f>
        <v>2.2315699530000002</v>
      </c>
      <c r="I9">
        <f ca="1">OFFSET(Baza!$BV7,0,I$2)</f>
        <v>7.3754427009999998E-2</v>
      </c>
      <c r="J9">
        <f ca="1">OFFSET(Baza!$BV7,0,J$2)</f>
        <v>2.5040355490000001</v>
      </c>
      <c r="K9">
        <f ca="1">OFFSET(Baza!$BV7,0,K$2)</f>
        <v>0.19899962669999999</v>
      </c>
      <c r="L9">
        <f ca="1">OFFSET(Baza!$BV7,0,L$2)</f>
        <v>9.8552677729999996</v>
      </c>
      <c r="M9">
        <f ca="1">OFFSET(Baza!$BV7,0,M$2)</f>
        <v>3.4990130210000001</v>
      </c>
      <c r="N9">
        <f ca="1">OFFSET(Baza!$BV7,0,N$2)</f>
        <v>4.1572590260000002</v>
      </c>
      <c r="O9">
        <f ca="1">OFFSET(Baza!$BV7,0,O$2)</f>
        <v>58.695473419999999</v>
      </c>
    </row>
    <row r="10" spans="1:16" x14ac:dyDescent="0.2">
      <c r="A10" s="1" t="s">
        <v>248</v>
      </c>
      <c r="B10">
        <f>Baza!BV8</f>
        <v>5.2071097699999997</v>
      </c>
      <c r="C10">
        <f ca="1">OFFSET(Baza!$BV8,0,C$2)</f>
        <v>5.7815146930000001</v>
      </c>
      <c r="D10">
        <f ca="1">OFFSET(Baza!$BV8,0,D$2)</f>
        <v>10.98862446</v>
      </c>
      <c r="E10">
        <f ca="1">OFFSET(Baza!$BV8,0,E$2)</f>
        <v>3.1244370990000001</v>
      </c>
      <c r="F10">
        <f ca="1">OFFSET(Baza!$BV8,0,F$2)</f>
        <v>10.98862446</v>
      </c>
      <c r="G10">
        <f ca="1">OFFSET(Baza!$BV8,0,G$2)</f>
        <v>1.88950953</v>
      </c>
      <c r="H10">
        <f ca="1">OFFSET(Baza!$BV8,0,H$2)</f>
        <v>2.2807940640000002</v>
      </c>
      <c r="I10">
        <f ca="1">OFFSET(Baza!$BV8,0,I$2)</f>
        <v>5.8510203779999999E-2</v>
      </c>
      <c r="J10">
        <f ca="1">OFFSET(Baza!$BV8,0,J$2)</f>
        <v>2.5047521380000002</v>
      </c>
      <c r="K10">
        <f ca="1">OFFSET(Baza!$BV8,0,K$2)</f>
        <v>0.17939447920000001</v>
      </c>
      <c r="L10">
        <f ca="1">OFFSET(Baza!$BV8,0,L$2)</f>
        <v>10.28057858</v>
      </c>
      <c r="M10">
        <f ca="1">OFFSET(Baza!$BV8,0,M$2)</f>
        <v>4.2493279199999998</v>
      </c>
      <c r="N10">
        <f ca="1">OFFSET(Baza!$BV8,0,N$2)</f>
        <v>4.2546023550000003</v>
      </c>
      <c r="O10">
        <f ca="1">OFFSET(Baza!$BV8,0,O$2)</f>
        <v>63.396156679999997</v>
      </c>
    </row>
    <row r="11" spans="1:16" x14ac:dyDescent="0.2">
      <c r="A11" s="1" t="s">
        <v>249</v>
      </c>
      <c r="B11">
        <f>Baza!BV9</f>
        <v>5.3519666560000001</v>
      </c>
      <c r="C11">
        <f ca="1">OFFSET(Baza!$BV9,0,C$2)</f>
        <v>6.1696596540000002</v>
      </c>
      <c r="D11">
        <f ca="1">OFFSET(Baza!$BV9,0,D$2)</f>
        <v>11.52162631</v>
      </c>
      <c r="E11">
        <f ca="1">OFFSET(Baza!$BV9,0,E$2)</f>
        <v>3.3428198139999998</v>
      </c>
      <c r="F11">
        <f ca="1">OFFSET(Baza!$BV9,0,F$2)</f>
        <v>11.52162631</v>
      </c>
      <c r="G11">
        <f ca="1">OFFSET(Baza!$BV9,0,G$2)</f>
        <v>1.936539032</v>
      </c>
      <c r="H11">
        <f ca="1">OFFSET(Baza!$BV9,0,H$2)</f>
        <v>2.3418120079999998</v>
      </c>
      <c r="I11">
        <f ca="1">OFFSET(Baza!$BV9,0,I$2)</f>
        <v>3.2218199939999997E-2</v>
      </c>
      <c r="J11">
        <f ca="1">OFFSET(Baza!$BV9,0,J$2)</f>
        <v>2.526618681</v>
      </c>
      <c r="K11">
        <f ca="1">OFFSET(Baza!$BV9,0,K$2)</f>
        <v>0.1635667388</v>
      </c>
      <c r="L11">
        <f ca="1">OFFSET(Baza!$BV9,0,L$2)</f>
        <v>11.49494007</v>
      </c>
      <c r="M11">
        <f ca="1">OFFSET(Baza!$BV9,0,M$2)</f>
        <v>3.94620996</v>
      </c>
      <c r="N11">
        <f ca="1">OFFSET(Baza!$BV9,0,N$2)</f>
        <v>4.3470536099999997</v>
      </c>
      <c r="O11">
        <f ca="1">OFFSET(Baza!$BV9,0,O$2)</f>
        <v>69.148537829999995</v>
      </c>
    </row>
    <row r="12" spans="1:16" x14ac:dyDescent="0.2">
      <c r="A12" s="1" t="s">
        <v>250</v>
      </c>
      <c r="B12">
        <f>Baza!BV10</f>
        <v>4.8533134020000004</v>
      </c>
      <c r="C12">
        <f ca="1">OFFSET(Baza!$BV10,0,C$2)</f>
        <v>5.0990747819999998</v>
      </c>
      <c r="D12">
        <f ca="1">OFFSET(Baza!$BV10,0,D$2)</f>
        <v>9.9523881840000001</v>
      </c>
      <c r="E12">
        <f ca="1">OFFSET(Baza!$BV10,0,E$2)</f>
        <v>3.1683376480000001</v>
      </c>
      <c r="F12">
        <f ca="1">OFFSET(Baza!$BV10,0,F$2)</f>
        <v>9.9523881840000001</v>
      </c>
      <c r="G12">
        <f ca="1">OFFSET(Baza!$BV10,0,G$2)</f>
        <v>1.82583753</v>
      </c>
      <c r="H12">
        <f ca="1">OFFSET(Baza!$BV10,0,H$2)</f>
        <v>2.2015635530000002</v>
      </c>
      <c r="I12">
        <f ca="1">OFFSET(Baza!$BV10,0,I$2)</f>
        <v>6.5320131739999995E-2</v>
      </c>
      <c r="J12">
        <f ca="1">OFFSET(Baza!$BV10,0,J$2)</f>
        <v>2.4702238740000002</v>
      </c>
      <c r="K12">
        <f ca="1">OFFSET(Baza!$BV10,0,K$2)</f>
        <v>0.35630554450000002</v>
      </c>
      <c r="L12">
        <f ca="1">OFFSET(Baza!$BV10,0,L$2)</f>
        <v>4.3507702850000003</v>
      </c>
      <c r="M12">
        <f ca="1">OFFSET(Baza!$BV10,0,M$2)</f>
        <v>5.6441965979999997</v>
      </c>
      <c r="N12">
        <f ca="1">OFFSET(Baza!$BV10,0,N$2)</f>
        <v>4.0837215210000002</v>
      </c>
      <c r="O12">
        <f ca="1">OFFSET(Baza!$BV10,0,O$2)</f>
        <v>33.50666184</v>
      </c>
    </row>
    <row r="13" spans="1:16" x14ac:dyDescent="0.2">
      <c r="A13" s="1" t="s">
        <v>251</v>
      </c>
      <c r="B13">
        <f>Baza!BV11</f>
        <v>4.5950884619999997</v>
      </c>
      <c r="C13">
        <f ca="1">OFFSET(Baza!$BV11,0,C$2)</f>
        <v>4.7513136859999996</v>
      </c>
      <c r="D13">
        <f ca="1">OFFSET(Baza!$BV11,0,D$2)</f>
        <v>9.3464021469999992</v>
      </c>
      <c r="E13">
        <f ca="1">OFFSET(Baza!$BV11,0,E$2)</f>
        <v>3.2560524150000001</v>
      </c>
      <c r="F13">
        <f ca="1">OFFSET(Baza!$BV11,0,F$2)</f>
        <v>9.3464021469999992</v>
      </c>
      <c r="G13">
        <f ca="1">OFFSET(Baza!$BV11,0,G$2)</f>
        <v>1.7750546739999999</v>
      </c>
      <c r="H13">
        <f ca="1">OFFSET(Baza!$BV11,0,H$2)</f>
        <v>2.1377269390000002</v>
      </c>
      <c r="I13">
        <f ca="1">OFFSET(Baza!$BV11,0,I$2)</f>
        <v>5.5312442169999997E-2</v>
      </c>
      <c r="J13">
        <f ca="1">OFFSET(Baza!$BV11,0,J$2)</f>
        <v>2.4769968549999999</v>
      </c>
      <c r="K13">
        <f ca="1">OFFSET(Baza!$BV11,0,K$2)</f>
        <v>0.46573327269999998</v>
      </c>
      <c r="L13">
        <f ca="1">OFFSET(Baza!$BV11,0,L$2)</f>
        <v>3.5768805349999999</v>
      </c>
      <c r="M13">
        <f ca="1">OFFSET(Baza!$BV11,0,M$2)</f>
        <v>6.6766413399999998</v>
      </c>
      <c r="N13">
        <f ca="1">OFFSET(Baza!$BV11,0,N$2)</f>
        <v>3.9929543779999999</v>
      </c>
      <c r="O13">
        <f ca="1">OFFSET(Baza!$BV11,0,O$2)</f>
        <v>25.932850680000001</v>
      </c>
    </row>
    <row r="14" spans="1:16" x14ac:dyDescent="0.2">
      <c r="A14" s="1" t="s">
        <v>252</v>
      </c>
      <c r="B14">
        <f>Baza!BV12</f>
        <v>4.6603930939999998</v>
      </c>
      <c r="C14">
        <f ca="1">OFFSET(Baza!$BV12,0,C$2)</f>
        <v>4.8545304170000003</v>
      </c>
      <c r="D14">
        <f ca="1">OFFSET(Baza!$BV12,0,D$2)</f>
        <v>9.5149235109999992</v>
      </c>
      <c r="E14">
        <f ca="1">OFFSET(Baza!$BV12,0,E$2)</f>
        <v>3.1949865000000002</v>
      </c>
      <c r="F14">
        <f ca="1">OFFSET(Baza!$BV12,0,F$2)</f>
        <v>9.5149235109999992</v>
      </c>
      <c r="G14">
        <f ca="1">OFFSET(Baza!$BV12,0,G$2)</f>
        <v>1.7599795300000001</v>
      </c>
      <c r="H14">
        <f ca="1">OFFSET(Baza!$BV12,0,H$2)</f>
        <v>2.1235787099999999</v>
      </c>
      <c r="I14">
        <f ca="1">OFFSET(Baza!$BV12,0,I$2)</f>
        <v>2.0914509479999999E-2</v>
      </c>
      <c r="J14">
        <f ca="1">OFFSET(Baza!$BV12,0,J$2)</f>
        <v>2.4965267290000002</v>
      </c>
      <c r="K14">
        <f ca="1">OFFSET(Baza!$BV12,0,K$2)</f>
        <v>0.40069654840000002</v>
      </c>
      <c r="L14">
        <f ca="1">OFFSET(Baza!$BV12,0,L$2)</f>
        <v>4.0213651969999997</v>
      </c>
      <c r="M14">
        <f ca="1">OFFSET(Baza!$BV12,0,M$2)</f>
        <v>5.149771468</v>
      </c>
      <c r="N14">
        <f ca="1">OFFSET(Baza!$BV12,0,N$2)</f>
        <v>3.9372264769999998</v>
      </c>
      <c r="O14">
        <f ca="1">OFFSET(Baza!$BV12,0,O$2)</f>
        <v>30.800001980000001</v>
      </c>
    </row>
    <row r="15" spans="1:16" x14ac:dyDescent="0.2">
      <c r="A15" s="1" t="s">
        <v>253</v>
      </c>
      <c r="B15">
        <f>Baza!BV13</f>
        <v>4.8781355819999996</v>
      </c>
      <c r="C15">
        <f ca="1">OFFSET(Baza!$BV13,0,C$2)</f>
        <v>5.0915992599999997</v>
      </c>
      <c r="D15">
        <f ca="1">OFFSET(Baza!$BV13,0,D$2)</f>
        <v>9.9697348419999994</v>
      </c>
      <c r="E15">
        <f ca="1">OFFSET(Baza!$BV13,0,E$2)</f>
        <v>3.309503796</v>
      </c>
      <c r="F15">
        <f ca="1">OFFSET(Baza!$BV13,0,F$2)</f>
        <v>9.9697348419999994</v>
      </c>
      <c r="G15">
        <f ca="1">OFFSET(Baza!$BV13,0,G$2)</f>
        <v>1.824292217</v>
      </c>
      <c r="H15">
        <f ca="1">OFFSET(Baza!$BV13,0,H$2)</f>
        <v>2.1951027939999999</v>
      </c>
      <c r="I15">
        <f ca="1">OFFSET(Baza!$BV13,0,I$2)</f>
        <v>6.7599179950000005E-2</v>
      </c>
      <c r="J15">
        <f ca="1">OFFSET(Baza!$BV13,0,J$2)</f>
        <v>2.4515692690000002</v>
      </c>
      <c r="K15">
        <f ca="1">OFFSET(Baza!$BV13,0,K$2)</f>
        <v>0.2588940341</v>
      </c>
      <c r="L15">
        <f ca="1">OFFSET(Baza!$BV13,0,L$2)</f>
        <v>10.519337439999999</v>
      </c>
      <c r="M15">
        <f ca="1">OFFSET(Baza!$BV13,0,M$2)</f>
        <v>4.9020527569999999</v>
      </c>
      <c r="N15">
        <f ca="1">OFFSET(Baza!$BV13,0,N$2)</f>
        <v>4.074315393</v>
      </c>
      <c r="O15">
        <f ca="1">OFFSET(Baza!$BV13,0,O$2)</f>
        <v>44.526739300000003</v>
      </c>
    </row>
    <row r="16" spans="1:16" x14ac:dyDescent="0.2">
      <c r="A16" s="1" t="s">
        <v>254</v>
      </c>
      <c r="B16">
        <f>Baza!BV14</f>
        <v>4.5718974699999997</v>
      </c>
      <c r="C16">
        <f ca="1">OFFSET(Baza!$BV14,0,C$2)</f>
        <v>4.5622754189999997</v>
      </c>
      <c r="D16">
        <f ca="1">OFFSET(Baza!$BV14,0,D$2)</f>
        <v>9.1341728890000002</v>
      </c>
      <c r="E16">
        <f ca="1">OFFSET(Baza!$BV14,0,E$2)</f>
        <v>3.8414861419999999</v>
      </c>
      <c r="F16">
        <f ca="1">OFFSET(Baza!$BV14,0,F$2)</f>
        <v>9.1341728890000002</v>
      </c>
      <c r="G16">
        <f ca="1">OFFSET(Baza!$BV14,0,G$2)</f>
        <v>1.7562400579999999</v>
      </c>
      <c r="H16">
        <f ca="1">OFFSET(Baza!$BV14,0,H$2)</f>
        <v>2.1206168660000002</v>
      </c>
      <c r="I16">
        <f ca="1">OFFSET(Baza!$BV14,0,I$2)</f>
        <v>7.0895057760000005E-2</v>
      </c>
      <c r="J16">
        <f ca="1">OFFSET(Baza!$BV14,0,J$2)</f>
        <v>2.4782526319999998</v>
      </c>
      <c r="K16">
        <f ca="1">OFFSET(Baza!$BV14,0,K$2)</f>
        <v>0.59518234759999999</v>
      </c>
      <c r="L16">
        <f ca="1">OFFSET(Baza!$BV14,0,L$2)</f>
        <v>6.5778322500000002</v>
      </c>
      <c r="M16">
        <f ca="1">OFFSET(Baza!$BV14,0,M$2)</f>
        <v>6.8992098019999997</v>
      </c>
      <c r="N16">
        <f ca="1">OFFSET(Baza!$BV14,0,N$2)</f>
        <v>3.9600286069999999</v>
      </c>
      <c r="O16">
        <f ca="1">OFFSET(Baza!$BV14,0,O$2)</f>
        <v>21.591499209999998</v>
      </c>
    </row>
    <row r="17" spans="1:15" x14ac:dyDescent="0.2">
      <c r="A17" s="1" t="s">
        <v>255</v>
      </c>
      <c r="B17">
        <f>Baza!BV15</f>
        <v>4.6926590790000002</v>
      </c>
      <c r="C17">
        <f ca="1">OFFSET(Baza!$BV15,0,C$2)</f>
        <v>4.6381293640000001</v>
      </c>
      <c r="D17">
        <f ca="1">OFFSET(Baza!$BV15,0,D$2)</f>
        <v>9.3307884419999993</v>
      </c>
      <c r="E17">
        <f ca="1">OFFSET(Baza!$BV15,0,E$2)</f>
        <v>3.6520257979999999</v>
      </c>
      <c r="F17">
        <f ca="1">OFFSET(Baza!$BV15,0,F$2)</f>
        <v>9.3307884419999993</v>
      </c>
      <c r="G17">
        <f ca="1">OFFSET(Baza!$BV15,0,G$2)</f>
        <v>1.7619173539999999</v>
      </c>
      <c r="H17">
        <f ca="1">OFFSET(Baza!$BV15,0,H$2)</f>
        <v>2.1257880249999999</v>
      </c>
      <c r="I17">
        <f ca="1">OFFSET(Baza!$BV15,0,I$2)</f>
        <v>6.3132327459999998E-2</v>
      </c>
      <c r="J17">
        <f ca="1">OFFSET(Baza!$BV15,0,J$2)</f>
        <v>2.4728687649999999</v>
      </c>
      <c r="K17">
        <f ca="1">OFFSET(Baza!$BV15,0,K$2)</f>
        <v>0.53592713000000003</v>
      </c>
      <c r="L17">
        <f ca="1">OFFSET(Baza!$BV15,0,L$2)</f>
        <v>5.8325053650000003</v>
      </c>
      <c r="M17">
        <f ca="1">OFFSET(Baza!$BV15,0,M$2)</f>
        <v>6.0695409769999999</v>
      </c>
      <c r="N17">
        <f ca="1">OFFSET(Baza!$BV15,0,N$2)</f>
        <v>3.9439260470000002</v>
      </c>
      <c r="O17">
        <f ca="1">OFFSET(Baza!$BV15,0,O$2)</f>
        <v>23.47614153</v>
      </c>
    </row>
    <row r="18" spans="1:15" x14ac:dyDescent="0.2">
      <c r="A18" s="1" t="s">
        <v>256</v>
      </c>
      <c r="B18">
        <f>Baza!BV16</f>
        <v>4.5714742360000002</v>
      </c>
      <c r="C18">
        <f ca="1">OFFSET(Baza!$BV16,0,C$2)</f>
        <v>4.5660787110000003</v>
      </c>
      <c r="D18">
        <f ca="1">OFFSET(Baza!$BV16,0,D$2)</f>
        <v>9.1375529469999996</v>
      </c>
      <c r="E18">
        <f ca="1">OFFSET(Baza!$BV16,0,E$2)</f>
        <v>3.938778396</v>
      </c>
      <c r="F18">
        <f ca="1">OFFSET(Baza!$BV16,0,F$2)</f>
        <v>9.1375529469999996</v>
      </c>
      <c r="G18">
        <f ca="1">OFFSET(Baza!$BV16,0,G$2)</f>
        <v>1.7608952280000001</v>
      </c>
      <c r="H18">
        <f ca="1">OFFSET(Baza!$BV16,0,H$2)</f>
        <v>2.124929748</v>
      </c>
      <c r="I18">
        <f ca="1">OFFSET(Baza!$BV16,0,I$2)</f>
        <v>6.7880923319999995E-2</v>
      </c>
      <c r="J18">
        <f ca="1">OFFSET(Baza!$BV16,0,J$2)</f>
        <v>2.4659426889999998</v>
      </c>
      <c r="K18">
        <f ca="1">OFFSET(Baza!$BV16,0,K$2)</f>
        <v>0.62421277460000002</v>
      </c>
      <c r="L18">
        <f ca="1">OFFSET(Baza!$BV16,0,L$2)</f>
        <v>6.5479654529999998</v>
      </c>
      <c r="M18">
        <f ca="1">OFFSET(Baza!$BV16,0,M$2)</f>
        <v>7.0240949270000002</v>
      </c>
      <c r="N18">
        <f ca="1">OFFSET(Baza!$BV16,0,N$2)</f>
        <v>3.9796279889999999</v>
      </c>
      <c r="O18">
        <f ca="1">OFFSET(Baza!$BV16,0,O$2)</f>
        <v>21.396143219999999</v>
      </c>
    </row>
    <row r="19" spans="1:15" x14ac:dyDescent="0.2">
      <c r="A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topLeftCell="Q1" workbookViewId="0">
      <selection activeCell="U1" sqref="U1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  <c r="U1" t="s">
        <v>273</v>
      </c>
    </row>
    <row r="2" spans="1:23" x14ac:dyDescent="0.2">
      <c r="B2" s="3" t="s">
        <v>257</v>
      </c>
      <c r="C2" s="3">
        <v>4</v>
      </c>
      <c r="D2" s="3">
        <f>C2+4</f>
        <v>8</v>
      </c>
      <c r="E2" s="3">
        <f t="shared" ref="E2:W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  <c r="Q2" s="3">
        <f t="shared" si="1"/>
        <v>60</v>
      </c>
      <c r="R2" s="3">
        <f t="shared" si="1"/>
        <v>64</v>
      </c>
      <c r="S2" s="3">
        <f t="shared" si="1"/>
        <v>68</v>
      </c>
      <c r="T2" s="3">
        <f t="shared" si="1"/>
        <v>72</v>
      </c>
      <c r="U2" s="3">
        <f t="shared" si="1"/>
        <v>76</v>
      </c>
      <c r="V2" s="3">
        <f t="shared" si="1"/>
        <v>80</v>
      </c>
      <c r="W2" s="3">
        <f t="shared" si="1"/>
        <v>84</v>
      </c>
    </row>
    <row r="3" spans="1:23" x14ac:dyDescent="0.2">
      <c r="B3">
        <f>Baza!DZ1</f>
        <v>50</v>
      </c>
      <c r="C3">
        <f ca="1">OFFSET(Baza!$DZ1,0,C$2)</f>
        <v>50</v>
      </c>
      <c r="D3">
        <f ca="1">OFFSET(Baza!$DZ1,0,D$2)</f>
        <v>50</v>
      </c>
      <c r="E3">
        <f ca="1">OFFSET(Baza!$DZ1,0,E$2)</f>
        <v>50</v>
      </c>
      <c r="F3">
        <f ca="1">OFFSET(Baza!$DZ1,0,F$2)</f>
        <v>50</v>
      </c>
      <c r="G3">
        <f ca="1">OFFSET(Baza!$DZ1,0,G$2)</f>
        <v>50</v>
      </c>
      <c r="H3">
        <f ca="1">OFFSET(Baza!$DZ1,0,H$2)</f>
        <v>50</v>
      </c>
      <c r="I3">
        <f ca="1">OFFSET(Baza!$DZ1,0,I$2)</f>
        <v>50</v>
      </c>
      <c r="J3">
        <f ca="1">OFFSET(Baza!$DZ1,0,J$2)</f>
        <v>50</v>
      </c>
      <c r="K3">
        <f ca="1">OFFSET(Baza!$DZ1,0,K$2)</f>
        <v>50</v>
      </c>
      <c r="L3">
        <f ca="1">OFFSET(Baza!$DZ1,0,L$2)</f>
        <v>50</v>
      </c>
      <c r="M3">
        <f ca="1">OFFSET(Baza!$DZ1,0,M$2)</f>
        <v>50</v>
      </c>
      <c r="N3">
        <f ca="1">OFFSET(Baza!$DZ1,0,N$2)</f>
        <v>50</v>
      </c>
      <c r="O3">
        <f ca="1">OFFSET(Baza!$DZ1,0,O$2)</f>
        <v>50</v>
      </c>
      <c r="P3">
        <f ca="1">OFFSET(Baza!$DZ1,0,P$2)</f>
        <v>50</v>
      </c>
      <c r="Q3">
        <f ca="1">OFFSET(Baza!$DZ1,0,Q$2)</f>
        <v>50</v>
      </c>
      <c r="R3">
        <f ca="1">OFFSET(Baza!$DZ1,0,R$2)</f>
        <v>50</v>
      </c>
      <c r="S3">
        <f ca="1">OFFSET(Baza!$DZ1,0,S$2)</f>
        <v>50</v>
      </c>
      <c r="T3">
        <f ca="1">OFFSET(Baza!$DZ1,0,T$2)</f>
        <v>50</v>
      </c>
    </row>
    <row r="4" spans="1:23" x14ac:dyDescent="0.2">
      <c r="B4" t="str">
        <f>Baza!DZ2</f>
        <v>Rp[Średnia]</v>
      </c>
      <c r="C4" t="str">
        <f ca="1">OFFSET(Baza!$DZ2,0,C$2)</f>
        <v>Rv[Średnia]</v>
      </c>
      <c r="D4" t="str">
        <f ca="1">OFFSET(Baza!$DZ2,0,D$2)</f>
        <v>Rz[Średnia]</v>
      </c>
      <c r="E4" t="str">
        <f ca="1">OFFSET(Baza!$DZ2,0,E$2)</f>
        <v>Rc (Brak uśredniania (pojedyncza wartość))[Średnia]</v>
      </c>
      <c r="F4" t="str">
        <f ca="1">OFFSET(Baza!$DZ2,0,F$2)</f>
        <v>Rt[Średnia]</v>
      </c>
      <c r="G4" t="str">
        <f ca="1">OFFSET(Baza!$DZ2,0,G$2)</f>
        <v>Ra[Średnia]</v>
      </c>
      <c r="H4" t="str">
        <f ca="1">OFFSET(Baza!$DZ2,0,H$2)</f>
        <v>Rq[Średnia]</v>
      </c>
      <c r="I4" t="str">
        <f ca="1">OFFSET(Baza!$DZ2,0,I$2)</f>
        <v>Rsk[Średnia]</v>
      </c>
      <c r="J4" t="str">
        <f ca="1">OFFSET(Baza!$DZ2,0,J$2)</f>
        <v>Rku[Średnia]</v>
      </c>
      <c r="K4" t="str">
        <f ca="1">OFFSET(Baza!$DZ2,0,K$2)</f>
        <v>Rp1max[Średnia]</v>
      </c>
      <c r="L4" t="str">
        <f ca="1">OFFSET(Baza!$DZ2,0,L$2)</f>
        <v>Rv1max[Średnia]</v>
      </c>
      <c r="M4" t="str">
        <f ca="1">OFFSET(Baza!$DZ2,0,M$2)</f>
        <v>Rz1max[Średnia]</v>
      </c>
      <c r="N4" t="str">
        <f ca="1">OFFSET(Baza!$DZ2,0,N$2)</f>
        <v>Rz(n) (Wskaźnik λc = 1)[Średnia]</v>
      </c>
      <c r="O4" t="str">
        <f ca="1">OFFSET(Baza!$DZ2,0,O$2)</f>
        <v>RSm (Brak uśredniania (pojedyncza wartość))[Średnia]</v>
      </c>
      <c r="P4" t="str">
        <f ca="1">OFFSET(Baza!$DZ2,0,P$2)</f>
        <v>Rdq[Średnia]</v>
      </c>
      <c r="Q4" t="str">
        <f ca="1">OFFSET(Baza!$DZ2,0,Q$2)</f>
        <v>Rmr (c = 1 µm poniżej najwyższego wypiętrzenia)[Średnia]</v>
      </c>
      <c r="R4" t="str">
        <f ca="1">OFFSET(Baza!$DZ2,0,R$2)</f>
        <v>Rdc (p = 20%, q = 80%)[Średnia]</v>
      </c>
      <c r="S4" t="str">
        <f ca="1">OFFSET(Baza!$DZ2,0,S$2)</f>
        <v>Rmr (Rz/4) (c = Rz/4 µm powyżej płaszczyzny średniej)[Średnia]</v>
      </c>
      <c r="T4" t="str">
        <f ca="1">OFFSET(Baza!$DZ2,0,T$2)</f>
        <v>RPc (Brak uśredniania (pojedyncza wartość))[Średnia]</v>
      </c>
    </row>
    <row r="5" spans="1:23" x14ac:dyDescent="0.2">
      <c r="B5" t="str">
        <f>Baza!DZ3</f>
        <v>µm</v>
      </c>
      <c r="C5" t="str">
        <f ca="1">OFFSET(Baza!$DZ3,0,C$2)</f>
        <v>µm</v>
      </c>
      <c r="D5" t="str">
        <f ca="1">OFFSET(Baza!$DZ3,0,D$2)</f>
        <v>µm</v>
      </c>
      <c r="E5" t="str">
        <f ca="1">OFFSET(Baza!$DZ3,0,E$2)</f>
        <v>µm</v>
      </c>
      <c r="F5" t="str">
        <f ca="1">OFFSET(Baza!$DZ3,0,F$2)</f>
        <v>µm</v>
      </c>
      <c r="G5" t="str">
        <f ca="1">OFFSET(Baza!$DZ3,0,G$2)</f>
        <v>µm</v>
      </c>
      <c r="H5" t="str">
        <f ca="1">OFFSET(Baza!$DZ3,0,H$2)</f>
        <v>µm</v>
      </c>
      <c r="I5" t="str">
        <f ca="1">OFFSET(Baza!$DZ3,0,I$2)</f>
        <v>&lt;no unit&gt;</v>
      </c>
      <c r="J5" t="str">
        <f ca="1">OFFSET(Baza!$DZ3,0,J$2)</f>
        <v>&lt;no unit&gt;</v>
      </c>
      <c r="K5" t="str">
        <f ca="1">OFFSET(Baza!$DZ3,0,K$2)</f>
        <v>µm</v>
      </c>
      <c r="L5" t="str">
        <f ca="1">OFFSET(Baza!$DZ3,0,L$2)</f>
        <v>µm</v>
      </c>
      <c r="M5" t="str">
        <f ca="1">OFFSET(Baza!$DZ3,0,M$2)</f>
        <v>µm</v>
      </c>
      <c r="N5" t="str">
        <f ca="1">OFFSET(Baza!$DZ3,0,N$2)</f>
        <v>µm</v>
      </c>
      <c r="O5" t="str">
        <f ca="1">OFFSET(Baza!$DZ3,0,O$2)</f>
        <v>mm</v>
      </c>
      <c r="P5" t="str">
        <f ca="1">OFFSET(Baza!$DZ3,0,P$2)</f>
        <v>°</v>
      </c>
      <c r="Q5" t="str">
        <f ca="1">OFFSET(Baza!$DZ3,0,Q$2)</f>
        <v>%</v>
      </c>
      <c r="R5" t="str">
        <f ca="1">OFFSET(Baza!$DZ3,0,R$2)</f>
        <v>µm</v>
      </c>
      <c r="S5" t="str">
        <f ca="1">OFFSET(Baza!$DZ3,0,S$2)</f>
        <v>%</v>
      </c>
      <c r="T5" t="str">
        <f ca="1">OFFSET(Baza!$DZ3,0,T$2)</f>
        <v>1/cm</v>
      </c>
    </row>
    <row r="6" spans="1:23" x14ac:dyDescent="0.2">
      <c r="A6" s="1" t="s">
        <v>244</v>
      </c>
      <c r="B6">
        <f>Baza!DZ4</f>
        <v>2.5546114969999998</v>
      </c>
      <c r="C6">
        <f ca="1">OFFSET(Baza!$DZ4,0,C$2)</f>
        <v>2.0555486869999999</v>
      </c>
      <c r="D6">
        <f ca="1">OFFSET(Baza!$DZ4,0,D$2)</f>
        <v>4.6101601839999997</v>
      </c>
      <c r="E6">
        <f ca="1">OFFSET(Baza!$DZ4,0,E$2)</f>
        <v>1.758254516</v>
      </c>
      <c r="F6">
        <f ca="1">OFFSET(Baza!$DZ4,0,F$2)</f>
        <v>7.5630505159999997</v>
      </c>
      <c r="G6">
        <f ca="1">OFFSET(Baza!$DZ4,0,G$2)</f>
        <v>0.65578304970000001</v>
      </c>
      <c r="H6">
        <f ca="1">OFFSET(Baza!$DZ4,0,H$2)</f>
        <v>0.85978997570000004</v>
      </c>
      <c r="I6">
        <f ca="1">OFFSET(Baza!$DZ4,0,I$2)</f>
        <v>0.36893317679999998</v>
      </c>
      <c r="J6">
        <f ca="1">OFFSET(Baza!$DZ4,0,J$2)</f>
        <v>3.9069201210000002</v>
      </c>
      <c r="K6">
        <f ca="1">OFFSET(Baza!$DZ4,0,K$2)</f>
        <v>4.2064089310000004</v>
      </c>
      <c r="L6">
        <f ca="1">OFFSET(Baza!$DZ4,0,L$2)</f>
        <v>3.3566415850000002</v>
      </c>
      <c r="M6">
        <f ca="1">OFFSET(Baza!$DZ4,0,M$2)</f>
        <v>7.1258189209999996</v>
      </c>
      <c r="N6">
        <f ca="1">OFFSET(Baza!$DZ4,0,N$2)</f>
        <v>5.1999966000000004</v>
      </c>
      <c r="O6">
        <f ca="1">OFFSET(Baza!$DZ4,0,O$2)</f>
        <v>9.1919670960000005E-2</v>
      </c>
      <c r="P6">
        <f ca="1">OFFSET(Baza!$DZ4,0,P$2)</f>
        <v>6.0654636399999999</v>
      </c>
      <c r="Q6">
        <f ca="1">OFFSET(Baza!$DZ4,0,Q$2)</f>
        <v>0.99103862050000002</v>
      </c>
      <c r="R6">
        <f ca="1">OFFSET(Baza!$DZ4,0,R$2)</f>
        <v>1.212256521</v>
      </c>
      <c r="S6">
        <f ca="1">OFFSET(Baza!$DZ4,0,S$2)</f>
        <v>8.6795229910000007</v>
      </c>
      <c r="T6">
        <f ca="1">OFFSET(Baza!$DZ4,0,T$2)</f>
        <v>112.1573471</v>
      </c>
      <c r="U6" s="6">
        <f ca="1">B6/C6</f>
        <v>1.2427881242396472</v>
      </c>
    </row>
    <row r="7" spans="1:23" x14ac:dyDescent="0.2">
      <c r="A7" s="1" t="s">
        <v>245</v>
      </c>
      <c r="B7">
        <f>Baza!DZ5</f>
        <v>2.5783425599999998</v>
      </c>
      <c r="C7">
        <f ca="1">OFFSET(Baza!$DZ5,0,C$2)</f>
        <v>2.4201830160000002</v>
      </c>
      <c r="D7">
        <f ca="1">OFFSET(Baza!$DZ5,0,D$2)</f>
        <v>4.9985255759999996</v>
      </c>
      <c r="E7">
        <f ca="1">OFFSET(Baza!$DZ5,0,E$2)</f>
        <v>1.9671815450000001</v>
      </c>
      <c r="F7">
        <f ca="1">OFFSET(Baza!$DZ5,0,F$2)</f>
        <v>8.2183294260000004</v>
      </c>
      <c r="G7">
        <f ca="1">OFFSET(Baza!$DZ5,0,G$2)</f>
        <v>0.70427665819999996</v>
      </c>
      <c r="H7">
        <f ca="1">OFFSET(Baza!$DZ5,0,H$2)</f>
        <v>0.92113668569999996</v>
      </c>
      <c r="I7">
        <f ca="1">OFFSET(Baza!$DZ5,0,I$2)</f>
        <v>0.201227287</v>
      </c>
      <c r="J7">
        <f ca="1">OFFSET(Baza!$DZ5,0,J$2)</f>
        <v>3.8397526719999999</v>
      </c>
      <c r="K7">
        <f ca="1">OFFSET(Baza!$DZ5,0,K$2)</f>
        <v>4.2600954099999999</v>
      </c>
      <c r="L7">
        <f ca="1">OFFSET(Baza!$DZ5,0,L$2)</f>
        <v>3.958234016</v>
      </c>
      <c r="M7">
        <f ca="1">OFFSET(Baza!$DZ5,0,M$2)</f>
        <v>7.644013384</v>
      </c>
      <c r="N7">
        <f ca="1">OFFSET(Baza!$DZ5,0,N$2)</f>
        <v>5.7927716260000004</v>
      </c>
      <c r="O7">
        <f ca="1">OFFSET(Baza!$DZ5,0,O$2)</f>
        <v>9.0409168050000002E-2</v>
      </c>
      <c r="P7">
        <f ca="1">OFFSET(Baza!$DZ5,0,P$2)</f>
        <v>6.5723390300000002</v>
      </c>
      <c r="Q7">
        <f ca="1">OFFSET(Baza!$DZ5,0,Q$2)</f>
        <v>1.075404013</v>
      </c>
      <c r="R7">
        <f ca="1">OFFSET(Baza!$DZ5,0,R$2)</f>
        <v>1.317889109</v>
      </c>
      <c r="S7">
        <f ca="1">OFFSET(Baza!$DZ5,0,S$2)</f>
        <v>8.2215675800000003</v>
      </c>
      <c r="T7">
        <f ca="1">OFFSET(Baza!$DZ5,0,T$2)</f>
        <v>114.2280581</v>
      </c>
      <c r="U7" s="6">
        <f t="shared" ref="U7:U18" ca="1" si="2">B7/C7</f>
        <v>1.0653502412645637</v>
      </c>
    </row>
    <row r="8" spans="1:23" x14ac:dyDescent="0.2">
      <c r="A8" s="1" t="s">
        <v>246</v>
      </c>
      <c r="B8">
        <f>Baza!DZ6</f>
        <v>2.7115836880000002</v>
      </c>
      <c r="C8">
        <f ca="1">OFFSET(Baza!$DZ6,0,C$2)</f>
        <v>2.7544725589999999</v>
      </c>
      <c r="D8">
        <f ca="1">OFFSET(Baza!$DZ6,0,D$2)</f>
        <v>5.466056247</v>
      </c>
      <c r="E8">
        <f ca="1">OFFSET(Baza!$DZ6,0,E$2)</f>
        <v>2.1572488719999998</v>
      </c>
      <c r="F8">
        <f ca="1">OFFSET(Baza!$DZ6,0,F$2)</f>
        <v>8.8928179259999993</v>
      </c>
      <c r="G8">
        <f ca="1">OFFSET(Baza!$DZ6,0,G$2)</f>
        <v>0.75744383100000001</v>
      </c>
      <c r="H8">
        <f ca="1">OFFSET(Baza!$DZ6,0,H$2)</f>
        <v>0.98934069920000001</v>
      </c>
      <c r="I8">
        <f ca="1">OFFSET(Baza!$DZ6,0,I$2)</f>
        <v>8.7004013190000007E-2</v>
      </c>
      <c r="J8">
        <f ca="1">OFFSET(Baza!$DZ6,0,J$2)</f>
        <v>3.8430736539999999</v>
      </c>
      <c r="K8">
        <f ca="1">OFFSET(Baza!$DZ6,0,K$2)</f>
        <v>4.3739332539999998</v>
      </c>
      <c r="L8">
        <f ca="1">OFFSET(Baza!$DZ6,0,L$2)</f>
        <v>4.5188846720000004</v>
      </c>
      <c r="M8">
        <f ca="1">OFFSET(Baza!$DZ6,0,M$2)</f>
        <v>8.2822136000000004</v>
      </c>
      <c r="N8">
        <f ca="1">OFFSET(Baza!$DZ6,0,N$2)</f>
        <v>6.410167758</v>
      </c>
      <c r="O8">
        <f ca="1">OFFSET(Baza!$DZ6,0,O$2)</f>
        <v>8.4312817999999998E-2</v>
      </c>
      <c r="P8">
        <f ca="1">OFFSET(Baza!$DZ6,0,P$2)</f>
        <v>7.4509822029999997</v>
      </c>
      <c r="Q8">
        <f ca="1">OFFSET(Baza!$DZ6,0,Q$2)</f>
        <v>1.0467876039999999</v>
      </c>
      <c r="R8">
        <f ca="1">OFFSET(Baza!$DZ6,0,R$2)</f>
        <v>1.4319060779999999</v>
      </c>
      <c r="S8">
        <f ca="1">OFFSET(Baza!$DZ6,0,S$2)</f>
        <v>7.7935151129999998</v>
      </c>
      <c r="T8">
        <f ca="1">OFFSET(Baza!$DZ6,0,T$2)</f>
        <v>122.36978379999999</v>
      </c>
      <c r="U8" s="6">
        <f t="shared" ca="1" si="2"/>
        <v>0.9844293707483619</v>
      </c>
    </row>
    <row r="9" spans="1:23" x14ac:dyDescent="0.2">
      <c r="A9" s="1" t="s">
        <v>247</v>
      </c>
      <c r="B9">
        <f>Baza!DZ7</f>
        <v>3.0512860549999998</v>
      </c>
      <c r="C9">
        <f ca="1">OFFSET(Baza!$DZ7,0,C$2)</f>
        <v>2.410305449</v>
      </c>
      <c r="D9">
        <f ca="1">OFFSET(Baza!$DZ7,0,D$2)</f>
        <v>5.4615915050000003</v>
      </c>
      <c r="E9">
        <f ca="1">OFFSET(Baza!$DZ7,0,E$2)</f>
        <v>1.9647451570000001</v>
      </c>
      <c r="F9">
        <f ca="1">OFFSET(Baza!$DZ7,0,F$2)</f>
        <v>8.7484348999999995</v>
      </c>
      <c r="G9">
        <f ca="1">OFFSET(Baza!$DZ7,0,G$2)</f>
        <v>0.71280696060000004</v>
      </c>
      <c r="H9">
        <f ca="1">OFFSET(Baza!$DZ7,0,H$2)</f>
        <v>0.93969699129999995</v>
      </c>
      <c r="I9">
        <f ca="1">OFFSET(Baza!$DZ7,0,I$2)</f>
        <v>0.3831630479</v>
      </c>
      <c r="J9">
        <f ca="1">OFFSET(Baza!$DZ7,0,J$2)</f>
        <v>4.1841531009999997</v>
      </c>
      <c r="K9">
        <f ca="1">OFFSET(Baza!$DZ7,0,K$2)</f>
        <v>4.9632258880000002</v>
      </c>
      <c r="L9">
        <f ca="1">OFFSET(Baza!$DZ7,0,L$2)</f>
        <v>3.7852090120000002</v>
      </c>
      <c r="M9">
        <f ca="1">OFFSET(Baza!$DZ7,0,M$2)</f>
        <v>8.1876548469999992</v>
      </c>
      <c r="N9">
        <f ca="1">OFFSET(Baza!$DZ7,0,N$2)</f>
        <v>6.084696847</v>
      </c>
      <c r="O9">
        <f ca="1">OFFSET(Baza!$DZ7,0,O$2)</f>
        <v>6.6133988520000006E-2</v>
      </c>
      <c r="P9">
        <f ca="1">OFFSET(Baza!$DZ7,0,P$2)</f>
        <v>9.6717158330000004</v>
      </c>
      <c r="Q9">
        <f ca="1">OFFSET(Baza!$DZ7,0,Q$2)</f>
        <v>0.54707432990000004</v>
      </c>
      <c r="R9">
        <f ca="1">OFFSET(Baza!$DZ7,0,R$2)</f>
        <v>1.3244167630000001</v>
      </c>
      <c r="S9">
        <f ca="1">OFFSET(Baza!$DZ7,0,S$2)</f>
        <v>7.4147473919999998</v>
      </c>
      <c r="T9">
        <f ca="1">OFFSET(Baza!$DZ7,0,T$2)</f>
        <v>155.65670119999999</v>
      </c>
      <c r="U9" s="6">
        <f t="shared" ca="1" si="2"/>
        <v>1.2659333514206397</v>
      </c>
    </row>
    <row r="10" spans="1:23" x14ac:dyDescent="0.2">
      <c r="A10" s="1" t="s">
        <v>248</v>
      </c>
      <c r="B10">
        <f>Baza!DZ8</f>
        <v>2.8835698449999998</v>
      </c>
      <c r="C10">
        <f ca="1">OFFSET(Baza!$DZ8,0,C$2)</f>
        <v>2.9241917559999999</v>
      </c>
      <c r="D10">
        <f ca="1">OFFSET(Baza!$DZ8,0,D$2)</f>
        <v>5.8077616010000002</v>
      </c>
      <c r="E10">
        <f ca="1">OFFSET(Baza!$DZ8,0,E$2)</f>
        <v>2.1798438770000002</v>
      </c>
      <c r="F10">
        <f ca="1">OFFSET(Baza!$DZ8,0,F$2)</f>
        <v>9.2395835529999992</v>
      </c>
      <c r="G10">
        <f ca="1">OFFSET(Baza!$DZ8,0,G$2)</f>
        <v>0.76828978910000001</v>
      </c>
      <c r="H10">
        <f ca="1">OFFSET(Baza!$DZ8,0,H$2)</f>
        <v>1.0043843079999999</v>
      </c>
      <c r="I10">
        <f ca="1">OFFSET(Baza!$DZ8,0,I$2)</f>
        <v>8.8087643150000006E-2</v>
      </c>
      <c r="J10">
        <f ca="1">OFFSET(Baza!$DZ8,0,J$2)</f>
        <v>3.9494627869999999</v>
      </c>
      <c r="K10">
        <f ca="1">OFFSET(Baza!$DZ8,0,K$2)</f>
        <v>4.6244836249999999</v>
      </c>
      <c r="L10">
        <f ca="1">OFFSET(Baza!$DZ8,0,L$2)</f>
        <v>4.6150999280000002</v>
      </c>
      <c r="M10">
        <f ca="1">OFFSET(Baza!$DZ8,0,M$2)</f>
        <v>8.5815486679999999</v>
      </c>
      <c r="N10">
        <f ca="1">OFFSET(Baza!$DZ8,0,N$2)</f>
        <v>6.5778549679999996</v>
      </c>
      <c r="O10">
        <f ca="1">OFFSET(Baza!$DZ8,0,O$2)</f>
        <v>6.596444538E-2</v>
      </c>
      <c r="P10">
        <f ca="1">OFFSET(Baza!$DZ8,0,P$2)</f>
        <v>10.058268500000001</v>
      </c>
      <c r="Q10">
        <f ca="1">OFFSET(Baza!$DZ8,0,Q$2)</f>
        <v>0.72397255699999996</v>
      </c>
      <c r="R10">
        <f ca="1">OFFSET(Baza!$DZ8,0,R$2)</f>
        <v>1.457713925</v>
      </c>
      <c r="S10">
        <f ca="1">OFFSET(Baza!$DZ8,0,S$2)</f>
        <v>7.1036737600000004</v>
      </c>
      <c r="T10">
        <f ca="1">OFFSET(Baza!$DZ8,0,T$2)</f>
        <v>155.72774630000001</v>
      </c>
      <c r="U10" s="6">
        <f t="shared" ca="1" si="2"/>
        <v>0.9861083285948502</v>
      </c>
    </row>
    <row r="11" spans="1:23" x14ac:dyDescent="0.2">
      <c r="A11" s="1" t="s">
        <v>249</v>
      </c>
      <c r="B11">
        <f>Baza!DZ9</f>
        <v>3.0220952620000001</v>
      </c>
      <c r="C11">
        <f ca="1">OFFSET(Baza!$DZ9,0,C$2)</f>
        <v>3.3436002189999998</v>
      </c>
      <c r="D11">
        <f ca="1">OFFSET(Baza!$DZ9,0,D$2)</f>
        <v>6.3656954810000004</v>
      </c>
      <c r="E11">
        <f ca="1">OFFSET(Baza!$DZ9,0,E$2)</f>
        <v>2.4074320079999998</v>
      </c>
      <c r="F11">
        <f ca="1">OFFSET(Baza!$DZ9,0,F$2)</f>
        <v>10.010406959999999</v>
      </c>
      <c r="G11">
        <f ca="1">OFFSET(Baza!$DZ9,0,G$2)</f>
        <v>0.83115336480000002</v>
      </c>
      <c r="H11">
        <f ca="1">OFFSET(Baza!$DZ9,0,H$2)</f>
        <v>1.0860329369999999</v>
      </c>
      <c r="I11">
        <f ca="1">OFFSET(Baza!$DZ9,0,I$2)</f>
        <v>-3.8585774890000001E-2</v>
      </c>
      <c r="J11">
        <f ca="1">OFFSET(Baza!$DZ9,0,J$2)</f>
        <v>3.9573843360000001</v>
      </c>
      <c r="K11">
        <f ca="1">OFFSET(Baza!$DZ9,0,K$2)</f>
        <v>4.7778584659999996</v>
      </c>
      <c r="L11">
        <f ca="1">OFFSET(Baza!$DZ9,0,L$2)</f>
        <v>5.2325484910000002</v>
      </c>
      <c r="M11">
        <f ca="1">OFFSET(Baza!$DZ9,0,M$2)</f>
        <v>9.3455985049999999</v>
      </c>
      <c r="N11">
        <f ca="1">OFFSET(Baza!$DZ9,0,N$2)</f>
        <v>7.3483142580000003</v>
      </c>
      <c r="O11">
        <f ca="1">OFFSET(Baza!$DZ9,0,O$2)</f>
        <v>6.215899984E-2</v>
      </c>
      <c r="P11">
        <f ca="1">OFFSET(Baza!$DZ9,0,P$2)</f>
        <v>11.34952644</v>
      </c>
      <c r="Q11">
        <f ca="1">OFFSET(Baza!$DZ9,0,Q$2)</f>
        <v>0.71297069759999998</v>
      </c>
      <c r="R11">
        <f ca="1">OFFSET(Baza!$DZ9,0,R$2)</f>
        <v>1.588181096</v>
      </c>
      <c r="S11">
        <f ca="1">OFFSET(Baza!$DZ9,0,S$2)</f>
        <v>6.675413099</v>
      </c>
      <c r="T11">
        <f ca="1">OFFSET(Baza!$DZ9,0,T$2)</f>
        <v>165.23641810000001</v>
      </c>
      <c r="U11" s="6">
        <f t="shared" ca="1" si="2"/>
        <v>0.9038446776103648</v>
      </c>
    </row>
    <row r="12" spans="1:23" x14ac:dyDescent="0.2">
      <c r="A12" s="1" t="s">
        <v>250</v>
      </c>
      <c r="B12">
        <f>Baza!DZ10</f>
        <v>2.3526673339999999</v>
      </c>
      <c r="C12">
        <f ca="1">OFFSET(Baza!$DZ10,0,C$2)</f>
        <v>2.0766730849999999</v>
      </c>
      <c r="D12">
        <f ca="1">OFFSET(Baza!$DZ10,0,D$2)</f>
        <v>4.4293404179999998</v>
      </c>
      <c r="E12">
        <f ca="1">OFFSET(Baza!$DZ10,0,E$2)</f>
        <v>1.838439071</v>
      </c>
      <c r="F12">
        <f ca="1">OFFSET(Baza!$DZ10,0,F$2)</f>
        <v>7.0332076680000002</v>
      </c>
      <c r="G12">
        <f ca="1">OFFSET(Baza!$DZ10,0,G$2)</f>
        <v>0.68001906720000005</v>
      </c>
      <c r="H12">
        <f ca="1">OFFSET(Baza!$DZ10,0,H$2)</f>
        <v>0.87882532810000002</v>
      </c>
      <c r="I12">
        <f ca="1">OFFSET(Baza!$DZ10,0,I$2)</f>
        <v>0.22631383469999999</v>
      </c>
      <c r="J12">
        <f ca="1">OFFSET(Baza!$DZ10,0,J$2)</f>
        <v>3.4785781830000002</v>
      </c>
      <c r="K12">
        <f ca="1">OFFSET(Baza!$DZ10,0,K$2)</f>
        <v>3.826313619</v>
      </c>
      <c r="L12">
        <f ca="1">OFFSET(Baza!$DZ10,0,L$2)</f>
        <v>3.2068940499999998</v>
      </c>
      <c r="M12">
        <f ca="1">OFFSET(Baza!$DZ10,0,M$2)</f>
        <v>6.7042893259999996</v>
      </c>
      <c r="N12">
        <f ca="1">OFFSET(Baza!$DZ10,0,N$2)</f>
        <v>5.1152330319999999</v>
      </c>
      <c r="O12">
        <f ca="1">OFFSET(Baza!$DZ10,0,O$2)</f>
        <v>0.1028498251</v>
      </c>
      <c r="P12">
        <f ca="1">OFFSET(Baza!$DZ10,0,P$2)</f>
        <v>4.2624723050000002</v>
      </c>
      <c r="Q12">
        <f ca="1">OFFSET(Baza!$DZ10,0,Q$2)</f>
        <v>1.7731568950000001</v>
      </c>
      <c r="R12">
        <f ca="1">OFFSET(Baza!$DZ10,0,R$2)</f>
        <v>1.2925904580000001</v>
      </c>
      <c r="S12">
        <f ca="1">OFFSET(Baza!$DZ10,0,S$2)</f>
        <v>9.5546686439999995</v>
      </c>
      <c r="T12">
        <f ca="1">OFFSET(Baza!$DZ10,0,T$2)</f>
        <v>99.750333889999993</v>
      </c>
      <c r="U12" s="6">
        <f t="shared" ca="1" si="2"/>
        <v>1.1329021168490754</v>
      </c>
    </row>
    <row r="13" spans="1:23" x14ac:dyDescent="0.2">
      <c r="A13" s="1" t="s">
        <v>251</v>
      </c>
      <c r="B13">
        <f>Baza!DZ11</f>
        <v>2.1776683590000001</v>
      </c>
      <c r="C13">
        <f ca="1">OFFSET(Baza!$DZ11,0,C$2)</f>
        <v>1.730533997</v>
      </c>
      <c r="D13">
        <f ca="1">OFFSET(Baza!$DZ11,0,D$2)</f>
        <v>3.9082023559999999</v>
      </c>
      <c r="E13">
        <f ca="1">OFFSET(Baza!$DZ11,0,E$2)</f>
        <v>1.7273055020000001</v>
      </c>
      <c r="F13">
        <f ca="1">OFFSET(Baza!$DZ11,0,F$2)</f>
        <v>6.5839559840000002</v>
      </c>
      <c r="G13">
        <f ca="1">OFFSET(Baza!$DZ11,0,G$2)</f>
        <v>0.61719271369999995</v>
      </c>
      <c r="H13">
        <f ca="1">OFFSET(Baza!$DZ11,0,H$2)</f>
        <v>0.80265946519999998</v>
      </c>
      <c r="I13">
        <f ca="1">OFFSET(Baza!$DZ11,0,I$2)</f>
        <v>0.35307951259999998</v>
      </c>
      <c r="J13">
        <f ca="1">OFFSET(Baza!$DZ11,0,J$2)</f>
        <v>3.6121322720000002</v>
      </c>
      <c r="K13">
        <f ca="1">OFFSET(Baza!$DZ11,0,K$2)</f>
        <v>3.6923975200000001</v>
      </c>
      <c r="L13">
        <f ca="1">OFFSET(Baza!$DZ11,0,L$2)</f>
        <v>2.8915584640000001</v>
      </c>
      <c r="M13">
        <f ca="1">OFFSET(Baza!$DZ11,0,M$2)</f>
        <v>6.2611450370000004</v>
      </c>
      <c r="N13">
        <f ca="1">OFFSET(Baza!$DZ11,0,N$2)</f>
        <v>4.6045748050000004</v>
      </c>
      <c r="O13">
        <f ca="1">OFFSET(Baza!$DZ11,0,O$2)</f>
        <v>0.13299300489999999</v>
      </c>
      <c r="P13">
        <f ca="1">OFFSET(Baza!$DZ11,0,P$2)</f>
        <v>3.4330523639999999</v>
      </c>
      <c r="Q13">
        <f ca="1">OFFSET(Baza!$DZ11,0,Q$2)</f>
        <v>1.8439471949999999</v>
      </c>
      <c r="R13">
        <f ca="1">OFFSET(Baza!$DZ11,0,R$2)</f>
        <v>1.1436599590000001</v>
      </c>
      <c r="S13">
        <f ca="1">OFFSET(Baza!$DZ11,0,S$2)</f>
        <v>10.244948320000001</v>
      </c>
      <c r="T13">
        <f ca="1">OFFSET(Baza!$DZ11,0,T$2)</f>
        <v>77.182308509999999</v>
      </c>
      <c r="U13" s="6">
        <f t="shared" ca="1" si="2"/>
        <v>1.2583794151257002</v>
      </c>
    </row>
    <row r="14" spans="1:23" x14ac:dyDescent="0.2">
      <c r="A14" s="1" t="s">
        <v>252</v>
      </c>
      <c r="B14">
        <f>Baza!DZ12</f>
        <v>2.2960045509999998</v>
      </c>
      <c r="C14">
        <f ca="1">OFFSET(Baza!$DZ12,0,C$2)</f>
        <v>1.8404553299999999</v>
      </c>
      <c r="D14">
        <f ca="1">OFFSET(Baza!$DZ12,0,D$2)</f>
        <v>4.1364598810000004</v>
      </c>
      <c r="E14">
        <f ca="1">OFFSET(Baza!$DZ12,0,E$2)</f>
        <v>1.834568177</v>
      </c>
      <c r="F14">
        <f ca="1">OFFSET(Baza!$DZ12,0,F$2)</f>
        <v>6.8665593579999999</v>
      </c>
      <c r="G14">
        <f ca="1">OFFSET(Baza!$DZ12,0,G$2)</f>
        <v>0.64739436969999997</v>
      </c>
      <c r="H14">
        <f ca="1">OFFSET(Baza!$DZ12,0,H$2)</f>
        <v>0.83776509030000001</v>
      </c>
      <c r="I14">
        <f ca="1">OFFSET(Baza!$DZ12,0,I$2)</f>
        <v>0.33050218269999998</v>
      </c>
      <c r="J14">
        <f ca="1">OFFSET(Baza!$DZ12,0,J$2)</f>
        <v>3.5911619629999998</v>
      </c>
      <c r="K14">
        <f ca="1">OFFSET(Baza!$DZ12,0,K$2)</f>
        <v>3.8260686860000002</v>
      </c>
      <c r="L14">
        <f ca="1">OFFSET(Baza!$DZ12,0,L$2)</f>
        <v>3.0404906719999998</v>
      </c>
      <c r="M14">
        <f ca="1">OFFSET(Baza!$DZ12,0,M$2)</f>
        <v>6.511109695</v>
      </c>
      <c r="N14">
        <f ca="1">OFFSET(Baza!$DZ12,0,N$2)</f>
        <v>4.9360103469999999</v>
      </c>
      <c r="O14">
        <f ca="1">OFFSET(Baza!$DZ12,0,O$2)</f>
        <v>0.12182514229999999</v>
      </c>
      <c r="P14">
        <f ca="1">OFFSET(Baza!$DZ12,0,P$2)</f>
        <v>3.885733364</v>
      </c>
      <c r="Q14">
        <f ca="1">OFFSET(Baza!$DZ12,0,Q$2)</f>
        <v>1.584706645</v>
      </c>
      <c r="R14">
        <f ca="1">OFFSET(Baza!$DZ12,0,R$2)</f>
        <v>1.217053994</v>
      </c>
      <c r="S14">
        <f ca="1">OFFSET(Baza!$DZ12,0,S$2)</f>
        <v>10.08869777</v>
      </c>
      <c r="T14">
        <f ca="1">OFFSET(Baza!$DZ12,0,T$2)</f>
        <v>84.000936050000007</v>
      </c>
      <c r="U14" s="6">
        <f t="shared" ca="1" si="2"/>
        <v>1.2475198466240416</v>
      </c>
    </row>
    <row r="15" spans="1:23" x14ac:dyDescent="0.2">
      <c r="A15" s="1" t="s">
        <v>253</v>
      </c>
      <c r="B15">
        <f>Baza!DZ13</f>
        <v>2.6392929839999999</v>
      </c>
      <c r="C15">
        <f ca="1">OFFSET(Baza!$DZ13,0,C$2)</f>
        <v>2.2107278620000002</v>
      </c>
      <c r="D15">
        <f ca="1">OFFSET(Baza!$DZ13,0,D$2)</f>
        <v>4.8500208469999997</v>
      </c>
      <c r="E15">
        <f ca="1">OFFSET(Baza!$DZ13,0,E$2)</f>
        <v>2.188610707</v>
      </c>
      <c r="F15">
        <f ca="1">OFFSET(Baza!$DZ13,0,F$2)</f>
        <v>7.6893804790000004</v>
      </c>
      <c r="G15">
        <f ca="1">OFFSET(Baza!$DZ13,0,G$2)</f>
        <v>0.72486492820000004</v>
      </c>
      <c r="H15">
        <f ca="1">OFFSET(Baza!$DZ13,0,H$2)</f>
        <v>0.94649994309999996</v>
      </c>
      <c r="I15">
        <f ca="1">OFFSET(Baza!$DZ13,0,I$2)</f>
        <v>0.34801505929999998</v>
      </c>
      <c r="J15">
        <f ca="1">OFFSET(Baza!$DZ13,0,J$2)</f>
        <v>3.9047155550000001</v>
      </c>
      <c r="K15">
        <f ca="1">OFFSET(Baza!$DZ13,0,K$2)</f>
        <v>4.2005169269999998</v>
      </c>
      <c r="L15">
        <f ca="1">OFFSET(Baza!$DZ13,0,L$2)</f>
        <v>3.4883416729999999</v>
      </c>
      <c r="M15">
        <f ca="1">OFFSET(Baza!$DZ13,0,M$2)</f>
        <v>7.2871820530000004</v>
      </c>
      <c r="N15">
        <f ca="1">OFFSET(Baza!$DZ13,0,N$2)</f>
        <v>5.395782037</v>
      </c>
      <c r="O15">
        <f ca="1">OFFSET(Baza!$DZ13,0,O$2)</f>
        <v>9.3754626899999999E-2</v>
      </c>
      <c r="P15">
        <f ca="1">OFFSET(Baza!$DZ13,0,P$2)</f>
        <v>10.194348379999999</v>
      </c>
      <c r="Q15">
        <f ca="1">OFFSET(Baza!$DZ13,0,Q$2)</f>
        <v>1.467558972</v>
      </c>
      <c r="R15">
        <f ca="1">OFFSET(Baza!$DZ13,0,R$2)</f>
        <v>1.3488658069999999</v>
      </c>
      <c r="S15">
        <f ca="1">OFFSET(Baza!$DZ13,0,S$2)</f>
        <v>9.6891490850000004</v>
      </c>
      <c r="T15">
        <f ca="1">OFFSET(Baza!$DZ13,0,T$2)</f>
        <v>109.46070709999999</v>
      </c>
      <c r="U15" s="7">
        <f t="shared" ca="1" si="2"/>
        <v>1.1938570230043084</v>
      </c>
    </row>
    <row r="16" spans="1:23" x14ac:dyDescent="0.2">
      <c r="A16" s="1" t="s">
        <v>254</v>
      </c>
      <c r="B16">
        <f>Baza!DZ14</f>
        <v>2.280080527</v>
      </c>
      <c r="C16">
        <f ca="1">OFFSET(Baza!$DZ14,0,C$2)</f>
        <v>1.6379405469999999</v>
      </c>
      <c r="D16">
        <f ca="1">OFFSET(Baza!$DZ14,0,D$2)</f>
        <v>3.9180210739999999</v>
      </c>
      <c r="E16">
        <f ca="1">OFFSET(Baza!$DZ14,0,E$2)</f>
        <v>2.216683169</v>
      </c>
      <c r="F16">
        <f ca="1">OFFSET(Baza!$DZ14,0,F$2)</f>
        <v>6.7887166949999997</v>
      </c>
      <c r="G16">
        <f ca="1">OFFSET(Baza!$DZ14,0,G$2)</f>
        <v>0.62300943630000005</v>
      </c>
      <c r="H16">
        <f ca="1">OFFSET(Baza!$DZ14,0,H$2)</f>
        <v>0.82047323670000005</v>
      </c>
      <c r="I16">
        <f ca="1">OFFSET(Baza!$DZ14,0,I$2)</f>
        <v>0.4876769111</v>
      </c>
      <c r="J16">
        <f ca="1">OFFSET(Baza!$DZ14,0,J$2)</f>
        <v>4.0254965279999997</v>
      </c>
      <c r="K16">
        <f ca="1">OFFSET(Baza!$DZ14,0,K$2)</f>
        <v>3.9387286669999999</v>
      </c>
      <c r="L16">
        <f ca="1">OFFSET(Baza!$DZ14,0,L$2)</f>
        <v>2.8499481279999999</v>
      </c>
      <c r="M16">
        <f ca="1">OFFSET(Baza!$DZ14,0,M$2)</f>
        <v>6.4137632580000004</v>
      </c>
      <c r="N16">
        <f ca="1">OFFSET(Baza!$DZ14,0,N$2)</f>
        <v>4.5638304420000004</v>
      </c>
      <c r="O16">
        <f ca="1">OFFSET(Baza!$DZ14,0,O$2)</f>
        <v>0.19301784159999999</v>
      </c>
      <c r="P16">
        <f ca="1">OFFSET(Baza!$DZ14,0,P$2)</f>
        <v>6.1095636190000002</v>
      </c>
      <c r="Q16">
        <f ca="1">OFFSET(Baza!$DZ14,0,Q$2)</f>
        <v>1.7259446730000001</v>
      </c>
      <c r="R16">
        <f ca="1">OFFSET(Baza!$DZ14,0,R$2)</f>
        <v>1.1321273080000001</v>
      </c>
      <c r="S16">
        <f ca="1">OFFSET(Baza!$DZ14,0,S$2)</f>
        <v>10.572912779999999</v>
      </c>
      <c r="T16">
        <f ca="1">OFFSET(Baza!$DZ14,0,T$2)</f>
        <v>53.340250820000001</v>
      </c>
      <c r="U16" s="6">
        <f t="shared" ca="1" si="2"/>
        <v>1.3920410793762468</v>
      </c>
    </row>
    <row r="17" spans="1:21" x14ac:dyDescent="0.2">
      <c r="A17" s="1" t="s">
        <v>255</v>
      </c>
      <c r="B17">
        <f>Baza!DZ15</f>
        <v>2.2759901849999999</v>
      </c>
      <c r="C17">
        <f ca="1">OFFSET(Baza!$DZ15,0,C$2)</f>
        <v>1.693202858</v>
      </c>
      <c r="D17">
        <f ca="1">OFFSET(Baza!$DZ15,0,D$2)</f>
        <v>3.9691930430000002</v>
      </c>
      <c r="E17">
        <f ca="1">OFFSET(Baza!$DZ15,0,E$2)</f>
        <v>1.9382290049999999</v>
      </c>
      <c r="F17">
        <f ca="1">OFFSET(Baza!$DZ15,0,F$2)</f>
        <v>6.7663372319999997</v>
      </c>
      <c r="G17">
        <f ca="1">OFFSET(Baza!$DZ15,0,G$2)</f>
        <v>0.63037785459999995</v>
      </c>
      <c r="H17">
        <f ca="1">OFFSET(Baza!$DZ15,0,H$2)</f>
        <v>0.82511761640000003</v>
      </c>
      <c r="I17">
        <f ca="1">OFFSET(Baza!$DZ15,0,I$2)</f>
        <v>0.43216988280000002</v>
      </c>
      <c r="J17">
        <f ca="1">OFFSET(Baza!$DZ15,0,J$2)</f>
        <v>3.797954297</v>
      </c>
      <c r="K17">
        <f ca="1">OFFSET(Baza!$DZ15,0,K$2)</f>
        <v>3.8732108539999999</v>
      </c>
      <c r="L17">
        <f ca="1">OFFSET(Baza!$DZ15,0,L$2)</f>
        <v>2.8931263779999998</v>
      </c>
      <c r="M17">
        <f ca="1">OFFSET(Baza!$DZ15,0,M$2)</f>
        <v>6.4091311050000002</v>
      </c>
      <c r="N17">
        <f ca="1">OFFSET(Baza!$DZ15,0,N$2)</f>
        <v>4.5605136000000002</v>
      </c>
      <c r="O17">
        <f ca="1">OFFSET(Baza!$DZ15,0,O$2)</f>
        <v>0.1573842537</v>
      </c>
      <c r="P17">
        <f ca="1">OFFSET(Baza!$DZ15,0,P$2)</f>
        <v>5.5591211119999997</v>
      </c>
      <c r="Q17">
        <f ca="1">OFFSET(Baza!$DZ15,0,Q$2)</f>
        <v>1.9053573530000001</v>
      </c>
      <c r="R17">
        <f ca="1">OFFSET(Baza!$DZ15,0,R$2)</f>
        <v>1.1576129369999999</v>
      </c>
      <c r="S17">
        <f ca="1">OFFSET(Baza!$DZ15,0,S$2)</f>
        <v>10.57840657</v>
      </c>
      <c r="T17">
        <f ca="1">OFFSET(Baza!$DZ15,0,T$2)</f>
        <v>65.885008709999994</v>
      </c>
      <c r="U17" s="6">
        <f t="shared" ca="1" si="2"/>
        <v>1.3441922651184184</v>
      </c>
    </row>
    <row r="18" spans="1:21" x14ac:dyDescent="0.2">
      <c r="A18" s="1" t="s">
        <v>256</v>
      </c>
      <c r="B18">
        <f>Baza!DZ16</f>
        <v>2.2785011630000001</v>
      </c>
      <c r="C18">
        <f ca="1">OFFSET(Baza!$DZ16,0,C$2)</f>
        <v>1.6283503070000001</v>
      </c>
      <c r="D18">
        <f ca="1">OFFSET(Baza!$DZ16,0,D$2)</f>
        <v>3.9068514699999999</v>
      </c>
      <c r="E18">
        <f ca="1">OFFSET(Baza!$DZ16,0,E$2)</f>
        <v>2.2604858819999998</v>
      </c>
      <c r="F18">
        <f ca="1">OFFSET(Baza!$DZ16,0,F$2)</f>
        <v>6.7856851999999996</v>
      </c>
      <c r="G18">
        <f ca="1">OFFSET(Baza!$DZ16,0,G$2)</f>
        <v>0.62194518779999997</v>
      </c>
      <c r="H18">
        <f ca="1">OFFSET(Baza!$DZ16,0,H$2)</f>
        <v>0.81839045529999999</v>
      </c>
      <c r="I18">
        <f ca="1">OFFSET(Baza!$DZ16,0,I$2)</f>
        <v>0.48832512970000003</v>
      </c>
      <c r="J18">
        <f ca="1">OFFSET(Baza!$DZ16,0,J$2)</f>
        <v>4.0131787560000003</v>
      </c>
      <c r="K18">
        <f ca="1">OFFSET(Baza!$DZ16,0,K$2)</f>
        <v>3.9481206960000002</v>
      </c>
      <c r="L18">
        <f ca="1">OFFSET(Baza!$DZ16,0,L$2)</f>
        <v>2.8371215259999998</v>
      </c>
      <c r="M18">
        <f ca="1">OFFSET(Baza!$DZ16,0,M$2)</f>
        <v>6.4186882790000004</v>
      </c>
      <c r="N18">
        <f ca="1">OFFSET(Baza!$DZ16,0,N$2)</f>
        <v>4.5305387789999996</v>
      </c>
      <c r="O18">
        <f ca="1">OFFSET(Baza!$DZ16,0,O$2)</f>
        <v>0.2007865267</v>
      </c>
      <c r="P18">
        <f ca="1">OFFSET(Baza!$DZ16,0,P$2)</f>
        <v>6.0695153030000002</v>
      </c>
      <c r="Q18">
        <f ca="1">OFFSET(Baza!$DZ16,0,Q$2)</f>
        <v>1.7632323510000001</v>
      </c>
      <c r="R18">
        <f ca="1">OFFSET(Baza!$DZ16,0,R$2)</f>
        <v>1.12825296</v>
      </c>
      <c r="S18">
        <f ca="1">OFFSET(Baza!$DZ16,0,S$2)</f>
        <v>10.655292319999999</v>
      </c>
      <c r="T18">
        <f ca="1">OFFSET(Baza!$DZ16,0,T$2)</f>
        <v>51.485126710000003</v>
      </c>
      <c r="U18" s="6">
        <f t="shared" ca="1" si="2"/>
        <v>1.3992696492917478</v>
      </c>
    </row>
    <row r="19" spans="1:21" x14ac:dyDescent="0.2">
      <c r="A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</row>
    <row r="2" spans="1:23" x14ac:dyDescent="0.2">
      <c r="B2" s="3" t="s">
        <v>257</v>
      </c>
      <c r="C2" s="3">
        <v>4</v>
      </c>
      <c r="D2" s="3">
        <f>C2+4</f>
        <v>8</v>
      </c>
      <c r="E2" s="3">
        <f t="shared" ref="E2:W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  <c r="Q2" s="3">
        <f t="shared" si="1"/>
        <v>60</v>
      </c>
      <c r="R2" s="3">
        <f t="shared" si="1"/>
        <v>64</v>
      </c>
      <c r="S2" s="3">
        <f t="shared" si="1"/>
        <v>68</v>
      </c>
      <c r="T2" s="3">
        <f t="shared" si="1"/>
        <v>72</v>
      </c>
      <c r="U2" s="3">
        <f t="shared" si="1"/>
        <v>76</v>
      </c>
      <c r="V2" s="3">
        <f t="shared" si="1"/>
        <v>80</v>
      </c>
      <c r="W2" s="3">
        <f t="shared" si="1"/>
        <v>84</v>
      </c>
    </row>
    <row r="3" spans="1:23" x14ac:dyDescent="0.2">
      <c r="B3">
        <f>Baza!GX1</f>
        <v>51</v>
      </c>
      <c r="C3">
        <f ca="1">OFFSET(Baza!$GX1,0,C$2)</f>
        <v>51</v>
      </c>
      <c r="D3">
        <f ca="1">OFFSET(Baza!$GX1,0,D$2)</f>
        <v>51</v>
      </c>
      <c r="E3">
        <f ca="1">OFFSET(Baza!$GX1,0,E$2)</f>
        <v>51</v>
      </c>
      <c r="F3">
        <f ca="1">OFFSET(Baza!$GX1,0,F$2)</f>
        <v>51</v>
      </c>
      <c r="G3">
        <f ca="1">OFFSET(Baza!$GX1,0,G$2)</f>
        <v>51</v>
      </c>
      <c r="H3">
        <f ca="1">OFFSET(Baza!$GX1,0,H$2)</f>
        <v>51</v>
      </c>
      <c r="I3">
        <f ca="1">OFFSET(Baza!$GX1,0,I$2)</f>
        <v>51</v>
      </c>
      <c r="J3">
        <f ca="1">OFFSET(Baza!$GX1,0,J$2)</f>
        <v>51</v>
      </c>
      <c r="K3">
        <f ca="1">OFFSET(Baza!$GX1,0,K$2)</f>
        <v>51</v>
      </c>
      <c r="L3">
        <f ca="1">OFFSET(Baza!$GX1,0,L$2)</f>
        <v>51</v>
      </c>
      <c r="M3">
        <f ca="1">OFFSET(Baza!$GX1,0,M$2)</f>
        <v>51</v>
      </c>
      <c r="N3">
        <f ca="1">OFFSET(Baza!$GX1,0,N$2)</f>
        <v>51</v>
      </c>
      <c r="O3">
        <f ca="1">OFFSET(Baza!$GX1,0,O$2)</f>
        <v>51</v>
      </c>
      <c r="P3">
        <f ca="1">OFFSET(Baza!$GX1,0,P$2)</f>
        <v>51</v>
      </c>
      <c r="Q3">
        <f ca="1">OFFSET(Baza!$GX1,0,Q$2)</f>
        <v>51</v>
      </c>
      <c r="R3">
        <f ca="1">OFFSET(Baza!$GX1,0,R$2)</f>
        <v>51</v>
      </c>
      <c r="S3">
        <f ca="1">OFFSET(Baza!$GX1,0,S$2)</f>
        <v>51</v>
      </c>
      <c r="T3">
        <f ca="1">OFFSET(Baza!$GX1,0,T$2)</f>
        <v>51</v>
      </c>
    </row>
    <row r="4" spans="1:23" x14ac:dyDescent="0.2">
      <c r="B4" t="str">
        <f>Baza!GX2</f>
        <v>Rp[Średnia]</v>
      </c>
      <c r="C4" t="str">
        <f ca="1">OFFSET(Baza!$GX2,0,C$2)</f>
        <v>Rv[Średnia]</v>
      </c>
      <c r="D4" t="str">
        <f ca="1">OFFSET(Baza!$GX2,0,D$2)</f>
        <v>Rz[Średnia]</v>
      </c>
      <c r="E4" t="str">
        <f ca="1">OFFSET(Baza!$GX2,0,E$2)</f>
        <v>Rc (Brak uśredniania (pojedyncza wartość))[Średnia]</v>
      </c>
      <c r="F4" t="str">
        <f ca="1">OFFSET(Baza!$GX2,0,F$2)</f>
        <v>Rt[Średnia]</v>
      </c>
      <c r="G4" t="str">
        <f ca="1">OFFSET(Baza!$GX2,0,G$2)</f>
        <v>Ra[Średnia]</v>
      </c>
      <c r="H4" t="str">
        <f ca="1">OFFSET(Baza!$GX2,0,H$2)</f>
        <v>Rq[Średnia]</v>
      </c>
      <c r="I4" t="str">
        <f ca="1">OFFSET(Baza!$GX2,0,I$2)</f>
        <v>Rsk[Średnia]</v>
      </c>
      <c r="J4" t="str">
        <f ca="1">OFFSET(Baza!$GX2,0,J$2)</f>
        <v>Rku[Średnia]</v>
      </c>
      <c r="K4" t="str">
        <f ca="1">OFFSET(Baza!$GX2,0,K$2)</f>
        <v>Rp1max[Średnia]</v>
      </c>
      <c r="L4" t="str">
        <f ca="1">OFFSET(Baza!$GX2,0,L$2)</f>
        <v>Rv1max[Średnia]</v>
      </c>
      <c r="M4" t="str">
        <f ca="1">OFFSET(Baza!$GX2,0,M$2)</f>
        <v>Rz1max[Średnia]</v>
      </c>
      <c r="N4" t="str">
        <f ca="1">OFFSET(Baza!$GX2,0,N$2)</f>
        <v>Rz(n) (Wskaźnik λc = 1)[Średnia]</v>
      </c>
      <c r="O4" t="str">
        <f ca="1">OFFSET(Baza!$GX2,0,O$2)</f>
        <v>RSm (Brak uśredniania (pojedyncza wartość))[Średnia]</v>
      </c>
      <c r="P4" t="str">
        <f ca="1">OFFSET(Baza!$GX2,0,P$2)</f>
        <v>Rdq[Średnia]</v>
      </c>
      <c r="Q4" t="str">
        <f ca="1">OFFSET(Baza!$GX2,0,Q$2)</f>
        <v>Rmr (c = 1 µm poniżej najwyższego wypiętrzenia)[Średnia]</v>
      </c>
      <c r="R4" t="str">
        <f ca="1">OFFSET(Baza!$GX2,0,R$2)</f>
        <v>Rdc (p = 20%, q = 80%)[Średnia]</v>
      </c>
      <c r="S4" t="str">
        <f ca="1">OFFSET(Baza!$GX2,0,S$2)</f>
        <v>Rmr (Rz/4) (c = Rz/4 µm powyżej płaszczyzny średniej)[Średnia]</v>
      </c>
      <c r="T4" t="str">
        <f ca="1">OFFSET(Baza!$GX2,0,T$2)</f>
        <v>RPc (Brak uśredniania (pojedyncza wartość))[Średnia]</v>
      </c>
    </row>
    <row r="5" spans="1:23" x14ac:dyDescent="0.2">
      <c r="B5" t="str">
        <f>Baza!GX3</f>
        <v>µm</v>
      </c>
      <c r="C5" t="str">
        <f ca="1">OFFSET(Baza!$GX3,0,C$2)</f>
        <v>µm</v>
      </c>
      <c r="D5" t="str">
        <f ca="1">OFFSET(Baza!$GX3,0,D$2)</f>
        <v>µm</v>
      </c>
      <c r="E5" t="str">
        <f ca="1">OFFSET(Baza!$GX3,0,E$2)</f>
        <v>µm</v>
      </c>
      <c r="F5" t="str">
        <f ca="1">OFFSET(Baza!$GX3,0,F$2)</f>
        <v>µm</v>
      </c>
      <c r="G5" t="str">
        <f ca="1">OFFSET(Baza!$GX3,0,G$2)</f>
        <v>µm</v>
      </c>
      <c r="H5" t="str">
        <f ca="1">OFFSET(Baza!$GX3,0,H$2)</f>
        <v>µm</v>
      </c>
      <c r="I5" t="str">
        <f ca="1">OFFSET(Baza!$GX3,0,I$2)</f>
        <v>&lt;no unit&gt;</v>
      </c>
      <c r="J5" t="str">
        <f ca="1">OFFSET(Baza!$GX3,0,J$2)</f>
        <v>&lt;no unit&gt;</v>
      </c>
      <c r="K5" t="str">
        <f ca="1">OFFSET(Baza!$GX3,0,K$2)</f>
        <v>µm</v>
      </c>
      <c r="L5" t="str">
        <f ca="1">OFFSET(Baza!$GX3,0,L$2)</f>
        <v>µm</v>
      </c>
      <c r="M5" t="str">
        <f ca="1">OFFSET(Baza!$GX3,0,M$2)</f>
        <v>µm</v>
      </c>
      <c r="N5" t="str">
        <f ca="1">OFFSET(Baza!$GX3,0,N$2)</f>
        <v>µm</v>
      </c>
      <c r="O5" t="str">
        <f ca="1">OFFSET(Baza!$GX3,0,O$2)</f>
        <v>mm</v>
      </c>
      <c r="P5" t="str">
        <f ca="1">OFFSET(Baza!$GX3,0,P$2)</f>
        <v>°</v>
      </c>
      <c r="Q5" t="str">
        <f ca="1">OFFSET(Baza!$GX3,0,Q$2)</f>
        <v>%</v>
      </c>
      <c r="R5" t="str">
        <f ca="1">OFFSET(Baza!$GX3,0,R$2)</f>
        <v>µm</v>
      </c>
      <c r="S5" t="str">
        <f ca="1">OFFSET(Baza!$GX3,0,S$2)</f>
        <v>%</v>
      </c>
      <c r="T5" t="str">
        <f ca="1">OFFSET(Baza!$GX3,0,T$2)</f>
        <v>1/cm</v>
      </c>
    </row>
    <row r="6" spans="1:23" x14ac:dyDescent="0.2">
      <c r="A6" s="1" t="s">
        <v>244</v>
      </c>
      <c r="B6">
        <f>Baza!GX4</f>
        <v>2.5241809919999998</v>
      </c>
      <c r="C6">
        <f ca="1">OFFSET(Baza!$GX4,0,C$2)</f>
        <v>2.039762487</v>
      </c>
      <c r="D6">
        <f ca="1">OFFSET(Baza!$GX4,0,D$2)</f>
        <v>4.5639434789999997</v>
      </c>
      <c r="E6">
        <f ca="1">OFFSET(Baza!$GX4,0,E$2)</f>
        <v>1.7466865309999999</v>
      </c>
      <c r="F6">
        <f ca="1">OFFSET(Baza!$GX4,0,F$2)</f>
        <v>7.4685170999999997</v>
      </c>
      <c r="G6">
        <f ca="1">OFFSET(Baza!$GX4,0,G$2)</f>
        <v>0.65268534460000005</v>
      </c>
      <c r="H6">
        <f ca="1">OFFSET(Baza!$GX4,0,H$2)</f>
        <v>0.85477796380000004</v>
      </c>
      <c r="I6">
        <f ca="1">OFFSET(Baza!$GX4,0,I$2)</f>
        <v>0.3644984275</v>
      </c>
      <c r="J6">
        <f ca="1">OFFSET(Baza!$GX4,0,J$2)</f>
        <v>3.8886114549999999</v>
      </c>
      <c r="K6">
        <f ca="1">OFFSET(Baza!$GX4,0,K$2)</f>
        <v>4.1410546180000001</v>
      </c>
      <c r="L6">
        <f ca="1">OFFSET(Baza!$GX4,0,L$2)</f>
        <v>3.3274624820000001</v>
      </c>
      <c r="M6">
        <f ca="1">OFFSET(Baza!$GX4,0,M$2)</f>
        <v>6.9983635470000003</v>
      </c>
      <c r="N6">
        <f ca="1">OFFSET(Baza!$GX4,0,N$2)</f>
        <v>5.0878897529999998</v>
      </c>
      <c r="O6">
        <f ca="1">OFFSET(Baza!$GX4,0,O$2)</f>
        <v>9.1695259710000004E-2</v>
      </c>
      <c r="P6">
        <f ca="1">OFFSET(Baza!$GX4,0,P$2)</f>
        <v>6.0392112850000004</v>
      </c>
      <c r="Q6">
        <f ca="1">OFFSET(Baza!$GX4,0,Q$2)</f>
        <v>1.039286844</v>
      </c>
      <c r="R6">
        <f ca="1">OFFSET(Baza!$GX4,0,R$2)</f>
        <v>1.208770659</v>
      </c>
      <c r="S6">
        <f ca="1">OFFSET(Baza!$GX4,0,S$2)</f>
        <v>8.7551078340000004</v>
      </c>
      <c r="T6">
        <f ca="1">OFFSET(Baza!$GX4,0,T$2)</f>
        <v>112.48181529999999</v>
      </c>
    </row>
    <row r="7" spans="1:23" x14ac:dyDescent="0.2">
      <c r="A7" s="1" t="s">
        <v>245</v>
      </c>
      <c r="B7">
        <f>Baza!GX5</f>
        <v>2.5576857469999998</v>
      </c>
      <c r="C7">
        <f ca="1">OFFSET(Baza!$GX5,0,C$2)</f>
        <v>2.3866248670000001</v>
      </c>
      <c r="D7">
        <f ca="1">OFFSET(Baza!$GX5,0,D$2)</f>
        <v>4.9443106139999999</v>
      </c>
      <c r="E7">
        <f ca="1">OFFSET(Baza!$GX5,0,E$2)</f>
        <v>1.9474530889999999</v>
      </c>
      <c r="F7">
        <f ca="1">OFFSET(Baza!$GX5,0,F$2)</f>
        <v>8.0917857889999993</v>
      </c>
      <c r="G7">
        <f ca="1">OFFSET(Baza!$GX5,0,G$2)</f>
        <v>0.70019595570000004</v>
      </c>
      <c r="H7">
        <f ca="1">OFFSET(Baza!$GX5,0,H$2)</f>
        <v>0.9149583805</v>
      </c>
      <c r="I7">
        <f ca="1">OFFSET(Baza!$GX5,0,I$2)</f>
        <v>0.2051540721</v>
      </c>
      <c r="J7">
        <f ca="1">OFFSET(Baza!$GX5,0,J$2)</f>
        <v>3.8291372379999999</v>
      </c>
      <c r="K7">
        <f ca="1">OFFSET(Baza!$GX5,0,K$2)</f>
        <v>4.2197126689999997</v>
      </c>
      <c r="L7">
        <f ca="1">OFFSET(Baza!$GX5,0,L$2)</f>
        <v>3.87207312</v>
      </c>
      <c r="M7">
        <f ca="1">OFFSET(Baza!$GX5,0,M$2)</f>
        <v>7.5080979680000004</v>
      </c>
      <c r="N7">
        <f ca="1">OFFSET(Baza!$GX5,0,N$2)</f>
        <v>5.7008061320000003</v>
      </c>
      <c r="O7">
        <f ca="1">OFFSET(Baza!$GX5,0,O$2)</f>
        <v>8.9823088780000004E-2</v>
      </c>
      <c r="P7">
        <f ca="1">OFFSET(Baza!$GX5,0,P$2)</f>
        <v>6.5412833289999996</v>
      </c>
      <c r="Q7">
        <f ca="1">OFFSET(Baza!$GX5,0,Q$2)</f>
        <v>1.1089704949999999</v>
      </c>
      <c r="R7">
        <f ca="1">OFFSET(Baza!$GX5,0,R$2)</f>
        <v>1.312032654</v>
      </c>
      <c r="S7">
        <f ca="1">OFFSET(Baza!$GX5,0,S$2)</f>
        <v>8.2973427710000003</v>
      </c>
      <c r="T7">
        <f ca="1">OFFSET(Baza!$GX5,0,T$2)</f>
        <v>115.0063974</v>
      </c>
    </row>
    <row r="8" spans="1:23" x14ac:dyDescent="0.2">
      <c r="A8" s="1" t="s">
        <v>246</v>
      </c>
      <c r="B8">
        <f>Baza!GX6</f>
        <v>2.6862172370000001</v>
      </c>
      <c r="C8">
        <f ca="1">OFFSET(Baza!$GX6,0,C$2)</f>
        <v>2.698616795</v>
      </c>
      <c r="D8">
        <f ca="1">OFFSET(Baza!$GX6,0,D$2)</f>
        <v>5.3848340319999997</v>
      </c>
      <c r="E8">
        <f ca="1">OFFSET(Baza!$GX6,0,E$2)</f>
        <v>2.1312821629999998</v>
      </c>
      <c r="F8">
        <f ca="1">OFFSET(Baza!$GX6,0,F$2)</f>
        <v>8.6794298320000003</v>
      </c>
      <c r="G8">
        <f ca="1">OFFSET(Baza!$GX6,0,G$2)</f>
        <v>0.75215646899999999</v>
      </c>
      <c r="H8">
        <f ca="1">OFFSET(Baza!$GX6,0,H$2)</f>
        <v>0.98062075689999995</v>
      </c>
      <c r="I8">
        <f ca="1">OFFSET(Baza!$GX6,0,I$2)</f>
        <v>9.5026538039999997E-2</v>
      </c>
      <c r="J8">
        <f ca="1">OFFSET(Baza!$GX6,0,J$2)</f>
        <v>3.8115859240000001</v>
      </c>
      <c r="K8">
        <f ca="1">OFFSET(Baza!$GX6,0,K$2)</f>
        <v>4.3333854369999996</v>
      </c>
      <c r="L8">
        <f ca="1">OFFSET(Baza!$GX6,0,L$2)</f>
        <v>4.3460443949999998</v>
      </c>
      <c r="M8">
        <f ca="1">OFFSET(Baza!$GX6,0,M$2)</f>
        <v>8.0651943579999994</v>
      </c>
      <c r="N8">
        <f ca="1">OFFSET(Baza!$GX6,0,N$2)</f>
        <v>6.2724921949999999</v>
      </c>
      <c r="O8">
        <f ca="1">OFFSET(Baza!$GX6,0,O$2)</f>
        <v>8.3609245550000003E-2</v>
      </c>
      <c r="P8">
        <f ca="1">OFFSET(Baza!$GX6,0,P$2)</f>
        <v>7.405161133</v>
      </c>
      <c r="Q8">
        <f ca="1">OFFSET(Baza!$GX6,0,Q$2)</f>
        <v>1.0556299659999999</v>
      </c>
      <c r="R8">
        <f ca="1">OFFSET(Baza!$GX6,0,R$2)</f>
        <v>1.4252716329999999</v>
      </c>
      <c r="S8">
        <f ca="1">OFFSET(Baza!$GX6,0,S$2)</f>
        <v>7.9052474269999999</v>
      </c>
      <c r="T8">
        <f ca="1">OFFSET(Baza!$GX6,0,T$2)</f>
        <v>123.4351018</v>
      </c>
    </row>
    <row r="9" spans="1:23" x14ac:dyDescent="0.2">
      <c r="A9" s="1" t="s">
        <v>247</v>
      </c>
      <c r="B9">
        <f>Baza!GX7</f>
        <v>2.943898608</v>
      </c>
      <c r="C9">
        <f ca="1">OFFSET(Baza!$GX7,0,C$2)</f>
        <v>2.3761365149999998</v>
      </c>
      <c r="D9">
        <f ca="1">OFFSET(Baza!$GX7,0,D$2)</f>
        <v>5.3200351230000003</v>
      </c>
      <c r="E9">
        <f ca="1">OFFSET(Baza!$GX7,0,E$2)</f>
        <v>1.918123263</v>
      </c>
      <c r="F9">
        <f ca="1">OFFSET(Baza!$GX7,0,F$2)</f>
        <v>8.4444524110000003</v>
      </c>
      <c r="G9">
        <f ca="1">OFFSET(Baza!$GX7,0,G$2)</f>
        <v>0.70598417130000002</v>
      </c>
      <c r="H9">
        <f ca="1">OFFSET(Baza!$GX7,0,H$2)</f>
        <v>0.92671127340000004</v>
      </c>
      <c r="I9">
        <f ca="1">OFFSET(Baza!$GX7,0,I$2)</f>
        <v>0.35499576710000003</v>
      </c>
      <c r="J9">
        <f ca="1">OFFSET(Baza!$GX7,0,J$2)</f>
        <v>4.0800448500000002</v>
      </c>
      <c r="K9">
        <f ca="1">OFFSET(Baza!$GX7,0,K$2)</f>
        <v>4.7362400920000001</v>
      </c>
      <c r="L9">
        <f ca="1">OFFSET(Baza!$GX7,0,L$2)</f>
        <v>3.7082123180000002</v>
      </c>
      <c r="M9">
        <f ca="1">OFFSET(Baza!$GX7,0,M$2)</f>
        <v>7.8174220740000004</v>
      </c>
      <c r="N9">
        <f ca="1">OFFSET(Baza!$GX7,0,N$2)</f>
        <v>5.8542940950000002</v>
      </c>
      <c r="O9">
        <f ca="1">OFFSET(Baza!$GX7,0,O$2)</f>
        <v>6.4941827310000005E-2</v>
      </c>
      <c r="P9">
        <f ca="1">OFFSET(Baza!$GX7,0,P$2)</f>
        <v>9.4771530209999995</v>
      </c>
      <c r="Q9">
        <f ca="1">OFFSET(Baza!$GX7,0,Q$2)</f>
        <v>0.61761721439999995</v>
      </c>
      <c r="R9">
        <f ca="1">OFFSET(Baza!$GX7,0,R$2)</f>
        <v>1.319141908</v>
      </c>
      <c r="S9">
        <f ca="1">OFFSET(Baza!$GX7,0,S$2)</f>
        <v>7.6529154579999998</v>
      </c>
      <c r="T9">
        <f ca="1">OFFSET(Baza!$GX7,0,T$2)</f>
        <v>158.22940130000001</v>
      </c>
    </row>
    <row r="10" spans="1:23" x14ac:dyDescent="0.2">
      <c r="A10" s="1" t="s">
        <v>248</v>
      </c>
      <c r="B10">
        <f>Baza!GX8</f>
        <v>2.8421563120000002</v>
      </c>
      <c r="C10">
        <f ca="1">OFFSET(Baza!$GX8,0,C$2)</f>
        <v>2.8587580739999998</v>
      </c>
      <c r="D10">
        <f ca="1">OFFSET(Baza!$GX8,0,D$2)</f>
        <v>5.700914386</v>
      </c>
      <c r="E10">
        <f ca="1">OFFSET(Baza!$GX8,0,E$2)</f>
        <v>2.146223301</v>
      </c>
      <c r="F10">
        <f ca="1">OFFSET(Baza!$GX8,0,F$2)</f>
        <v>8.9656561000000004</v>
      </c>
      <c r="G10">
        <f ca="1">OFFSET(Baza!$GX8,0,G$2)</f>
        <v>0.7627668756</v>
      </c>
      <c r="H10">
        <f ca="1">OFFSET(Baza!$GX8,0,H$2)</f>
        <v>0.995103344</v>
      </c>
      <c r="I10">
        <f ca="1">OFFSET(Baza!$GX8,0,I$2)</f>
        <v>9.1231156980000006E-2</v>
      </c>
      <c r="J10">
        <f ca="1">OFFSET(Baza!$GX8,0,J$2)</f>
        <v>3.9138906919999998</v>
      </c>
      <c r="K10">
        <f ca="1">OFFSET(Baza!$GX8,0,K$2)</f>
        <v>4.5265468789999996</v>
      </c>
      <c r="L10">
        <f ca="1">OFFSET(Baza!$GX8,0,L$2)</f>
        <v>4.4391092209999998</v>
      </c>
      <c r="M10">
        <f ca="1">OFFSET(Baza!$GX8,0,M$2)</f>
        <v>8.2792972210000002</v>
      </c>
      <c r="N10">
        <f ca="1">OFFSET(Baza!$GX8,0,N$2)</f>
        <v>6.4300419890000002</v>
      </c>
      <c r="O10">
        <f ca="1">OFFSET(Baza!$GX8,0,O$2)</f>
        <v>6.5325117700000004E-2</v>
      </c>
      <c r="P10">
        <f ca="1">OFFSET(Baza!$GX8,0,P$2)</f>
        <v>9.961700402</v>
      </c>
      <c r="Q10">
        <f ca="1">OFFSET(Baza!$GX8,0,Q$2)</f>
        <v>0.77554339859999999</v>
      </c>
      <c r="R10">
        <f ca="1">OFFSET(Baza!$GX8,0,R$2)</f>
        <v>1.451765312</v>
      </c>
      <c r="S10">
        <f ca="1">OFFSET(Baza!$GX8,0,S$2)</f>
        <v>7.2423590080000002</v>
      </c>
      <c r="T10">
        <f ca="1">OFFSET(Baza!$GX8,0,T$2)</f>
        <v>157.41836259999999</v>
      </c>
    </row>
    <row r="11" spans="1:23" x14ac:dyDescent="0.2">
      <c r="A11" s="1" t="s">
        <v>249</v>
      </c>
      <c r="B11">
        <f>Baza!GX9</f>
        <v>2.9815531649999998</v>
      </c>
      <c r="C11">
        <f ca="1">OFFSET(Baza!$GX9,0,C$2)</f>
        <v>3.2277660039999998</v>
      </c>
      <c r="D11">
        <f ca="1">OFFSET(Baza!$GX9,0,D$2)</f>
        <v>6.2093191689999996</v>
      </c>
      <c r="E11">
        <f ca="1">OFFSET(Baza!$GX9,0,E$2)</f>
        <v>2.3570230919999999</v>
      </c>
      <c r="F11">
        <f ca="1">OFFSET(Baza!$GX9,0,F$2)</f>
        <v>9.5783295319999997</v>
      </c>
      <c r="G11">
        <f ca="1">OFFSET(Baza!$GX9,0,G$2)</f>
        <v>0.82421685140000001</v>
      </c>
      <c r="H11">
        <f ca="1">OFFSET(Baza!$GX9,0,H$2)</f>
        <v>1.073640894</v>
      </c>
      <c r="I11">
        <f ca="1">OFFSET(Baza!$GX9,0,I$2)</f>
        <v>-2.485074323E-2</v>
      </c>
      <c r="J11">
        <f ca="1">OFFSET(Baza!$GX9,0,J$2)</f>
        <v>3.8910754440000002</v>
      </c>
      <c r="K11">
        <f ca="1">OFFSET(Baza!$GX9,0,K$2)</f>
        <v>4.6806109060000001</v>
      </c>
      <c r="L11">
        <f ca="1">OFFSET(Baza!$GX9,0,L$2)</f>
        <v>4.8977186250000004</v>
      </c>
      <c r="M11">
        <f ca="1">OFFSET(Baza!$GX9,0,M$2)</f>
        <v>8.8770595889999999</v>
      </c>
      <c r="N11">
        <f ca="1">OFFSET(Baza!$GX9,0,N$2)</f>
        <v>7.0793682159999998</v>
      </c>
      <c r="O11">
        <f ca="1">OFFSET(Baza!$GX9,0,O$2)</f>
        <v>6.1162317250000001E-2</v>
      </c>
      <c r="P11">
        <f ca="1">OFFSET(Baza!$GX9,0,P$2)</f>
        <v>11.197779779999999</v>
      </c>
      <c r="Q11">
        <f ca="1">OFFSET(Baza!$GX9,0,Q$2)</f>
        <v>0.71839043339999997</v>
      </c>
      <c r="R11">
        <f ca="1">OFFSET(Baza!$GX9,0,R$2)</f>
        <v>1.5815976540000001</v>
      </c>
      <c r="S11">
        <f ca="1">OFFSET(Baza!$GX9,0,S$2)</f>
        <v>6.8701942039999997</v>
      </c>
      <c r="T11">
        <f ca="1">OFFSET(Baza!$GX9,0,T$2)</f>
        <v>167.9554665</v>
      </c>
    </row>
    <row r="12" spans="1:23" x14ac:dyDescent="0.2">
      <c r="A12" s="1" t="s">
        <v>250</v>
      </c>
      <c r="B12">
        <f>Baza!GX10</f>
        <v>2.3307979579999998</v>
      </c>
      <c r="C12">
        <f ca="1">OFFSET(Baza!$GX10,0,C$2)</f>
        <v>2.059469966</v>
      </c>
      <c r="D12">
        <f ca="1">OFFSET(Baza!$GX10,0,D$2)</f>
        <v>4.3902679239999998</v>
      </c>
      <c r="E12">
        <f ca="1">OFFSET(Baza!$GX10,0,E$2)</f>
        <v>1.8289665129999999</v>
      </c>
      <c r="F12">
        <f ca="1">OFFSET(Baza!$GX10,0,F$2)</f>
        <v>6.9656528</v>
      </c>
      <c r="G12">
        <f ca="1">OFFSET(Baza!$GX10,0,G$2)</f>
        <v>0.67690725480000002</v>
      </c>
      <c r="H12">
        <f ca="1">OFFSET(Baza!$GX10,0,H$2)</f>
        <v>0.87395979140000002</v>
      </c>
      <c r="I12">
        <f ca="1">OFFSET(Baza!$GX10,0,I$2)</f>
        <v>0.2204259864</v>
      </c>
      <c r="J12">
        <f ca="1">OFFSET(Baza!$GX10,0,J$2)</f>
        <v>3.477774835</v>
      </c>
      <c r="K12">
        <f ca="1">OFFSET(Baza!$GX10,0,K$2)</f>
        <v>3.7982230879999999</v>
      </c>
      <c r="L12">
        <f ca="1">OFFSET(Baza!$GX10,0,L$2)</f>
        <v>3.1674297120000001</v>
      </c>
      <c r="M12">
        <f ca="1">OFFSET(Baza!$GX10,0,M$2)</f>
        <v>6.616015558</v>
      </c>
      <c r="N12">
        <f ca="1">OFFSET(Baza!$GX10,0,N$2)</f>
        <v>5.0021113259999996</v>
      </c>
      <c r="O12">
        <f ca="1">OFFSET(Baza!$GX10,0,O$2)</f>
        <v>0.1029425383</v>
      </c>
      <c r="P12">
        <f ca="1">OFFSET(Baza!$GX10,0,P$2)</f>
        <v>4.2439853769999996</v>
      </c>
      <c r="Q12">
        <f ca="1">OFFSET(Baza!$GX10,0,Q$2)</f>
        <v>1.7521173489999999</v>
      </c>
      <c r="R12">
        <f ca="1">OFFSET(Baza!$GX10,0,R$2)</f>
        <v>1.288949565</v>
      </c>
      <c r="S12">
        <f ca="1">OFFSET(Baza!$GX10,0,S$2)</f>
        <v>9.6081620080000008</v>
      </c>
      <c r="T12">
        <f ca="1">OFFSET(Baza!$GX10,0,T$2)</f>
        <v>99.663621660000004</v>
      </c>
    </row>
    <row r="13" spans="1:23" x14ac:dyDescent="0.2">
      <c r="A13" s="1" t="s">
        <v>251</v>
      </c>
      <c r="B13">
        <f>Baza!GX11</f>
        <v>2.165011179</v>
      </c>
      <c r="C13">
        <f ca="1">OFFSET(Baza!$GX11,0,C$2)</f>
        <v>1.7202372699999999</v>
      </c>
      <c r="D13">
        <f ca="1">OFFSET(Baza!$GX11,0,D$2)</f>
        <v>3.8852484500000002</v>
      </c>
      <c r="E13">
        <f ca="1">OFFSET(Baza!$GX11,0,E$2)</f>
        <v>1.722462994</v>
      </c>
      <c r="F13">
        <f ca="1">OFFSET(Baza!$GX11,0,F$2)</f>
        <v>6.5462301109999999</v>
      </c>
      <c r="G13">
        <f ca="1">OFFSET(Baza!$GX11,0,G$2)</f>
        <v>0.61447308540000001</v>
      </c>
      <c r="H13">
        <f ca="1">OFFSET(Baza!$GX11,0,H$2)</f>
        <v>0.79871938649999996</v>
      </c>
      <c r="I13">
        <f ca="1">OFFSET(Baza!$GX11,0,I$2)</f>
        <v>0.35073366379999998</v>
      </c>
      <c r="J13">
        <f ca="1">OFFSET(Baza!$GX11,0,J$2)</f>
        <v>3.6116689050000002</v>
      </c>
      <c r="K13">
        <f ca="1">OFFSET(Baza!$GX11,0,K$2)</f>
        <v>3.6775291449999998</v>
      </c>
      <c r="L13">
        <f ca="1">OFFSET(Baza!$GX11,0,L$2)</f>
        <v>2.868700966</v>
      </c>
      <c r="M13">
        <f ca="1">OFFSET(Baza!$GX11,0,M$2)</f>
        <v>6.2166832469999997</v>
      </c>
      <c r="N13">
        <f ca="1">OFFSET(Baza!$GX11,0,N$2)</f>
        <v>4.5438205109999998</v>
      </c>
      <c r="O13">
        <f ca="1">OFFSET(Baza!$GX11,0,O$2)</f>
        <v>0.13320433170000001</v>
      </c>
      <c r="P13">
        <f ca="1">OFFSET(Baza!$GX11,0,P$2)</f>
        <v>3.4212588020000001</v>
      </c>
      <c r="Q13">
        <f ca="1">OFFSET(Baza!$GX11,0,Q$2)</f>
        <v>1.8290202390000001</v>
      </c>
      <c r="R13">
        <f ca="1">OFFSET(Baza!$GX11,0,R$2)</f>
        <v>1.1398370520000001</v>
      </c>
      <c r="S13">
        <f ca="1">OFFSET(Baza!$GX11,0,S$2)</f>
        <v>10.25764015</v>
      </c>
      <c r="T13">
        <f ca="1">OFFSET(Baza!$GX11,0,T$2)</f>
        <v>77.082556060000002</v>
      </c>
    </row>
    <row r="14" spans="1:23" x14ac:dyDescent="0.2">
      <c r="A14" s="1" t="s">
        <v>252</v>
      </c>
      <c r="B14">
        <f>Baza!GX12</f>
        <v>2.276294043</v>
      </c>
      <c r="C14">
        <f ca="1">OFFSET(Baza!$GX12,0,C$2)</f>
        <v>1.827182214</v>
      </c>
      <c r="D14">
        <f ca="1">OFFSET(Baza!$GX12,0,D$2)</f>
        <v>4.1034762560000004</v>
      </c>
      <c r="E14">
        <f ca="1">OFFSET(Baza!$GX12,0,E$2)</f>
        <v>1.8249580329999999</v>
      </c>
      <c r="F14">
        <f ca="1">OFFSET(Baza!$GX12,0,F$2)</f>
        <v>6.8156221370000001</v>
      </c>
      <c r="G14">
        <f ca="1">OFFSET(Baza!$GX12,0,G$2)</f>
        <v>0.64410361670000005</v>
      </c>
      <c r="H14">
        <f ca="1">OFFSET(Baza!$GX12,0,H$2)</f>
        <v>0.83270990199999995</v>
      </c>
      <c r="I14">
        <f ca="1">OFFSET(Baza!$GX12,0,I$2)</f>
        <v>0.32512159800000001</v>
      </c>
      <c r="J14">
        <f ca="1">OFFSET(Baza!$GX12,0,J$2)</f>
        <v>3.5842378680000002</v>
      </c>
      <c r="K14">
        <f ca="1">OFFSET(Baza!$GX12,0,K$2)</f>
        <v>3.801889466</v>
      </c>
      <c r="L14">
        <f ca="1">OFFSET(Baza!$GX12,0,L$2)</f>
        <v>3.0137326710000001</v>
      </c>
      <c r="M14">
        <f ca="1">OFFSET(Baza!$GX12,0,M$2)</f>
        <v>6.4392753630000001</v>
      </c>
      <c r="N14">
        <f ca="1">OFFSET(Baza!$GX12,0,N$2)</f>
        <v>4.8447083580000001</v>
      </c>
      <c r="O14">
        <f ca="1">OFFSET(Baza!$GX12,0,O$2)</f>
        <v>0.1219218401</v>
      </c>
      <c r="P14">
        <f ca="1">OFFSET(Baza!$GX12,0,P$2)</f>
        <v>3.8693892609999998</v>
      </c>
      <c r="Q14">
        <f ca="1">OFFSET(Baza!$GX12,0,Q$2)</f>
        <v>1.572373955</v>
      </c>
      <c r="R14">
        <f ca="1">OFFSET(Baza!$GX12,0,R$2)</f>
        <v>1.2127695270000001</v>
      </c>
      <c r="S14">
        <f ca="1">OFFSET(Baza!$GX12,0,S$2)</f>
        <v>10.11899736</v>
      </c>
      <c r="T14">
        <f ca="1">OFFSET(Baza!$GX12,0,T$2)</f>
        <v>83.925955130000006</v>
      </c>
    </row>
    <row r="15" spans="1:23" x14ac:dyDescent="0.2">
      <c r="A15" s="1" t="s">
        <v>253</v>
      </c>
      <c r="B15">
        <f>Baza!GX13</f>
        <v>2.620392345</v>
      </c>
      <c r="C15">
        <f ca="1">OFFSET(Baza!$GX13,0,C$2)</f>
        <v>2.1928803289999999</v>
      </c>
      <c r="D15">
        <f ca="1">OFFSET(Baza!$GX13,0,D$2)</f>
        <v>4.8132726740000003</v>
      </c>
      <c r="E15">
        <f ca="1">OFFSET(Baza!$GX13,0,E$2)</f>
        <v>2.1706921050000001</v>
      </c>
      <c r="F15">
        <f ca="1">OFFSET(Baza!$GX13,0,F$2)</f>
        <v>7.5813001470000003</v>
      </c>
      <c r="G15">
        <f ca="1">OFFSET(Baza!$GX13,0,G$2)</f>
        <v>0.72216404479999996</v>
      </c>
      <c r="H15">
        <f ca="1">OFFSET(Baza!$GX13,0,H$2)</f>
        <v>0.9422033178</v>
      </c>
      <c r="I15">
        <f ca="1">OFFSET(Baza!$GX13,0,I$2)</f>
        <v>0.34447617000000003</v>
      </c>
      <c r="J15">
        <f ca="1">OFFSET(Baza!$GX13,0,J$2)</f>
        <v>3.9285816489999998</v>
      </c>
      <c r="K15">
        <f ca="1">OFFSET(Baza!$GX13,0,K$2)</f>
        <v>4.1557650820000003</v>
      </c>
      <c r="L15">
        <f ca="1">OFFSET(Baza!$GX13,0,L$2)</f>
        <v>3.4250131810000002</v>
      </c>
      <c r="M15">
        <f ca="1">OFFSET(Baza!$GX13,0,M$2)</f>
        <v>7.1757765320000004</v>
      </c>
      <c r="N15">
        <f ca="1">OFFSET(Baza!$GX13,0,N$2)</f>
        <v>5.3597830950000001</v>
      </c>
      <c r="O15">
        <f ca="1">OFFSET(Baza!$GX13,0,O$2)</f>
        <v>9.3456819139999994E-2</v>
      </c>
      <c r="P15">
        <f ca="1">OFFSET(Baza!$GX13,0,P$2)</f>
        <v>10.102874180000001</v>
      </c>
      <c r="Q15">
        <f ca="1">OFFSET(Baza!$GX13,0,Q$2)</f>
        <v>1.494495385</v>
      </c>
      <c r="R15">
        <f ca="1">OFFSET(Baza!$GX13,0,R$2)</f>
        <v>1.344685804</v>
      </c>
      <c r="S15">
        <f ca="1">OFFSET(Baza!$GX13,0,S$2)</f>
        <v>9.7467833909999992</v>
      </c>
      <c r="T15">
        <f ca="1">OFFSET(Baza!$GX13,0,T$2)</f>
        <v>109.7865506</v>
      </c>
    </row>
    <row r="16" spans="1:23" x14ac:dyDescent="0.2">
      <c r="A16" s="1" t="s">
        <v>254</v>
      </c>
      <c r="B16">
        <f>Baza!GX14</f>
        <v>2.2677013490000002</v>
      </c>
      <c r="C16">
        <f ca="1">OFFSET(Baza!$GX14,0,C$2)</f>
        <v>1.6276807689999999</v>
      </c>
      <c r="D16">
        <f ca="1">OFFSET(Baza!$GX14,0,D$2)</f>
        <v>3.8953821190000002</v>
      </c>
      <c r="E16">
        <f ca="1">OFFSET(Baza!$GX14,0,E$2)</f>
        <v>2.1964016499999999</v>
      </c>
      <c r="F16">
        <f ca="1">OFFSET(Baza!$GX14,0,F$2)</f>
        <v>6.7017217049999998</v>
      </c>
      <c r="G16">
        <f ca="1">OFFSET(Baza!$GX14,0,G$2)</f>
        <v>0.62066217530000001</v>
      </c>
      <c r="H16">
        <f ca="1">OFFSET(Baza!$GX14,0,H$2)</f>
        <v>0.81653902430000003</v>
      </c>
      <c r="I16">
        <f ca="1">OFFSET(Baza!$GX14,0,I$2)</f>
        <v>0.48641139</v>
      </c>
      <c r="J16">
        <f ca="1">OFFSET(Baza!$GX14,0,J$2)</f>
        <v>4.0182433509999997</v>
      </c>
      <c r="K16">
        <f ca="1">OFFSET(Baza!$GX14,0,K$2)</f>
        <v>3.896861125</v>
      </c>
      <c r="L16">
        <f ca="1">OFFSET(Baza!$GX14,0,L$2)</f>
        <v>2.8048206800000002</v>
      </c>
      <c r="M16">
        <f ca="1">OFFSET(Baza!$GX14,0,M$2)</f>
        <v>6.329489937</v>
      </c>
      <c r="N16">
        <f ca="1">OFFSET(Baza!$GX14,0,N$2)</f>
        <v>4.5306611529999996</v>
      </c>
      <c r="O16">
        <f ca="1">OFFSET(Baza!$GX14,0,O$2)</f>
        <v>0.1922307281</v>
      </c>
      <c r="P16">
        <f ca="1">OFFSET(Baza!$GX14,0,P$2)</f>
        <v>6.017958965</v>
      </c>
      <c r="Q16">
        <f ca="1">OFFSET(Baza!$GX14,0,Q$2)</f>
        <v>1.759434516</v>
      </c>
      <c r="R16">
        <f ca="1">OFFSET(Baza!$GX14,0,R$2)</f>
        <v>1.129755096</v>
      </c>
      <c r="S16">
        <f ca="1">OFFSET(Baza!$GX14,0,S$2)</f>
        <v>10.604841049999999</v>
      </c>
      <c r="T16">
        <f ca="1">OFFSET(Baza!$GX14,0,T$2)</f>
        <v>53.521739050000001</v>
      </c>
    </row>
    <row r="17" spans="1:20" x14ac:dyDescent="0.2">
      <c r="A17" s="1" t="s">
        <v>255</v>
      </c>
      <c r="B17">
        <f>Baza!GX15</f>
        <v>2.2604459779999999</v>
      </c>
      <c r="C17">
        <f ca="1">OFFSET(Baza!$GX15,0,C$2)</f>
        <v>1.6832867970000001</v>
      </c>
      <c r="D17">
        <f ca="1">OFFSET(Baza!$GX15,0,D$2)</f>
        <v>3.9437327739999999</v>
      </c>
      <c r="E17">
        <f ca="1">OFFSET(Baza!$GX15,0,E$2)</f>
        <v>1.9193600989999999</v>
      </c>
      <c r="F17">
        <f ca="1">OFFSET(Baza!$GX15,0,F$2)</f>
        <v>6.6857044319999996</v>
      </c>
      <c r="G17">
        <f ca="1">OFFSET(Baza!$GX15,0,G$2)</f>
        <v>0.62779042419999997</v>
      </c>
      <c r="H17">
        <f ca="1">OFFSET(Baza!$GX15,0,H$2)</f>
        <v>0.820914912</v>
      </c>
      <c r="I17">
        <f ca="1">OFFSET(Baza!$GX15,0,I$2)</f>
        <v>0.42949113420000001</v>
      </c>
      <c r="J17">
        <f ca="1">OFFSET(Baza!$GX15,0,J$2)</f>
        <v>3.7972318450000002</v>
      </c>
      <c r="K17">
        <f ca="1">OFFSET(Baza!$GX15,0,K$2)</f>
        <v>3.8347445599999999</v>
      </c>
      <c r="L17">
        <f ca="1">OFFSET(Baza!$GX15,0,L$2)</f>
        <v>2.8509598710000001</v>
      </c>
      <c r="M17">
        <f ca="1">OFFSET(Baza!$GX15,0,M$2)</f>
        <v>6.3243680790000001</v>
      </c>
      <c r="N17">
        <f ca="1">OFFSET(Baza!$GX15,0,N$2)</f>
        <v>4.512966295</v>
      </c>
      <c r="O17">
        <f ca="1">OFFSET(Baza!$GX15,0,O$2)</f>
        <v>0.15680411089999999</v>
      </c>
      <c r="P17">
        <f ca="1">OFFSET(Baza!$GX15,0,P$2)</f>
        <v>5.4742444939999997</v>
      </c>
      <c r="Q17">
        <f ca="1">OFFSET(Baza!$GX15,0,Q$2)</f>
        <v>1.9393464419999999</v>
      </c>
      <c r="R17">
        <f ca="1">OFFSET(Baza!$GX15,0,R$2)</f>
        <v>1.155193769</v>
      </c>
      <c r="S17">
        <f ca="1">OFFSET(Baza!$GX15,0,S$2)</f>
        <v>10.5960485</v>
      </c>
      <c r="T17">
        <f ca="1">OFFSET(Baza!$GX15,0,T$2)</f>
        <v>66.043898310000003</v>
      </c>
    </row>
    <row r="18" spans="1:20" x14ac:dyDescent="0.2">
      <c r="A18" s="1" t="s">
        <v>256</v>
      </c>
      <c r="B18">
        <f>Baza!GX16</f>
        <v>2.262025081</v>
      </c>
      <c r="C18">
        <f ca="1">OFFSET(Baza!$GX16,0,C$2)</f>
        <v>1.617249215</v>
      </c>
      <c r="D18">
        <f ca="1">OFFSET(Baza!$GX16,0,D$2)</f>
        <v>3.8792742950000001</v>
      </c>
      <c r="E18">
        <f ca="1">OFFSET(Baza!$GX16,0,E$2)</f>
        <v>2.2399125419999999</v>
      </c>
      <c r="F18">
        <f ca="1">OFFSET(Baza!$GX16,0,F$2)</f>
        <v>6.6814941000000001</v>
      </c>
      <c r="G18">
        <f ca="1">OFFSET(Baza!$GX16,0,G$2)</f>
        <v>0.61936146960000005</v>
      </c>
      <c r="H18">
        <f ca="1">OFFSET(Baza!$GX16,0,H$2)</f>
        <v>0.81402163829999996</v>
      </c>
      <c r="I18">
        <f ca="1">OFFSET(Baza!$GX16,0,I$2)</f>
        <v>0.48572480870000001</v>
      </c>
      <c r="J18">
        <f ca="1">OFFSET(Baza!$GX16,0,J$2)</f>
        <v>4.0010252460000002</v>
      </c>
      <c r="K18">
        <f ca="1">OFFSET(Baza!$GX16,0,K$2)</f>
        <v>3.8879316610000001</v>
      </c>
      <c r="L18">
        <f ca="1">OFFSET(Baza!$GX16,0,L$2)</f>
        <v>2.7931194600000002</v>
      </c>
      <c r="M18">
        <f ca="1">OFFSET(Baza!$GX16,0,M$2)</f>
        <v>6.3218050679999997</v>
      </c>
      <c r="N18">
        <f ca="1">OFFSET(Baza!$GX16,0,N$2)</f>
        <v>4.4832672579999997</v>
      </c>
      <c r="O18">
        <f ca="1">OFFSET(Baza!$GX16,0,O$2)</f>
        <v>0.19984617700000001</v>
      </c>
      <c r="P18">
        <f ca="1">OFFSET(Baza!$GX16,0,P$2)</f>
        <v>5.9735201269999996</v>
      </c>
      <c r="Q18">
        <f ca="1">OFFSET(Baza!$GX16,0,Q$2)</f>
        <v>1.7977011540000001</v>
      </c>
      <c r="R18">
        <f ca="1">OFFSET(Baza!$GX16,0,R$2)</f>
        <v>1.1255192940000001</v>
      </c>
      <c r="S18">
        <f ca="1">OFFSET(Baza!$GX16,0,S$2)</f>
        <v>10.695627419999999</v>
      </c>
      <c r="T18">
        <f ca="1">OFFSET(Baza!$GX16,0,T$2)</f>
        <v>51.677896410000002</v>
      </c>
    </row>
    <row r="19" spans="1:20" x14ac:dyDescent="0.2">
      <c r="A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"/>
  <sheetViews>
    <sheetView workbookViewId="0">
      <selection activeCell="P20" sqref="P20"/>
    </sheetView>
  </sheetViews>
  <sheetFormatPr baseColWidth="10" defaultColWidth="8.83203125" defaultRowHeight="15" x14ac:dyDescent="0.2"/>
  <cols>
    <col min="1" max="1" width="11.33203125" bestFit="1" customWidth="1"/>
    <col min="4" max="4" width="18.6640625" bestFit="1" customWidth="1"/>
    <col min="10" max="10" width="5.5" bestFit="1" customWidth="1"/>
    <col min="11" max="11" width="12.5" bestFit="1" customWidth="1"/>
    <col min="12" max="12" width="11.5" bestFit="1" customWidth="1"/>
    <col min="13" max="13" width="7" bestFit="1" customWidth="1"/>
    <col min="14" max="14" width="14" bestFit="1" customWidth="1"/>
    <col min="15" max="15" width="12.83203125" bestFit="1" customWidth="1"/>
  </cols>
  <sheetData>
    <row r="1" spans="1:15" x14ac:dyDescent="0.2">
      <c r="B1" t="s">
        <v>258</v>
      </c>
      <c r="C1" t="s">
        <v>259</v>
      </c>
      <c r="D1" t="s">
        <v>260</v>
      </c>
      <c r="E1" t="s">
        <v>259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</row>
    <row r="2" spans="1:15" x14ac:dyDescent="0.2">
      <c r="B2">
        <f>Baza!J1</f>
        <v>5</v>
      </c>
      <c r="C2">
        <f>Baza!K1</f>
        <v>5</v>
      </c>
      <c r="D2">
        <f>Baza!L1</f>
        <v>6</v>
      </c>
      <c r="E2">
        <f>Baza!M1</f>
        <v>6</v>
      </c>
      <c r="F2">
        <f>Baza!N1</f>
        <v>13</v>
      </c>
      <c r="G2">
        <f>Baza!O1</f>
        <v>13</v>
      </c>
      <c r="H2">
        <f>Baza!P1</f>
        <v>14</v>
      </c>
      <c r="I2">
        <f>Baza!Q1</f>
        <v>14</v>
      </c>
    </row>
    <row r="3" spans="1:15" x14ac:dyDescent="0.2">
      <c r="B3" t="str">
        <f>Baza!J2</f>
        <v>Amp</v>
      </c>
      <c r="C3" t="str">
        <f>Baza!K2</f>
        <v>Aev</v>
      </c>
      <c r="D3" t="str">
        <f>Baza!L2</f>
        <v>Amp</v>
      </c>
      <c r="E3" t="str">
        <f>Baza!M2</f>
        <v>Aev</v>
      </c>
      <c r="F3" t="str">
        <f>Baza!N2</f>
        <v>Amp</v>
      </c>
      <c r="G3" t="str">
        <f>Baza!O2</f>
        <v>Aev</v>
      </c>
      <c r="H3" t="str">
        <f>Baza!P2</f>
        <v>Amp</v>
      </c>
      <c r="I3" t="str">
        <f>Baza!Q2</f>
        <v>Aev</v>
      </c>
    </row>
    <row r="4" spans="1:15" x14ac:dyDescent="0.2">
      <c r="B4" t="str">
        <f>Baza!J3</f>
        <v>mm²</v>
      </c>
      <c r="C4" t="str">
        <f>Baza!K3</f>
        <v>mm²</v>
      </c>
      <c r="D4" t="str">
        <f>Baza!L3</f>
        <v>mm²</v>
      </c>
      <c r="E4" t="str">
        <f>Baza!M3</f>
        <v>mm²</v>
      </c>
      <c r="F4" t="str">
        <f>Baza!N3</f>
        <v>mm²</v>
      </c>
      <c r="G4" t="str">
        <f>Baza!O3</f>
        <v>mm²</v>
      </c>
      <c r="H4" t="str">
        <f>Baza!P3</f>
        <v>mm²</v>
      </c>
      <c r="I4" t="str">
        <f>Baza!Q3</f>
        <v>mm²</v>
      </c>
    </row>
    <row r="5" spans="1:15" x14ac:dyDescent="0.2">
      <c r="A5" s="1" t="s">
        <v>244</v>
      </c>
      <c r="B5">
        <f>Baza!J4</f>
        <v>32.460248300000003</v>
      </c>
      <c r="C5">
        <f>Baza!K4</f>
        <v>32.553624839999998</v>
      </c>
      <c r="D5">
        <f>Baza!L4</f>
        <v>32.553624839999998</v>
      </c>
      <c r="E5">
        <f>Baza!M4</f>
        <v>32.553624839999998</v>
      </c>
      <c r="F5">
        <f>Baza!N4</f>
        <v>32.420177819999999</v>
      </c>
      <c r="G5">
        <f>Baza!O4</f>
        <v>32.553624839999998</v>
      </c>
      <c r="H5">
        <f>Baza!P4</f>
        <v>32.07871128</v>
      </c>
      <c r="I5">
        <f>Baza!Q4</f>
        <v>32.553624839999998</v>
      </c>
      <c r="J5" s="4">
        <f>C5-B5</f>
        <v>9.3376539999994179E-2</v>
      </c>
      <c r="K5" s="4">
        <f>G5-F5</f>
        <v>0.13344701999999842</v>
      </c>
      <c r="L5" s="4">
        <f>I5-H5</f>
        <v>0.4749135599999974</v>
      </c>
      <c r="M5" s="5">
        <f>(J5/C5)</f>
        <v>2.8683914758782414E-3</v>
      </c>
      <c r="N5" s="5">
        <f t="shared" ref="N5:O17" si="0">(K5/D5)</f>
        <v>4.0992983317798297E-3</v>
      </c>
      <c r="O5" s="5">
        <f t="shared" si="0"/>
        <v>1.4588653716266069E-2</v>
      </c>
    </row>
    <row r="6" spans="1:15" x14ac:dyDescent="0.2">
      <c r="A6" s="1" t="s">
        <v>245</v>
      </c>
      <c r="B6">
        <f>Baza!J5</f>
        <v>32.497153670000003</v>
      </c>
      <c r="C6">
        <f>Baza!K5</f>
        <v>32.553624839999998</v>
      </c>
      <c r="D6">
        <f>Baza!L5</f>
        <v>32.553624839999998</v>
      </c>
      <c r="E6">
        <f>Baza!M5</f>
        <v>32.553624839999998</v>
      </c>
      <c r="F6">
        <f>Baza!N5</f>
        <v>32.454643650000001</v>
      </c>
      <c r="G6">
        <f>Baza!O5</f>
        <v>32.553624839999998</v>
      </c>
      <c r="H6">
        <f>Baza!P5</f>
        <v>32.105283380000003</v>
      </c>
      <c r="I6">
        <f>Baza!Q5</f>
        <v>32.553624839999998</v>
      </c>
      <c r="J6" s="4">
        <f t="shared" ref="J6:J17" si="1">C6-B6</f>
        <v>5.6471169999994686E-2</v>
      </c>
      <c r="K6" s="4">
        <f t="shared" ref="K6:K17" si="2">G6-F6</f>
        <v>9.8981189999996388E-2</v>
      </c>
      <c r="L6" s="4">
        <f t="shared" ref="L6:L17" si="3">I6-H6</f>
        <v>0.44834145999999464</v>
      </c>
      <c r="M6" s="5">
        <f t="shared" ref="M6:M17" si="4">(J6/C6)</f>
        <v>1.7347121949567411E-3</v>
      </c>
      <c r="N6" s="5">
        <f t="shared" si="0"/>
        <v>3.0405581709098666E-3</v>
      </c>
      <c r="O6" s="5">
        <f t="shared" si="0"/>
        <v>1.3772397458150306E-2</v>
      </c>
    </row>
    <row r="7" spans="1:15" x14ac:dyDescent="0.2">
      <c r="A7" s="1" t="s">
        <v>246</v>
      </c>
      <c r="B7">
        <f>Baza!J6</f>
        <v>32.462162220000003</v>
      </c>
      <c r="C7">
        <f>Baza!K6</f>
        <v>32.553624839999998</v>
      </c>
      <c r="D7">
        <f>Baza!L6</f>
        <v>32.553624839999998</v>
      </c>
      <c r="E7">
        <f>Baza!M6</f>
        <v>32.553624839999998</v>
      </c>
      <c r="F7">
        <f>Baza!N6</f>
        <v>32.418461950000001</v>
      </c>
      <c r="G7">
        <f>Baza!O6</f>
        <v>32.553624839999998</v>
      </c>
      <c r="H7">
        <f>Baza!P6</f>
        <v>32.060768029999998</v>
      </c>
      <c r="I7">
        <f>Baza!Q6</f>
        <v>32.553624839999998</v>
      </c>
      <c r="J7" s="4">
        <f t="shared" si="1"/>
        <v>9.1462619999994388E-2</v>
      </c>
      <c r="K7" s="4">
        <f t="shared" si="2"/>
        <v>0.13516288999999659</v>
      </c>
      <c r="L7" s="4">
        <f t="shared" si="3"/>
        <v>0.49285680999999926</v>
      </c>
      <c r="M7" s="5">
        <f t="shared" si="4"/>
        <v>2.8095986376180894E-3</v>
      </c>
      <c r="N7" s="5">
        <f t="shared" si="0"/>
        <v>4.1520073621391712E-3</v>
      </c>
      <c r="O7" s="5">
        <f t="shared" si="0"/>
        <v>1.5139844254591443E-2</v>
      </c>
    </row>
    <row r="8" spans="1:15" x14ac:dyDescent="0.2">
      <c r="A8" s="1" t="s">
        <v>247</v>
      </c>
      <c r="B8">
        <f>Baza!J7</f>
        <v>32.551912780000002</v>
      </c>
      <c r="C8">
        <f>Baza!K7</f>
        <v>32.553624839999998</v>
      </c>
      <c r="D8">
        <f>Baza!L7</f>
        <v>32.553624839999998</v>
      </c>
      <c r="E8">
        <f>Baza!M7</f>
        <v>32.553624839999998</v>
      </c>
      <c r="F8">
        <f>Baza!N7</f>
        <v>32.503866680000002</v>
      </c>
      <c r="G8">
        <f>Baza!O7</f>
        <v>32.553624839999998</v>
      </c>
      <c r="H8">
        <f>Baza!P7</f>
        <v>32.1164603</v>
      </c>
      <c r="I8">
        <f>Baza!Q7</f>
        <v>32.553624839999998</v>
      </c>
      <c r="J8" s="4">
        <f t="shared" si="1"/>
        <v>1.7120599999955743E-3</v>
      </c>
      <c r="K8" s="4">
        <f t="shared" si="2"/>
        <v>4.975815999999611E-2</v>
      </c>
      <c r="L8" s="4">
        <f t="shared" si="3"/>
        <v>0.43716453999999771</v>
      </c>
      <c r="M8" s="5">
        <f t="shared" si="4"/>
        <v>5.259199270158986E-5</v>
      </c>
      <c r="N8" s="5">
        <f t="shared" si="0"/>
        <v>1.5284982930335973E-3</v>
      </c>
      <c r="O8" s="5">
        <f t="shared" si="0"/>
        <v>1.342905873458477E-2</v>
      </c>
    </row>
    <row r="9" spans="1:15" x14ac:dyDescent="0.2">
      <c r="A9" s="1" t="s">
        <v>248</v>
      </c>
      <c r="B9">
        <f>Baza!J8</f>
        <v>32.5526117</v>
      </c>
      <c r="C9">
        <f>Baza!K8</f>
        <v>32.553624839999998</v>
      </c>
      <c r="D9">
        <f>Baza!L8</f>
        <v>32.553624839999998</v>
      </c>
      <c r="E9">
        <f>Baza!M8</f>
        <v>32.553624839999998</v>
      </c>
      <c r="F9">
        <f>Baza!N8</f>
        <v>32.502238409999997</v>
      </c>
      <c r="G9">
        <f>Baza!O8</f>
        <v>32.553624839999998</v>
      </c>
      <c r="H9">
        <f>Baza!P8</f>
        <v>32.113230440000002</v>
      </c>
      <c r="I9">
        <f>Baza!Q8</f>
        <v>32.553624839999998</v>
      </c>
      <c r="J9" s="4">
        <f t="shared" si="1"/>
        <v>1.0131399999977475E-3</v>
      </c>
      <c r="K9" s="4">
        <f t="shared" si="2"/>
        <v>5.1386430000000871E-2</v>
      </c>
      <c r="L9" s="4">
        <f t="shared" si="3"/>
        <v>0.4403943999999953</v>
      </c>
      <c r="M9" s="5">
        <f t="shared" si="4"/>
        <v>3.1122187006125969E-5</v>
      </c>
      <c r="N9" s="5">
        <f t="shared" si="0"/>
        <v>1.5785163788230496E-3</v>
      </c>
      <c r="O9" s="5">
        <f t="shared" si="0"/>
        <v>1.3528275335374151E-2</v>
      </c>
    </row>
    <row r="10" spans="1:15" x14ac:dyDescent="0.2">
      <c r="A10" s="1" t="s">
        <v>249</v>
      </c>
      <c r="B10">
        <f>Baza!J9</f>
        <v>32.552714539999997</v>
      </c>
      <c r="C10">
        <f>Baza!K9</f>
        <v>32.553624839999998</v>
      </c>
      <c r="D10">
        <f>Baza!L9</f>
        <v>32.553624839999998</v>
      </c>
      <c r="E10">
        <f>Baza!M9</f>
        <v>32.553624839999998</v>
      </c>
      <c r="F10">
        <f>Baza!N9</f>
        <v>32.500084540000003</v>
      </c>
      <c r="G10">
        <f>Baza!O9</f>
        <v>32.553624839999998</v>
      </c>
      <c r="H10">
        <f>Baza!P9</f>
        <v>32.098899830000001</v>
      </c>
      <c r="I10">
        <f>Baza!Q9</f>
        <v>32.553624839999998</v>
      </c>
      <c r="J10" s="4">
        <f t="shared" si="1"/>
        <v>9.1030000000102973E-4</v>
      </c>
      <c r="K10" s="4">
        <f t="shared" si="2"/>
        <v>5.3540299999994545E-2</v>
      </c>
      <c r="L10" s="4">
        <f t="shared" si="3"/>
        <v>0.4547250099999971</v>
      </c>
      <c r="M10" s="5">
        <f t="shared" si="4"/>
        <v>2.7963091805447918E-5</v>
      </c>
      <c r="N10" s="5">
        <f t="shared" si="0"/>
        <v>1.6446801320327113E-3</v>
      </c>
      <c r="O10" s="5">
        <f t="shared" si="0"/>
        <v>1.3968490828132217E-2</v>
      </c>
    </row>
    <row r="11" spans="1:15" x14ac:dyDescent="0.2">
      <c r="A11" s="1" t="s">
        <v>250</v>
      </c>
      <c r="B11">
        <f>Baza!J10</f>
        <v>32.615462610000002</v>
      </c>
      <c r="C11">
        <f>Baza!K10</f>
        <v>32.616896619999999</v>
      </c>
      <c r="D11">
        <f>Baza!L10</f>
        <v>32.616896619999999</v>
      </c>
      <c r="E11">
        <f>Baza!M10</f>
        <v>32.616896619999999</v>
      </c>
      <c r="F11">
        <f>Baza!N10</f>
        <v>32.578098279999999</v>
      </c>
      <c r="G11">
        <f>Baza!O10</f>
        <v>32.616896619999999</v>
      </c>
      <c r="H11">
        <f>Baza!P10</f>
        <v>32.250792869999998</v>
      </c>
      <c r="I11">
        <f>Baza!Q10</f>
        <v>32.616896619999999</v>
      </c>
      <c r="J11" s="4">
        <f t="shared" si="1"/>
        <v>1.434009999996988E-3</v>
      </c>
      <c r="K11" s="4">
        <f t="shared" si="2"/>
        <v>3.8798339999999598E-2</v>
      </c>
      <c r="L11" s="4">
        <f t="shared" si="3"/>
        <v>0.36610375000000062</v>
      </c>
      <c r="M11" s="5">
        <f t="shared" si="4"/>
        <v>4.3965249566927931E-5</v>
      </c>
      <c r="N11" s="5">
        <f t="shared" si="0"/>
        <v>1.1895166009205569E-3</v>
      </c>
      <c r="O11" s="5">
        <f t="shared" si="0"/>
        <v>1.1224358781439478E-2</v>
      </c>
    </row>
    <row r="12" spans="1:15" x14ac:dyDescent="0.2">
      <c r="A12" s="1" t="s">
        <v>251</v>
      </c>
      <c r="B12">
        <f>Baza!J11</f>
        <v>32.61603393</v>
      </c>
      <c r="C12">
        <f>Baza!K11</f>
        <v>32.616896619999999</v>
      </c>
      <c r="D12">
        <f>Baza!L11</f>
        <v>32.616896619999999</v>
      </c>
      <c r="E12">
        <f>Baza!M11</f>
        <v>32.616896619999999</v>
      </c>
      <c r="F12">
        <f>Baza!N11</f>
        <v>32.578877179999999</v>
      </c>
      <c r="G12">
        <f>Baza!O11</f>
        <v>32.616896619999999</v>
      </c>
      <c r="H12">
        <f>Baza!P11</f>
        <v>32.25686219</v>
      </c>
      <c r="I12">
        <f>Baza!Q11</f>
        <v>32.616896619999999</v>
      </c>
      <c r="J12" s="4">
        <f t="shared" si="1"/>
        <v>8.6268999999816742E-4</v>
      </c>
      <c r="K12" s="4">
        <f t="shared" si="2"/>
        <v>3.8019439999999349E-2</v>
      </c>
      <c r="L12" s="4">
        <f t="shared" si="3"/>
        <v>0.36003442999999891</v>
      </c>
      <c r="M12" s="5">
        <f t="shared" si="4"/>
        <v>2.6449174795776984E-5</v>
      </c>
      <c r="N12" s="5">
        <f t="shared" si="0"/>
        <v>1.1656363400522484E-3</v>
      </c>
      <c r="O12" s="5">
        <f t="shared" si="0"/>
        <v>1.1038279766298592E-2</v>
      </c>
    </row>
    <row r="13" spans="1:15" x14ac:dyDescent="0.2">
      <c r="A13" s="1" t="s">
        <v>252</v>
      </c>
      <c r="B13">
        <f>Baza!J12</f>
        <v>32.616037740000003</v>
      </c>
      <c r="C13">
        <f>Baza!K12</f>
        <v>32.616896619999999</v>
      </c>
      <c r="D13">
        <f>Baza!L12</f>
        <v>32.616896619999999</v>
      </c>
      <c r="E13">
        <f>Baza!M12</f>
        <v>32.616896619999999</v>
      </c>
      <c r="F13">
        <f>Baza!N12</f>
        <v>32.578094470000003</v>
      </c>
      <c r="G13">
        <f>Baza!O12</f>
        <v>32.616896619999999</v>
      </c>
      <c r="H13">
        <f>Baza!P12</f>
        <v>32.25130515</v>
      </c>
      <c r="I13">
        <f>Baza!Q12</f>
        <v>32.616896619999999</v>
      </c>
      <c r="J13" s="4">
        <f t="shared" si="1"/>
        <v>8.5887999999556541E-4</v>
      </c>
      <c r="K13" s="4">
        <f t="shared" si="2"/>
        <v>3.8802149999995095E-2</v>
      </c>
      <c r="L13" s="4">
        <f t="shared" si="3"/>
        <v>0.36559146999999825</v>
      </c>
      <c r="M13" s="5">
        <f t="shared" si="4"/>
        <v>2.6332364173142032E-5</v>
      </c>
      <c r="N13" s="5">
        <f t="shared" si="0"/>
        <v>1.189633411542974E-3</v>
      </c>
      <c r="O13" s="5">
        <f t="shared" si="0"/>
        <v>1.1208652811433482E-2</v>
      </c>
    </row>
    <row r="14" spans="1:15" x14ac:dyDescent="0.2">
      <c r="A14" s="1" t="s">
        <v>253</v>
      </c>
      <c r="B14">
        <f>Baza!J13</f>
        <v>32.54978938</v>
      </c>
      <c r="C14">
        <f>Baza!K13</f>
        <v>32.616896619999999</v>
      </c>
      <c r="D14">
        <f>Baza!L13</f>
        <v>32.616896619999999</v>
      </c>
      <c r="E14">
        <f>Baza!M13</f>
        <v>32.616896619999999</v>
      </c>
      <c r="F14">
        <f>Baza!N13</f>
        <v>32.510149290000001</v>
      </c>
      <c r="G14">
        <f>Baza!O13</f>
        <v>32.616896619999999</v>
      </c>
      <c r="H14">
        <f>Baza!P13</f>
        <v>32.181253699999999</v>
      </c>
      <c r="I14">
        <f>Baza!Q13</f>
        <v>32.616896619999999</v>
      </c>
      <c r="J14" s="4">
        <f t="shared" si="1"/>
        <v>6.7107239999998569E-2</v>
      </c>
      <c r="K14" s="4">
        <f t="shared" si="2"/>
        <v>0.10674732999999748</v>
      </c>
      <c r="L14" s="4">
        <f t="shared" si="3"/>
        <v>0.43564291999999938</v>
      </c>
      <c r="M14" s="5">
        <f t="shared" si="4"/>
        <v>2.05743792187911E-3</v>
      </c>
      <c r="N14" s="5">
        <f t="shared" si="0"/>
        <v>3.2727616990557663E-3</v>
      </c>
      <c r="O14" s="5">
        <f t="shared" si="0"/>
        <v>1.3356357138308255E-2</v>
      </c>
    </row>
    <row r="15" spans="1:15" x14ac:dyDescent="0.2">
      <c r="A15" s="1" t="s">
        <v>254</v>
      </c>
      <c r="B15">
        <f>Baza!J14</f>
        <v>32.615658760000002</v>
      </c>
      <c r="C15">
        <f>Baza!K14</f>
        <v>32.616896619999999</v>
      </c>
      <c r="D15">
        <f>Baza!L14</f>
        <v>32.616896619999999</v>
      </c>
      <c r="E15">
        <f>Baza!M14</f>
        <v>32.616896619999999</v>
      </c>
      <c r="F15">
        <f>Baza!N14</f>
        <v>32.579103809999999</v>
      </c>
      <c r="G15">
        <f>Baza!O14</f>
        <v>32.616896619999999</v>
      </c>
      <c r="H15">
        <f>Baza!P14</f>
        <v>32.264677849999998</v>
      </c>
      <c r="I15">
        <f>Baza!Q14</f>
        <v>32.616896619999999</v>
      </c>
      <c r="J15" s="4">
        <f t="shared" si="1"/>
        <v>1.2378599999962603E-3</v>
      </c>
      <c r="K15" s="4">
        <f t="shared" si="2"/>
        <v>3.7792809999999122E-2</v>
      </c>
      <c r="L15" s="4">
        <f t="shared" si="3"/>
        <v>0.35221877000000035</v>
      </c>
      <c r="M15" s="5">
        <f t="shared" si="4"/>
        <v>3.7951495337457408E-5</v>
      </c>
      <c r="N15" s="5">
        <f t="shared" si="0"/>
        <v>1.1586881008423518E-3</v>
      </c>
      <c r="O15" s="5">
        <f t="shared" si="0"/>
        <v>1.0798659789847301E-2</v>
      </c>
    </row>
    <row r="16" spans="1:15" x14ac:dyDescent="0.2">
      <c r="A16" s="1" t="s">
        <v>255</v>
      </c>
      <c r="B16">
        <f>Baza!J15</f>
        <v>32.61633673</v>
      </c>
      <c r="C16">
        <f>Baza!K15</f>
        <v>32.616896619999999</v>
      </c>
      <c r="D16">
        <f>Baza!L15</f>
        <v>32.616896619999999</v>
      </c>
      <c r="E16">
        <f>Baza!M15</f>
        <v>32.616896619999999</v>
      </c>
      <c r="F16">
        <f>Baza!N15</f>
        <v>32.579585620000003</v>
      </c>
      <c r="G16">
        <f>Baza!O15</f>
        <v>32.616896619999999</v>
      </c>
      <c r="H16">
        <f>Baza!P15</f>
        <v>32.257067859999999</v>
      </c>
      <c r="I16">
        <f>Baza!Q15</f>
        <v>32.616896619999999</v>
      </c>
      <c r="J16" s="4">
        <f t="shared" si="1"/>
        <v>5.5988999999811995E-4</v>
      </c>
      <c r="K16" s="4">
        <f t="shared" si="2"/>
        <v>3.7310999999995431E-2</v>
      </c>
      <c r="L16" s="4">
        <f t="shared" si="3"/>
        <v>0.35982875999999919</v>
      </c>
      <c r="M16" s="5">
        <f t="shared" si="4"/>
        <v>1.7165642903463941E-5</v>
      </c>
      <c r="N16" s="5">
        <f t="shared" si="0"/>
        <v>1.1439163092271968E-3</v>
      </c>
      <c r="O16" s="5">
        <f t="shared" si="0"/>
        <v>1.1031974138807545E-2</v>
      </c>
    </row>
    <row r="17" spans="1:15" x14ac:dyDescent="0.2">
      <c r="A17" s="1" t="s">
        <v>256</v>
      </c>
      <c r="B17">
        <f>Baza!J16</f>
        <v>32.615228369999997</v>
      </c>
      <c r="C17">
        <f>Baza!K16</f>
        <v>32.616896619999999</v>
      </c>
      <c r="D17">
        <f>Baza!L16</f>
        <v>32.616896619999999</v>
      </c>
      <c r="E17">
        <f>Baza!M16</f>
        <v>32.616896619999999</v>
      </c>
      <c r="F17">
        <f>Baza!N16</f>
        <v>32.578774350000003</v>
      </c>
      <c r="G17">
        <f>Baza!O16</f>
        <v>32.616896619999999</v>
      </c>
      <c r="H17">
        <f>Baza!P16</f>
        <v>32.263186699999999</v>
      </c>
      <c r="I17">
        <f>Baza!Q16</f>
        <v>32.616896619999999</v>
      </c>
      <c r="J17" s="4">
        <f t="shared" si="1"/>
        <v>1.6682500000015921E-3</v>
      </c>
      <c r="K17" s="4">
        <f t="shared" si="2"/>
        <v>3.812226999999524E-2</v>
      </c>
      <c r="L17" s="4">
        <f t="shared" si="3"/>
        <v>0.35370992000000001</v>
      </c>
      <c r="M17" s="5">
        <f t="shared" si="4"/>
        <v>5.1146803432508539E-5</v>
      </c>
      <c r="N17" s="5">
        <f t="shared" si="0"/>
        <v>1.16878900050287E-3</v>
      </c>
      <c r="O17" s="5">
        <f t="shared" si="0"/>
        <v>1.0844376892163079E-2</v>
      </c>
    </row>
    <row r="18" spans="1:15" x14ac:dyDescent="0.2">
      <c r="J18" s="4"/>
      <c r="K18" s="4"/>
      <c r="L18" s="4"/>
      <c r="M18" s="5"/>
      <c r="N18" s="5"/>
      <c r="O18" s="5"/>
    </row>
    <row r="19" spans="1:15" x14ac:dyDescent="0.2">
      <c r="A19" s="1"/>
    </row>
    <row r="21" spans="1:15" x14ac:dyDescent="0.2">
      <c r="B21" t="s">
        <v>271</v>
      </c>
    </row>
    <row r="22" spans="1:15" x14ac:dyDescent="0.2">
      <c r="B2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Baza</vt:lpstr>
      <vt:lpstr>Par_S_005</vt:lpstr>
      <vt:lpstr>Par_S_05</vt:lpstr>
      <vt:lpstr>Par_P_005</vt:lpstr>
      <vt:lpstr>Par_P_05</vt:lpstr>
      <vt:lpstr>Par_R_005</vt:lpstr>
      <vt:lpstr>Par_R_05</vt:lpstr>
      <vt:lpstr>Punty 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Dawid Kucharski</cp:lastModifiedBy>
  <dcterms:created xsi:type="dcterms:W3CDTF">2025-02-17T10:03:57Z</dcterms:created>
  <dcterms:modified xsi:type="dcterms:W3CDTF">2025-09-02T12:22:51Z</dcterms:modified>
</cp:coreProperties>
</file>