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wid/Library/Mobile Documents/com~apple~CloudDocs/Dokumenty/Projekty/NSMT/AI_GUM/2024/Opole/analizy_vs_opole/optics/"/>
    </mc:Choice>
  </mc:AlternateContent>
  <xr:revisionPtr revIDLastSave="0" documentId="13_ncr:1_{48F85F3C-B47F-D74A-BAEC-8F4071BBDDDC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Baza" sheetId="1" r:id="rId1"/>
    <sheet name="Par_S_005" sheetId="2" r:id="rId2"/>
    <sheet name="Par_S_05" sheetId="3" r:id="rId3"/>
    <sheet name="Par_P_005" sheetId="4" r:id="rId4"/>
    <sheet name="Par_P_05" sheetId="5" r:id="rId5"/>
    <sheet name="Par_R_005" sheetId="6" r:id="rId6"/>
    <sheet name="Par_R_05" sheetId="7" r:id="rId7"/>
    <sheet name="Punty NM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6" l="1"/>
  <c r="I17" i="8" l="1"/>
  <c r="H17" i="8"/>
  <c r="G17" i="8"/>
  <c r="F17" i="8"/>
  <c r="E17" i="8"/>
  <c r="D17" i="8"/>
  <c r="C17" i="8"/>
  <c r="B17" i="8"/>
  <c r="I16" i="8"/>
  <c r="H16" i="8"/>
  <c r="L16" i="8" s="1"/>
  <c r="O16" i="8" s="1"/>
  <c r="G16" i="8"/>
  <c r="F16" i="8"/>
  <c r="K16" i="8" s="1"/>
  <c r="E16" i="8"/>
  <c r="D16" i="8"/>
  <c r="C16" i="8"/>
  <c r="B16" i="8"/>
  <c r="I15" i="8"/>
  <c r="H15" i="8"/>
  <c r="G15" i="8"/>
  <c r="F15" i="8"/>
  <c r="E15" i="8"/>
  <c r="D15" i="8"/>
  <c r="C15" i="8"/>
  <c r="B15" i="8"/>
  <c r="J15" i="8" s="1"/>
  <c r="M15" i="8" s="1"/>
  <c r="I14" i="8"/>
  <c r="H14" i="8"/>
  <c r="G14" i="8"/>
  <c r="F14" i="8"/>
  <c r="E14" i="8"/>
  <c r="D14" i="8"/>
  <c r="C14" i="8"/>
  <c r="B14" i="8"/>
  <c r="I13" i="8"/>
  <c r="H13" i="8"/>
  <c r="G13" i="8"/>
  <c r="F13" i="8"/>
  <c r="K13" i="8" s="1"/>
  <c r="E13" i="8"/>
  <c r="D13" i="8"/>
  <c r="C13" i="8"/>
  <c r="B13" i="8"/>
  <c r="I12" i="8"/>
  <c r="H12" i="8"/>
  <c r="G12" i="8"/>
  <c r="F12" i="8"/>
  <c r="E12" i="8"/>
  <c r="D12" i="8"/>
  <c r="C12" i="8"/>
  <c r="B12" i="8"/>
  <c r="J12" i="8" s="1"/>
  <c r="M12" i="8" s="1"/>
  <c r="I11" i="8"/>
  <c r="H11" i="8"/>
  <c r="G11" i="8"/>
  <c r="F11" i="8"/>
  <c r="E11" i="8"/>
  <c r="D11" i="8"/>
  <c r="C11" i="8"/>
  <c r="B11" i="8"/>
  <c r="I10" i="8"/>
  <c r="H10" i="8"/>
  <c r="G10" i="8"/>
  <c r="F10" i="8"/>
  <c r="K10" i="8" s="1"/>
  <c r="E10" i="8"/>
  <c r="D10" i="8"/>
  <c r="C10" i="8"/>
  <c r="B10" i="8"/>
  <c r="I9" i="8"/>
  <c r="L9" i="8" s="1"/>
  <c r="O9" i="8" s="1"/>
  <c r="H9" i="8"/>
  <c r="G9" i="8"/>
  <c r="F9" i="8"/>
  <c r="E9" i="8"/>
  <c r="D9" i="8"/>
  <c r="C9" i="8"/>
  <c r="B9" i="8"/>
  <c r="J9" i="8" s="1"/>
  <c r="M9" i="8" s="1"/>
  <c r="I8" i="8"/>
  <c r="H8" i="8"/>
  <c r="G8" i="8"/>
  <c r="F8" i="8"/>
  <c r="E8" i="8"/>
  <c r="D8" i="8"/>
  <c r="C8" i="8"/>
  <c r="J8" i="8" s="1"/>
  <c r="M8" i="8" s="1"/>
  <c r="B8" i="8"/>
  <c r="I7" i="8"/>
  <c r="H7" i="8"/>
  <c r="L7" i="8" s="1"/>
  <c r="O7" i="8" s="1"/>
  <c r="G7" i="8"/>
  <c r="F7" i="8"/>
  <c r="K7" i="8" s="1"/>
  <c r="E7" i="8"/>
  <c r="D7" i="8"/>
  <c r="C7" i="8"/>
  <c r="B7" i="8"/>
  <c r="I6" i="8"/>
  <c r="L6" i="8" s="1"/>
  <c r="H6" i="8"/>
  <c r="G6" i="8"/>
  <c r="K6" i="8" s="1"/>
  <c r="N6" i="8" s="1"/>
  <c r="F6" i="8"/>
  <c r="E6" i="8"/>
  <c r="D6" i="8"/>
  <c r="C6" i="8"/>
  <c r="B6" i="8"/>
  <c r="J6" i="8" s="1"/>
  <c r="M6" i="8" s="1"/>
  <c r="I5" i="8"/>
  <c r="H5" i="8"/>
  <c r="G5" i="8"/>
  <c r="F5" i="8"/>
  <c r="E5" i="8"/>
  <c r="D5" i="8"/>
  <c r="C5" i="8"/>
  <c r="B5" i="8"/>
  <c r="I4" i="8"/>
  <c r="H4" i="8"/>
  <c r="G4" i="8"/>
  <c r="F4" i="8"/>
  <c r="E4" i="8"/>
  <c r="D4" i="8"/>
  <c r="C4" i="8"/>
  <c r="B4" i="8"/>
  <c r="I3" i="8"/>
  <c r="H3" i="8"/>
  <c r="G3" i="8"/>
  <c r="F3" i="8"/>
  <c r="E3" i="8"/>
  <c r="D3" i="8"/>
  <c r="C3" i="8"/>
  <c r="B3" i="8"/>
  <c r="I2" i="8"/>
  <c r="H2" i="8"/>
  <c r="G2" i="8"/>
  <c r="F2" i="8"/>
  <c r="E2" i="8"/>
  <c r="D2" i="8"/>
  <c r="C2" i="8"/>
  <c r="B2" i="8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C1" i="7" s="1"/>
  <c r="B4" i="7"/>
  <c r="B1" i="7" s="1"/>
  <c r="C3" i="7"/>
  <c r="B3" i="7"/>
  <c r="C18" i="6"/>
  <c r="B18" i="6"/>
  <c r="C17" i="6"/>
  <c r="U17" i="6" s="1"/>
  <c r="C16" i="6"/>
  <c r="B16" i="6"/>
  <c r="C15" i="6"/>
  <c r="B15" i="6"/>
  <c r="C14" i="6"/>
  <c r="U14" i="6" s="1"/>
  <c r="B14" i="6"/>
  <c r="C13" i="6"/>
  <c r="B13" i="6"/>
  <c r="C12" i="6"/>
  <c r="B12" i="6"/>
  <c r="C11" i="6"/>
  <c r="U11" i="6" s="1"/>
  <c r="B11" i="6"/>
  <c r="C10" i="6"/>
  <c r="U10" i="6" s="1"/>
  <c r="B10" i="6"/>
  <c r="C9" i="6"/>
  <c r="U9" i="6" s="1"/>
  <c r="B9" i="6"/>
  <c r="C8" i="6"/>
  <c r="U8" i="6" s="1"/>
  <c r="B8" i="6"/>
  <c r="C7" i="6"/>
  <c r="U7" i="6" s="1"/>
  <c r="B7" i="6"/>
  <c r="C6" i="6"/>
  <c r="U6" i="6" s="1"/>
  <c r="B6" i="6"/>
  <c r="C5" i="6"/>
  <c r="B5" i="6"/>
  <c r="C4" i="6"/>
  <c r="C1" i="6" s="1"/>
  <c r="B4" i="6"/>
  <c r="B1" i="6" s="1"/>
  <c r="C3" i="6"/>
  <c r="B3" i="6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C1" i="5" s="1"/>
  <c r="B4" i="5"/>
  <c r="B1" i="5" s="1"/>
  <c r="C3" i="5"/>
  <c r="B3" i="5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C1" i="4" s="1"/>
  <c r="B4" i="4"/>
  <c r="C3" i="4"/>
  <c r="B3" i="4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S4" i="3"/>
  <c r="S1" i="3" s="1"/>
  <c r="R4" i="3"/>
  <c r="R1" i="3" s="1"/>
  <c r="Q4" i="3"/>
  <c r="Q1" i="3" s="1"/>
  <c r="P4" i="3"/>
  <c r="P1" i="3" s="1"/>
  <c r="O4" i="3"/>
  <c r="O1" i="3" s="1"/>
  <c r="N4" i="3"/>
  <c r="N1" i="3" s="1"/>
  <c r="M4" i="3"/>
  <c r="M1" i="3" s="1"/>
  <c r="L4" i="3"/>
  <c r="L1" i="3" s="1"/>
  <c r="K4" i="3"/>
  <c r="K1" i="3" s="1"/>
  <c r="J4" i="3"/>
  <c r="I4" i="3"/>
  <c r="I1" i="3" s="1"/>
  <c r="H4" i="3"/>
  <c r="G4" i="3"/>
  <c r="G1" i="3" s="1"/>
  <c r="F4" i="3"/>
  <c r="F1" i="3" s="1"/>
  <c r="E4" i="3"/>
  <c r="E1" i="3" s="1"/>
  <c r="D4" i="3"/>
  <c r="D1" i="3" s="1"/>
  <c r="C4" i="3"/>
  <c r="C1" i="3" s="1"/>
  <c r="B4" i="3"/>
  <c r="B1" i="3" s="1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L17" i="8"/>
  <c r="O17" i="8" s="1"/>
  <c r="L15" i="8"/>
  <c r="O13" i="8"/>
  <c r="L13" i="8"/>
  <c r="L12" i="8"/>
  <c r="K12" i="8"/>
  <c r="N12" i="8" s="1"/>
  <c r="L11" i="8"/>
  <c r="O11" i="8" s="1"/>
  <c r="L10" i="8"/>
  <c r="O10" i="8" s="1"/>
  <c r="L5" i="8"/>
  <c r="O5" i="8" s="1"/>
  <c r="D2" i="7"/>
  <c r="D2" i="6"/>
  <c r="D16" i="6" s="1"/>
  <c r="D2" i="5"/>
  <c r="D13" i="5" s="1"/>
  <c r="D2" i="4"/>
  <c r="D17" i="4" s="1"/>
  <c r="B1" i="4"/>
  <c r="J1" i="3"/>
  <c r="H1" i="3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S4" i="2"/>
  <c r="S1" i="2" s="1"/>
  <c r="R4" i="2"/>
  <c r="R1" i="2" s="1"/>
  <c r="Q4" i="2"/>
  <c r="P4" i="2"/>
  <c r="P1" i="2" s="1"/>
  <c r="O4" i="2"/>
  <c r="O1" i="2" s="1"/>
  <c r="N4" i="2"/>
  <c r="N1" i="2" s="1"/>
  <c r="M4" i="2"/>
  <c r="M1" i="2" s="1"/>
  <c r="L4" i="2"/>
  <c r="L1" i="2" s="1"/>
  <c r="K4" i="2"/>
  <c r="K1" i="2" s="1"/>
  <c r="J4" i="2"/>
  <c r="J1" i="2" s="1"/>
  <c r="I4" i="2"/>
  <c r="H4" i="2"/>
  <c r="H1" i="2" s="1"/>
  <c r="G4" i="2"/>
  <c r="G1" i="2" s="1"/>
  <c r="F4" i="2"/>
  <c r="F1" i="2" s="1"/>
  <c r="E4" i="2"/>
  <c r="E1" i="2" s="1"/>
  <c r="D4" i="2"/>
  <c r="D1" i="2" s="1"/>
  <c r="C4" i="2"/>
  <c r="C1" i="2" s="1"/>
  <c r="B4" i="2"/>
  <c r="B1" i="2" s="1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Q1" i="2"/>
  <c r="I1" i="2"/>
  <c r="K9" i="8" l="1"/>
  <c r="N9" i="8" s="1"/>
  <c r="K15" i="8"/>
  <c r="N15" i="8" s="1"/>
  <c r="O15" i="8"/>
  <c r="U18" i="6"/>
  <c r="N7" i="8"/>
  <c r="N13" i="8"/>
  <c r="N16" i="8"/>
  <c r="J5" i="8"/>
  <c r="M5" i="8" s="1"/>
  <c r="J14" i="8"/>
  <c r="M14" i="8" s="1"/>
  <c r="J17" i="8"/>
  <c r="M17" i="8" s="1"/>
  <c r="U12" i="6"/>
  <c r="U13" i="6"/>
  <c r="U15" i="6"/>
  <c r="D3" i="6"/>
  <c r="U16" i="6"/>
  <c r="D15" i="6"/>
  <c r="D4" i="6"/>
  <c r="D1" i="6" s="1"/>
  <c r="D3" i="4"/>
  <c r="D18" i="7"/>
  <c r="D6" i="7"/>
  <c r="D16" i="7"/>
  <c r="D4" i="7"/>
  <c r="D1" i="7" s="1"/>
  <c r="D9" i="7"/>
  <c r="D14" i="7"/>
  <c r="D7" i="7"/>
  <c r="D12" i="7"/>
  <c r="D17" i="7"/>
  <c r="D5" i="7"/>
  <c r="D10" i="7"/>
  <c r="D15" i="7"/>
  <c r="D3" i="7"/>
  <c r="D8" i="7"/>
  <c r="D13" i="7"/>
  <c r="D7" i="5"/>
  <c r="D5" i="4"/>
  <c r="D11" i="4"/>
  <c r="D11" i="7"/>
  <c r="D16" i="4"/>
  <c r="D10" i="4"/>
  <c r="D4" i="4"/>
  <c r="D1" i="4" s="1"/>
  <c r="D15" i="4"/>
  <c r="D9" i="4"/>
  <c r="D14" i="4"/>
  <c r="D8" i="4"/>
  <c r="D13" i="4"/>
  <c r="D7" i="4"/>
  <c r="D18" i="4"/>
  <c r="D12" i="4"/>
  <c r="D6" i="4"/>
  <c r="D18" i="5"/>
  <c r="D12" i="5"/>
  <c r="D6" i="5"/>
  <c r="D17" i="5"/>
  <c r="D11" i="5"/>
  <c r="D5" i="5"/>
  <c r="D16" i="5"/>
  <c r="D10" i="5"/>
  <c r="D4" i="5"/>
  <c r="D1" i="5" s="1"/>
  <c r="D15" i="5"/>
  <c r="D9" i="5"/>
  <c r="D3" i="5"/>
  <c r="D14" i="5"/>
  <c r="D8" i="5"/>
  <c r="D10" i="6"/>
  <c r="D8" i="6"/>
  <c r="D13" i="6"/>
  <c r="D18" i="6"/>
  <c r="D6" i="6"/>
  <c r="D11" i="6"/>
  <c r="D9" i="6"/>
  <c r="D14" i="6"/>
  <c r="D7" i="6"/>
  <c r="D12" i="6"/>
  <c r="D17" i="6"/>
  <c r="D5" i="6"/>
  <c r="K5" i="8"/>
  <c r="N5" i="8" s="1"/>
  <c r="J7" i="8"/>
  <c r="M7" i="8" s="1"/>
  <c r="K8" i="8"/>
  <c r="N8" i="8" s="1"/>
  <c r="J10" i="8"/>
  <c r="M10" i="8" s="1"/>
  <c r="K11" i="8"/>
  <c r="N11" i="8" s="1"/>
  <c r="J13" i="8"/>
  <c r="M13" i="8" s="1"/>
  <c r="K14" i="8"/>
  <c r="N14" i="8" s="1"/>
  <c r="J16" i="8"/>
  <c r="M16" i="8" s="1"/>
  <c r="K17" i="8"/>
  <c r="N17" i="8" s="1"/>
  <c r="E2" i="7"/>
  <c r="L8" i="8"/>
  <c r="O8" i="8" s="1"/>
  <c r="N10" i="8"/>
  <c r="J11" i="8"/>
  <c r="M11" i="8" s="1"/>
  <c r="L14" i="8"/>
  <c r="O14" i="8" s="1"/>
  <c r="O6" i="8"/>
  <c r="E2" i="4"/>
  <c r="O12" i="8"/>
  <c r="E2" i="6"/>
  <c r="E2" i="5"/>
  <c r="E11" i="7" l="1"/>
  <c r="E9" i="7"/>
  <c r="E14" i="7"/>
  <c r="E7" i="7"/>
  <c r="E12" i="7"/>
  <c r="E17" i="7"/>
  <c r="E10" i="7"/>
  <c r="E15" i="7"/>
  <c r="E3" i="7"/>
  <c r="E8" i="7"/>
  <c r="E13" i="7"/>
  <c r="E18" i="7"/>
  <c r="E6" i="7"/>
  <c r="E16" i="7"/>
  <c r="E5" i="7"/>
  <c r="E4" i="7"/>
  <c r="E1" i="7" s="1"/>
  <c r="E13" i="5"/>
  <c r="E7" i="5"/>
  <c r="E18" i="5"/>
  <c r="E12" i="5"/>
  <c r="E6" i="5"/>
  <c r="E17" i="5"/>
  <c r="E11" i="5"/>
  <c r="E5" i="5"/>
  <c r="E15" i="5"/>
  <c r="E9" i="5"/>
  <c r="E3" i="5"/>
  <c r="E14" i="5"/>
  <c r="E8" i="5"/>
  <c r="E10" i="5"/>
  <c r="E4" i="5"/>
  <c r="E1" i="5" s="1"/>
  <c r="E16" i="5"/>
  <c r="E15" i="6"/>
  <c r="E3" i="6"/>
  <c r="E13" i="6"/>
  <c r="E18" i="6"/>
  <c r="E6" i="6"/>
  <c r="E11" i="6"/>
  <c r="E16" i="6"/>
  <c r="E4" i="6"/>
  <c r="E1" i="6" s="1"/>
  <c r="E14" i="6"/>
  <c r="E7" i="6"/>
  <c r="E12" i="6"/>
  <c r="E17" i="6"/>
  <c r="E5" i="6"/>
  <c r="E10" i="6"/>
  <c r="E9" i="6"/>
  <c r="E8" i="6"/>
  <c r="E17" i="4"/>
  <c r="E11" i="4"/>
  <c r="E5" i="4"/>
  <c r="E16" i="4"/>
  <c r="E10" i="4"/>
  <c r="E4" i="4"/>
  <c r="E1" i="4" s="1"/>
  <c r="E15" i="4"/>
  <c r="E9" i="4"/>
  <c r="E13" i="4"/>
  <c r="E7" i="4"/>
  <c r="E18" i="4"/>
  <c r="E12" i="4"/>
  <c r="E6" i="4"/>
  <c r="E14" i="4"/>
  <c r="E8" i="4"/>
  <c r="E3" i="4"/>
  <c r="F2" i="7"/>
  <c r="F2" i="5"/>
  <c r="F2" i="6"/>
  <c r="F2" i="4"/>
  <c r="F15" i="4" l="1"/>
  <c r="F9" i="4"/>
  <c r="F14" i="4"/>
  <c r="F8" i="4"/>
  <c r="F13" i="4"/>
  <c r="F7" i="4"/>
  <c r="F18" i="4"/>
  <c r="F12" i="4"/>
  <c r="F6" i="4"/>
  <c r="F17" i="4"/>
  <c r="F11" i="4"/>
  <c r="F5" i="4"/>
  <c r="F16" i="4"/>
  <c r="F10" i="4"/>
  <c r="F4" i="4"/>
  <c r="F1" i="4" s="1"/>
  <c r="F3" i="4"/>
  <c r="F16" i="7"/>
  <c r="F4" i="7"/>
  <c r="F14" i="7"/>
  <c r="F7" i="7"/>
  <c r="F12" i="7"/>
  <c r="F17" i="7"/>
  <c r="F5" i="7"/>
  <c r="F10" i="7"/>
  <c r="F15" i="7"/>
  <c r="F3" i="7"/>
  <c r="F8" i="7"/>
  <c r="F13" i="7"/>
  <c r="F18" i="7"/>
  <c r="F6" i="7"/>
  <c r="F11" i="7"/>
  <c r="F9" i="7"/>
  <c r="F17" i="5"/>
  <c r="F11" i="5"/>
  <c r="F5" i="5"/>
  <c r="F16" i="5"/>
  <c r="F10" i="5"/>
  <c r="F4" i="5"/>
  <c r="F1" i="5" s="1"/>
  <c r="F15" i="5"/>
  <c r="F9" i="5"/>
  <c r="F3" i="5"/>
  <c r="F14" i="5"/>
  <c r="F8" i="5"/>
  <c r="F13" i="5"/>
  <c r="F7" i="5"/>
  <c r="F18" i="5"/>
  <c r="F12" i="5"/>
  <c r="F6" i="5"/>
  <c r="F8" i="6"/>
  <c r="F18" i="6"/>
  <c r="F6" i="6"/>
  <c r="F11" i="6"/>
  <c r="F16" i="6"/>
  <c r="F4" i="6"/>
  <c r="F1" i="6" s="1"/>
  <c r="F9" i="6"/>
  <c r="F7" i="6"/>
  <c r="F12" i="6"/>
  <c r="F17" i="6"/>
  <c r="F5" i="6"/>
  <c r="F10" i="6"/>
  <c r="F15" i="6"/>
  <c r="F3" i="6"/>
  <c r="F14" i="6"/>
  <c r="F13" i="6"/>
  <c r="G2" i="5"/>
  <c r="G2" i="4"/>
  <c r="G2" i="6"/>
  <c r="G2" i="7"/>
  <c r="F1" i="7"/>
  <c r="G9" i="7" l="1"/>
  <c r="G7" i="7"/>
  <c r="G12" i="7"/>
  <c r="G17" i="7"/>
  <c r="G5" i="7"/>
  <c r="G10" i="7"/>
  <c r="G15" i="7"/>
  <c r="G8" i="7"/>
  <c r="G13" i="7"/>
  <c r="G18" i="7"/>
  <c r="G6" i="7"/>
  <c r="G11" i="7"/>
  <c r="G16" i="7"/>
  <c r="G4" i="7"/>
  <c r="G1" i="7" s="1"/>
  <c r="G3" i="7"/>
  <c r="G14" i="7"/>
  <c r="G13" i="6"/>
  <c r="G11" i="6"/>
  <c r="G16" i="6"/>
  <c r="G4" i="6"/>
  <c r="G1" i="6" s="1"/>
  <c r="G9" i="6"/>
  <c r="G14" i="6"/>
  <c r="G12" i="6"/>
  <c r="G17" i="6"/>
  <c r="G5" i="6"/>
  <c r="G10" i="6"/>
  <c r="G15" i="6"/>
  <c r="G3" i="6"/>
  <c r="G8" i="6"/>
  <c r="G7" i="6"/>
  <c r="G6" i="6"/>
  <c r="G18" i="6"/>
  <c r="G16" i="4"/>
  <c r="G10" i="4"/>
  <c r="G4" i="4"/>
  <c r="G1" i="4" s="1"/>
  <c r="G15" i="4"/>
  <c r="G9" i="4"/>
  <c r="G14" i="4"/>
  <c r="G8" i="4"/>
  <c r="G18" i="4"/>
  <c r="G12" i="4"/>
  <c r="G6" i="4"/>
  <c r="G17" i="4"/>
  <c r="G11" i="4"/>
  <c r="G5" i="4"/>
  <c r="G13" i="4"/>
  <c r="G7" i="4"/>
  <c r="G3" i="4"/>
  <c r="G18" i="5"/>
  <c r="G12" i="5"/>
  <c r="G6" i="5"/>
  <c r="G17" i="5"/>
  <c r="G11" i="5"/>
  <c r="G5" i="5"/>
  <c r="G16" i="5"/>
  <c r="G10" i="5"/>
  <c r="G4" i="5"/>
  <c r="G1" i="5" s="1"/>
  <c r="G14" i="5"/>
  <c r="G8" i="5"/>
  <c r="G13" i="5"/>
  <c r="G7" i="5"/>
  <c r="G9" i="5"/>
  <c r="G15" i="5"/>
  <c r="G3" i="5"/>
  <c r="H2" i="4"/>
  <c r="H2" i="6"/>
  <c r="H2" i="5"/>
  <c r="H2" i="7"/>
  <c r="H14" i="7" l="1"/>
  <c r="H12" i="7"/>
  <c r="H17" i="7"/>
  <c r="H5" i="7"/>
  <c r="H10" i="7"/>
  <c r="H15" i="7"/>
  <c r="H3" i="7"/>
  <c r="H8" i="7"/>
  <c r="H13" i="7"/>
  <c r="H18" i="7"/>
  <c r="H6" i="7"/>
  <c r="H11" i="7"/>
  <c r="H16" i="7"/>
  <c r="H4" i="7"/>
  <c r="H1" i="7" s="1"/>
  <c r="H9" i="7"/>
  <c r="H7" i="7"/>
  <c r="H16" i="5"/>
  <c r="H10" i="5"/>
  <c r="H4" i="5"/>
  <c r="H1" i="5" s="1"/>
  <c r="H15" i="5"/>
  <c r="H9" i="5"/>
  <c r="H3" i="5"/>
  <c r="H14" i="5"/>
  <c r="H8" i="5"/>
  <c r="H13" i="5"/>
  <c r="H7" i="5"/>
  <c r="H18" i="5"/>
  <c r="H12" i="5"/>
  <c r="H6" i="5"/>
  <c r="H17" i="5"/>
  <c r="H11" i="5"/>
  <c r="H5" i="5"/>
  <c r="H18" i="6"/>
  <c r="H6" i="6"/>
  <c r="H16" i="6"/>
  <c r="H4" i="6"/>
  <c r="H1" i="6" s="1"/>
  <c r="H9" i="6"/>
  <c r="H14" i="6"/>
  <c r="H7" i="6"/>
  <c r="H17" i="6"/>
  <c r="H5" i="6"/>
  <c r="H10" i="6"/>
  <c r="H15" i="6"/>
  <c r="H3" i="6"/>
  <c r="H8" i="6"/>
  <c r="H13" i="6"/>
  <c r="H12" i="6"/>
  <c r="H11" i="6"/>
  <c r="H14" i="4"/>
  <c r="H8" i="4"/>
  <c r="H13" i="4"/>
  <c r="H7" i="4"/>
  <c r="H18" i="4"/>
  <c r="H12" i="4"/>
  <c r="H6" i="4"/>
  <c r="H17" i="4"/>
  <c r="H11" i="4"/>
  <c r="H5" i="4"/>
  <c r="H16" i="4"/>
  <c r="H10" i="4"/>
  <c r="H4" i="4"/>
  <c r="H1" i="4" s="1"/>
  <c r="H15" i="4"/>
  <c r="H9" i="4"/>
  <c r="H3" i="4"/>
  <c r="I2" i="6"/>
  <c r="I2" i="7"/>
  <c r="I2" i="5"/>
  <c r="I2" i="4"/>
  <c r="I15" i="4" l="1"/>
  <c r="I9" i="4"/>
  <c r="I14" i="4"/>
  <c r="I8" i="4"/>
  <c r="I13" i="4"/>
  <c r="I7" i="4"/>
  <c r="I17" i="4"/>
  <c r="I11" i="4"/>
  <c r="I5" i="4"/>
  <c r="I16" i="4"/>
  <c r="I10" i="4"/>
  <c r="I4" i="4"/>
  <c r="I1" i="4" s="1"/>
  <c r="I18" i="4"/>
  <c r="I12" i="4"/>
  <c r="I6" i="4"/>
  <c r="I3" i="4"/>
  <c r="I17" i="5"/>
  <c r="I11" i="5"/>
  <c r="I5" i="5"/>
  <c r="I16" i="5"/>
  <c r="I10" i="5"/>
  <c r="I4" i="5"/>
  <c r="I1" i="5" s="1"/>
  <c r="I15" i="5"/>
  <c r="I9" i="5"/>
  <c r="I3" i="5"/>
  <c r="I13" i="5"/>
  <c r="I7" i="5"/>
  <c r="I18" i="5"/>
  <c r="I12" i="5"/>
  <c r="I6" i="5"/>
  <c r="I14" i="5"/>
  <c r="I8" i="5"/>
  <c r="I7" i="7"/>
  <c r="I17" i="7"/>
  <c r="I5" i="7"/>
  <c r="I10" i="7"/>
  <c r="I15" i="7"/>
  <c r="I3" i="7"/>
  <c r="I8" i="7"/>
  <c r="I13" i="7"/>
  <c r="I18" i="7"/>
  <c r="I6" i="7"/>
  <c r="I11" i="7"/>
  <c r="I16" i="7"/>
  <c r="I4" i="7"/>
  <c r="I1" i="7" s="1"/>
  <c r="I9" i="7"/>
  <c r="I14" i="7"/>
  <c r="I12" i="7"/>
  <c r="I11" i="6"/>
  <c r="I9" i="6"/>
  <c r="I14" i="6"/>
  <c r="I7" i="6"/>
  <c r="I12" i="6"/>
  <c r="I10" i="6"/>
  <c r="I15" i="6"/>
  <c r="I3" i="6"/>
  <c r="I8" i="6"/>
  <c r="I13" i="6"/>
  <c r="I18" i="6"/>
  <c r="I6" i="6"/>
  <c r="I17" i="6"/>
  <c r="I4" i="6"/>
  <c r="I1" i="6" s="1"/>
  <c r="I16" i="6"/>
  <c r="I5" i="6"/>
  <c r="J2" i="4"/>
  <c r="J2" i="6"/>
  <c r="J2" i="5"/>
  <c r="J2" i="7"/>
  <c r="J16" i="6" l="1"/>
  <c r="J4" i="6"/>
  <c r="J1" i="6" s="1"/>
  <c r="J14" i="6"/>
  <c r="J7" i="6"/>
  <c r="J12" i="6"/>
  <c r="J17" i="6"/>
  <c r="J5" i="6"/>
  <c r="J15" i="6"/>
  <c r="J3" i="6"/>
  <c r="J8" i="6"/>
  <c r="J13" i="6"/>
  <c r="J18" i="6"/>
  <c r="J6" i="6"/>
  <c r="J11" i="6"/>
  <c r="J9" i="6"/>
  <c r="J10" i="6"/>
  <c r="J15" i="5"/>
  <c r="J9" i="5"/>
  <c r="J3" i="5"/>
  <c r="J14" i="5"/>
  <c r="J8" i="5"/>
  <c r="J13" i="5"/>
  <c r="J7" i="5"/>
  <c r="J18" i="5"/>
  <c r="J12" i="5"/>
  <c r="J6" i="5"/>
  <c r="J17" i="5"/>
  <c r="J11" i="5"/>
  <c r="J5" i="5"/>
  <c r="J16" i="5"/>
  <c r="J10" i="5"/>
  <c r="J4" i="5"/>
  <c r="J1" i="5" s="1"/>
  <c r="J13" i="4"/>
  <c r="J7" i="4"/>
  <c r="J18" i="4"/>
  <c r="J12" i="4"/>
  <c r="J6" i="4"/>
  <c r="J17" i="4"/>
  <c r="J11" i="4"/>
  <c r="J5" i="4"/>
  <c r="J16" i="4"/>
  <c r="J10" i="4"/>
  <c r="J4" i="4"/>
  <c r="J1" i="4" s="1"/>
  <c r="J15" i="4"/>
  <c r="J9" i="4"/>
  <c r="J3" i="4"/>
  <c r="J14" i="4"/>
  <c r="J8" i="4"/>
  <c r="J12" i="7"/>
  <c r="J10" i="7"/>
  <c r="J15" i="7"/>
  <c r="J3" i="7"/>
  <c r="J8" i="7"/>
  <c r="J13" i="7"/>
  <c r="J18" i="7"/>
  <c r="J11" i="7"/>
  <c r="J16" i="7"/>
  <c r="J4" i="7"/>
  <c r="J1" i="7" s="1"/>
  <c r="J9" i="7"/>
  <c r="J14" i="7"/>
  <c r="J7" i="7"/>
  <c r="J6" i="7"/>
  <c r="J5" i="7"/>
  <c r="J17" i="7"/>
  <c r="K2" i="7"/>
  <c r="K2" i="4"/>
  <c r="K2" i="5"/>
  <c r="K2" i="6"/>
  <c r="K16" i="5" l="1"/>
  <c r="K10" i="5"/>
  <c r="K4" i="5"/>
  <c r="K1" i="5" s="1"/>
  <c r="K15" i="5"/>
  <c r="K9" i="5"/>
  <c r="K3" i="5"/>
  <c r="K14" i="5"/>
  <c r="K8" i="5"/>
  <c r="K18" i="5"/>
  <c r="K12" i="5"/>
  <c r="K6" i="5"/>
  <c r="K17" i="5"/>
  <c r="K11" i="5"/>
  <c r="K5" i="5"/>
  <c r="K13" i="5"/>
  <c r="K7" i="5"/>
  <c r="K17" i="7"/>
  <c r="K5" i="7"/>
  <c r="K15" i="7"/>
  <c r="K3" i="7"/>
  <c r="K8" i="7"/>
  <c r="K13" i="7"/>
  <c r="K18" i="7"/>
  <c r="K6" i="7"/>
  <c r="K11" i="7"/>
  <c r="K16" i="7"/>
  <c r="K4" i="7"/>
  <c r="K1" i="7" s="1"/>
  <c r="K9" i="7"/>
  <c r="K14" i="7"/>
  <c r="K7" i="7"/>
  <c r="K12" i="7"/>
  <c r="K10" i="7"/>
  <c r="K9" i="6"/>
  <c r="K7" i="6"/>
  <c r="K12" i="6"/>
  <c r="K17" i="6"/>
  <c r="K5" i="6"/>
  <c r="K10" i="6"/>
  <c r="K8" i="6"/>
  <c r="K13" i="6"/>
  <c r="K18" i="6"/>
  <c r="K6" i="6"/>
  <c r="K11" i="6"/>
  <c r="K16" i="6"/>
  <c r="K4" i="6"/>
  <c r="K1" i="6" s="1"/>
  <c r="K14" i="6"/>
  <c r="K3" i="6"/>
  <c r="K15" i="6"/>
  <c r="K14" i="4"/>
  <c r="K8" i="4"/>
  <c r="K13" i="4"/>
  <c r="K7" i="4"/>
  <c r="K18" i="4"/>
  <c r="K12" i="4"/>
  <c r="K6" i="4"/>
  <c r="K16" i="4"/>
  <c r="K10" i="4"/>
  <c r="K4" i="4"/>
  <c r="K1" i="4" s="1"/>
  <c r="K15" i="4"/>
  <c r="K9" i="4"/>
  <c r="K3" i="4"/>
  <c r="K17" i="4"/>
  <c r="K11" i="4"/>
  <c r="K5" i="4"/>
  <c r="L2" i="4"/>
  <c r="L2" i="7"/>
  <c r="L2" i="5"/>
  <c r="L2" i="6"/>
  <c r="L14" i="5" l="1"/>
  <c r="L8" i="5"/>
  <c r="L13" i="5"/>
  <c r="L7" i="5"/>
  <c r="L18" i="5"/>
  <c r="L12" i="5"/>
  <c r="L6" i="5"/>
  <c r="L17" i="5"/>
  <c r="L11" i="5"/>
  <c r="L5" i="5"/>
  <c r="L16" i="5"/>
  <c r="L10" i="5"/>
  <c r="L4" i="5"/>
  <c r="L1" i="5" s="1"/>
  <c r="L15" i="5"/>
  <c r="L9" i="5"/>
  <c r="L3" i="5"/>
  <c r="L14" i="6"/>
  <c r="L12" i="6"/>
  <c r="L17" i="6"/>
  <c r="L5" i="6"/>
  <c r="L10" i="6"/>
  <c r="L15" i="6"/>
  <c r="L3" i="6"/>
  <c r="L13" i="6"/>
  <c r="L18" i="6"/>
  <c r="L6" i="6"/>
  <c r="L11" i="6"/>
  <c r="L16" i="6"/>
  <c r="L4" i="6"/>
  <c r="L1" i="6" s="1"/>
  <c r="L9" i="6"/>
  <c r="L7" i="6"/>
  <c r="L8" i="6"/>
  <c r="L10" i="7"/>
  <c r="L8" i="7"/>
  <c r="L13" i="7"/>
  <c r="L18" i="7"/>
  <c r="L6" i="7"/>
  <c r="L11" i="7"/>
  <c r="L16" i="7"/>
  <c r="L9" i="7"/>
  <c r="L14" i="7"/>
  <c r="L7" i="7"/>
  <c r="L12" i="7"/>
  <c r="L17" i="7"/>
  <c r="L5" i="7"/>
  <c r="L3" i="7"/>
  <c r="L15" i="7"/>
  <c r="L4" i="7"/>
  <c r="L1" i="7" s="1"/>
  <c r="L18" i="4"/>
  <c r="L12" i="4"/>
  <c r="L6" i="4"/>
  <c r="L17" i="4"/>
  <c r="L11" i="4"/>
  <c r="L5" i="4"/>
  <c r="L16" i="4"/>
  <c r="L10" i="4"/>
  <c r="L4" i="4"/>
  <c r="L1" i="4" s="1"/>
  <c r="L15" i="4"/>
  <c r="L9" i="4"/>
  <c r="L3" i="4"/>
  <c r="L14" i="4"/>
  <c r="L8" i="4"/>
  <c r="L13" i="4"/>
  <c r="L7" i="4"/>
  <c r="M2" i="6"/>
  <c r="M2" i="7"/>
  <c r="M2" i="4"/>
  <c r="M2" i="5"/>
  <c r="M15" i="7" l="1"/>
  <c r="M3" i="7"/>
  <c r="M13" i="7"/>
  <c r="M18" i="7"/>
  <c r="M6" i="7"/>
  <c r="M11" i="7"/>
  <c r="M16" i="7"/>
  <c r="M4" i="7"/>
  <c r="M1" i="7" s="1"/>
  <c r="M9" i="7"/>
  <c r="M14" i="7"/>
  <c r="M7" i="7"/>
  <c r="M12" i="7"/>
  <c r="M17" i="7"/>
  <c r="M5" i="7"/>
  <c r="M10" i="7"/>
  <c r="M8" i="7"/>
  <c r="M13" i="4"/>
  <c r="M7" i="4"/>
  <c r="M18" i="4"/>
  <c r="M12" i="4"/>
  <c r="M6" i="4"/>
  <c r="M17" i="4"/>
  <c r="M11" i="4"/>
  <c r="M5" i="4"/>
  <c r="M15" i="4"/>
  <c r="M9" i="4"/>
  <c r="M3" i="4"/>
  <c r="M14" i="4"/>
  <c r="M8" i="4"/>
  <c r="M16" i="4"/>
  <c r="M10" i="4"/>
  <c r="M4" i="4"/>
  <c r="M1" i="4" s="1"/>
  <c r="M15" i="5"/>
  <c r="M9" i="5"/>
  <c r="M3" i="5"/>
  <c r="M14" i="5"/>
  <c r="M8" i="5"/>
  <c r="M13" i="5"/>
  <c r="M7" i="5"/>
  <c r="M17" i="5"/>
  <c r="M11" i="5"/>
  <c r="M5" i="5"/>
  <c r="M16" i="5"/>
  <c r="M10" i="5"/>
  <c r="M4" i="5"/>
  <c r="M1" i="5" s="1"/>
  <c r="M18" i="5"/>
  <c r="M12" i="5"/>
  <c r="M6" i="5"/>
  <c r="M7" i="6"/>
  <c r="M17" i="6"/>
  <c r="M5" i="6"/>
  <c r="M10" i="6"/>
  <c r="M15" i="6"/>
  <c r="M3" i="6"/>
  <c r="M8" i="6"/>
  <c r="M18" i="6"/>
  <c r="M6" i="6"/>
  <c r="M11" i="6"/>
  <c r="M16" i="6"/>
  <c r="M4" i="6"/>
  <c r="M1" i="6" s="1"/>
  <c r="M9" i="6"/>
  <c r="M14" i="6"/>
  <c r="M12" i="6"/>
  <c r="M13" i="6"/>
  <c r="N2" i="7"/>
  <c r="N2" i="5"/>
  <c r="N2" i="6"/>
  <c r="N2" i="4"/>
  <c r="N13" i="5" l="1"/>
  <c r="N7" i="5"/>
  <c r="N18" i="5"/>
  <c r="N12" i="5"/>
  <c r="N6" i="5"/>
  <c r="N17" i="5"/>
  <c r="N11" i="5"/>
  <c r="N5" i="5"/>
  <c r="N16" i="5"/>
  <c r="N10" i="5"/>
  <c r="N4" i="5"/>
  <c r="N1" i="5" s="1"/>
  <c r="N15" i="5"/>
  <c r="N9" i="5"/>
  <c r="N3" i="5"/>
  <c r="N14" i="5"/>
  <c r="N8" i="5"/>
  <c r="N8" i="7"/>
  <c r="N18" i="7"/>
  <c r="N6" i="7"/>
  <c r="N11" i="7"/>
  <c r="N16" i="7"/>
  <c r="N4" i="7"/>
  <c r="N1" i="7" s="1"/>
  <c r="N9" i="7"/>
  <c r="N14" i="7"/>
  <c r="N7" i="7"/>
  <c r="N12" i="7"/>
  <c r="N17" i="7"/>
  <c r="N5" i="7"/>
  <c r="N10" i="7"/>
  <c r="N15" i="7"/>
  <c r="N3" i="7"/>
  <c r="N13" i="7"/>
  <c r="N17" i="4"/>
  <c r="N11" i="4"/>
  <c r="N5" i="4"/>
  <c r="N16" i="4"/>
  <c r="N10" i="4"/>
  <c r="N4" i="4"/>
  <c r="N1" i="4" s="1"/>
  <c r="N15" i="4"/>
  <c r="N9" i="4"/>
  <c r="N3" i="4"/>
  <c r="N14" i="4"/>
  <c r="N8" i="4"/>
  <c r="N13" i="4"/>
  <c r="N7" i="4"/>
  <c r="N18" i="4"/>
  <c r="N12" i="4"/>
  <c r="N6" i="4"/>
  <c r="N12" i="6"/>
  <c r="N10" i="6"/>
  <c r="N15" i="6"/>
  <c r="N3" i="6"/>
  <c r="N8" i="6"/>
  <c r="N13" i="6"/>
  <c r="N11" i="6"/>
  <c r="N16" i="6"/>
  <c r="N4" i="6"/>
  <c r="N1" i="6" s="1"/>
  <c r="N9" i="6"/>
  <c r="N14" i="6"/>
  <c r="N7" i="6"/>
  <c r="N17" i="6"/>
  <c r="N6" i="6"/>
  <c r="N18" i="6"/>
  <c r="N5" i="6"/>
  <c r="O2" i="4"/>
  <c r="O2" i="5"/>
  <c r="O2" i="6"/>
  <c r="O2" i="7"/>
  <c r="O14" i="5" l="1"/>
  <c r="O8" i="5"/>
  <c r="O13" i="5"/>
  <c r="O7" i="5"/>
  <c r="O18" i="5"/>
  <c r="O12" i="5"/>
  <c r="O6" i="5"/>
  <c r="O16" i="5"/>
  <c r="O10" i="5"/>
  <c r="O4" i="5"/>
  <c r="O1" i="5" s="1"/>
  <c r="O15" i="5"/>
  <c r="O9" i="5"/>
  <c r="O3" i="5"/>
  <c r="O17" i="5"/>
  <c r="O11" i="5"/>
  <c r="O5" i="5"/>
  <c r="O17" i="6"/>
  <c r="O5" i="6"/>
  <c r="O15" i="6"/>
  <c r="O3" i="6"/>
  <c r="O8" i="6"/>
  <c r="O13" i="6"/>
  <c r="O18" i="6"/>
  <c r="O6" i="6"/>
  <c r="O16" i="6"/>
  <c r="O4" i="6"/>
  <c r="O1" i="6" s="1"/>
  <c r="O9" i="6"/>
  <c r="O14" i="6"/>
  <c r="O7" i="6"/>
  <c r="O12" i="6"/>
  <c r="O11" i="6"/>
  <c r="O10" i="6"/>
  <c r="O18" i="4"/>
  <c r="O12" i="4"/>
  <c r="O6" i="4"/>
  <c r="O17" i="4"/>
  <c r="O11" i="4"/>
  <c r="O5" i="4"/>
  <c r="O16" i="4"/>
  <c r="O10" i="4"/>
  <c r="O4" i="4"/>
  <c r="O1" i="4" s="1"/>
  <c r="O14" i="4"/>
  <c r="O8" i="4"/>
  <c r="O13" i="4"/>
  <c r="O7" i="4"/>
  <c r="O15" i="4"/>
  <c r="O9" i="4"/>
  <c r="O3" i="4"/>
  <c r="O13" i="7"/>
  <c r="O18" i="7"/>
  <c r="O11" i="7"/>
  <c r="O16" i="7"/>
  <c r="O4" i="7"/>
  <c r="O1" i="7" s="1"/>
  <c r="O9" i="7"/>
  <c r="O14" i="7"/>
  <c r="O7" i="7"/>
  <c r="O12" i="7"/>
  <c r="O17" i="7"/>
  <c r="O5" i="7"/>
  <c r="O10" i="7"/>
  <c r="O15" i="7"/>
  <c r="O3" i="7"/>
  <c r="O8" i="7"/>
  <c r="O6" i="7"/>
  <c r="P2" i="7"/>
  <c r="P2" i="6"/>
  <c r="P2" i="5"/>
  <c r="P10" i="6" l="1"/>
  <c r="P8" i="6"/>
  <c r="P13" i="6"/>
  <c r="P18" i="6"/>
  <c r="P6" i="6"/>
  <c r="P11" i="6"/>
  <c r="P9" i="6"/>
  <c r="P14" i="6"/>
  <c r="P7" i="6"/>
  <c r="P12" i="6"/>
  <c r="P17" i="6"/>
  <c r="P5" i="6"/>
  <c r="P4" i="6"/>
  <c r="P1" i="6" s="1"/>
  <c r="P16" i="6"/>
  <c r="P3" i="6"/>
  <c r="P15" i="6"/>
  <c r="P18" i="7"/>
  <c r="P6" i="7"/>
  <c r="P16" i="7"/>
  <c r="P4" i="7"/>
  <c r="P1" i="7" s="1"/>
  <c r="P9" i="7"/>
  <c r="P14" i="7"/>
  <c r="P7" i="7"/>
  <c r="P12" i="7"/>
  <c r="P17" i="7"/>
  <c r="P5" i="7"/>
  <c r="P10" i="7"/>
  <c r="P15" i="7"/>
  <c r="P3" i="7"/>
  <c r="P8" i="7"/>
  <c r="P13" i="7"/>
  <c r="P11" i="7"/>
  <c r="Q2" i="7"/>
  <c r="Q2" i="6"/>
  <c r="Q15" i="6" l="1"/>
  <c r="Q3" i="6"/>
  <c r="Q13" i="6"/>
  <c r="Q18" i="6"/>
  <c r="Q6" i="6"/>
  <c r="Q11" i="6"/>
  <c r="Q16" i="6"/>
  <c r="Q4" i="6"/>
  <c r="Q1" i="6" s="1"/>
  <c r="Q14" i="6"/>
  <c r="Q7" i="6"/>
  <c r="Q12" i="6"/>
  <c r="Q17" i="6"/>
  <c r="Q5" i="6"/>
  <c r="Q10" i="6"/>
  <c r="Q9" i="6"/>
  <c r="Q8" i="6"/>
  <c r="Q11" i="7"/>
  <c r="Q9" i="7"/>
  <c r="Q14" i="7"/>
  <c r="Q7" i="7"/>
  <c r="Q12" i="7"/>
  <c r="Q17" i="7"/>
  <c r="Q10" i="7"/>
  <c r="Q15" i="7"/>
  <c r="Q3" i="7"/>
  <c r="Q8" i="7"/>
  <c r="Q13" i="7"/>
  <c r="Q18" i="7"/>
  <c r="Q6" i="7"/>
  <c r="Q16" i="7"/>
  <c r="Q5" i="7"/>
  <c r="Q4" i="7"/>
  <c r="Q1" i="7" s="1"/>
  <c r="R2" i="7"/>
  <c r="R2" i="6"/>
  <c r="R8" i="6" l="1"/>
  <c r="R18" i="6"/>
  <c r="R6" i="6"/>
  <c r="R11" i="6"/>
  <c r="R16" i="6"/>
  <c r="R4" i="6"/>
  <c r="R1" i="6" s="1"/>
  <c r="R9" i="6"/>
  <c r="R7" i="6"/>
  <c r="R12" i="6"/>
  <c r="R17" i="6"/>
  <c r="R5" i="6"/>
  <c r="R10" i="6"/>
  <c r="R15" i="6"/>
  <c r="R3" i="6"/>
  <c r="R14" i="6"/>
  <c r="R13" i="6"/>
  <c r="R16" i="7"/>
  <c r="R4" i="7"/>
  <c r="R1" i="7" s="1"/>
  <c r="R14" i="7"/>
  <c r="R7" i="7"/>
  <c r="R12" i="7"/>
  <c r="R17" i="7"/>
  <c r="R5" i="7"/>
  <c r="R10" i="7"/>
  <c r="R15" i="7"/>
  <c r="R3" i="7"/>
  <c r="R8" i="7"/>
  <c r="R13" i="7"/>
  <c r="R18" i="7"/>
  <c r="R6" i="7"/>
  <c r="R11" i="7"/>
  <c r="R9" i="7"/>
  <c r="S2" i="6"/>
  <c r="S2" i="7"/>
  <c r="S9" i="7" l="1"/>
  <c r="S7" i="7"/>
  <c r="S12" i="7"/>
  <c r="S17" i="7"/>
  <c r="S5" i="7"/>
  <c r="S10" i="7"/>
  <c r="S15" i="7"/>
  <c r="S8" i="7"/>
  <c r="S13" i="7"/>
  <c r="S18" i="7"/>
  <c r="S6" i="7"/>
  <c r="S11" i="7"/>
  <c r="S16" i="7"/>
  <c r="S4" i="7"/>
  <c r="S1" i="7" s="1"/>
  <c r="S3" i="7"/>
  <c r="S14" i="7"/>
  <c r="S13" i="6"/>
  <c r="S11" i="6"/>
  <c r="S16" i="6"/>
  <c r="S4" i="6"/>
  <c r="S1" i="6" s="1"/>
  <c r="S9" i="6"/>
  <c r="S14" i="6"/>
  <c r="S12" i="6"/>
  <c r="S17" i="6"/>
  <c r="S5" i="6"/>
  <c r="S10" i="6"/>
  <c r="S15" i="6"/>
  <c r="S3" i="6"/>
  <c r="S8" i="6"/>
  <c r="S7" i="6"/>
  <c r="S6" i="6"/>
  <c r="S18" i="6"/>
  <c r="T2" i="6"/>
  <c r="U2" i="6" s="1"/>
  <c r="T2" i="7"/>
  <c r="T18" i="6" l="1"/>
  <c r="T6" i="6"/>
  <c r="T16" i="6"/>
  <c r="T4" i="6"/>
  <c r="T1" i="6" s="1"/>
  <c r="T9" i="6"/>
  <c r="T14" i="6"/>
  <c r="T7" i="6"/>
  <c r="T17" i="6"/>
  <c r="T5" i="6"/>
  <c r="T10" i="6"/>
  <c r="T15" i="6"/>
  <c r="T3" i="6"/>
  <c r="T8" i="6"/>
  <c r="T13" i="6"/>
  <c r="T12" i="6"/>
  <c r="T11" i="6"/>
  <c r="T14" i="7"/>
  <c r="T12" i="7"/>
  <c r="T17" i="7"/>
  <c r="T5" i="7"/>
  <c r="T10" i="7"/>
  <c r="T15" i="7"/>
  <c r="T3" i="7"/>
  <c r="T8" i="7"/>
  <c r="T13" i="7"/>
  <c r="T18" i="7"/>
  <c r="T6" i="7"/>
  <c r="T11" i="7"/>
  <c r="T16" i="7"/>
  <c r="T4" i="7"/>
  <c r="T1" i="7" s="1"/>
  <c r="T9" i="7"/>
  <c r="T7" i="7"/>
  <c r="V2" i="6"/>
  <c r="W2" i="6" s="1"/>
  <c r="U2" i="7"/>
  <c r="V2" i="7" s="1"/>
  <c r="W2" i="7" s="1"/>
</calcChain>
</file>

<file path=xl/sharedStrings.xml><?xml version="1.0" encoding="utf-8"?>
<sst xmlns="http://schemas.openxmlformats.org/spreadsheetml/2006/main" count="1059" uniqueCount="288">
  <si>
    <t>#</t>
  </si>
  <si>
    <t>OPERATOR:2</t>
  </si>
  <si>
    <t>OPERATOR:4</t>
  </si>
  <si>
    <t>OPERATOR:8</t>
  </si>
  <si>
    <t>OPERATOR:9</t>
  </si>
  <si>
    <t>OPERATOR:5</t>
  </si>
  <si>
    <t>OPERATOR:10</t>
  </si>
  <si>
    <t>OPERATOR:11</t>
  </si>
  <si>
    <t>Kąt obrotu osi X</t>
  </si>
  <si>
    <t>Kąt obrotu osi Y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</si>
  <si>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</si>
  <si>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</si>
  <si>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</si>
  <si>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</si>
  <si>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</si>
  <si>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</si>
  <si>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</si>
  <si>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</si>
  <si>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</si>
  <si>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</si>
  <si>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</si>
  <si>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</si>
  <si>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</si>
  <si>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</si>
  <si>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</si>
  <si>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</si>
  <si>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</si>
  <si>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</si>
  <si>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</si>
  <si>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</si>
  <si>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</si>
  <si>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</si>
  <si>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</si>
  <si>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</si>
  <si>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</si>
  <si>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</si>
  <si>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</si>
  <si>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</si>
  <si>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</si>
  <si>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</si>
  <si>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</si>
  <si>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</si>
  <si>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</si>
  <si>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</si>
  <si>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</si>
  <si>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</si>
  <si>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</si>
  <si>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</si>
  <si>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</si>
  <si>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</si>
  <si>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</si>
  <si>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</si>
  <si>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</si>
  <si>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</si>
  <si>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</si>
  <si>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</si>
  <si>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</si>
  <si>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</si>
  <si>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</si>
  <si>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</si>
  <si>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</si>
  <si>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</si>
  <si>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</si>
  <si>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</si>
  <si>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</si>
  <si>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</si>
  <si>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</si>
  <si>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</si>
  <si>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</si>
  <si>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</si>
  <si>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</si>
  <si>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</si>
  <si>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</si>
  <si>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</si>
  <si>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</si>
  <si>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</si>
  <si>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</si>
  <si>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</si>
  <si>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</si>
  <si>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</si>
  <si>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</si>
  <si>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</si>
  <si>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</si>
  <si>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</si>
  <si>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</si>
  <si>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</si>
  <si>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</si>
  <si>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</si>
  <si>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</si>
  <si>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</si>
  <si>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</si>
  <si>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</si>
  <si>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</si>
  <si>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</si>
  <si>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</si>
  <si>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</si>
  <si>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</si>
  <si>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</si>
  <si>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</si>
  <si>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</si>
  <si>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</si>
  <si>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</si>
  <si>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</si>
  <si>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</si>
  <si>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</si>
  <si>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</si>
  <si>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</si>
  <si>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</si>
  <si>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</si>
  <si>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</si>
  <si>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</si>
  <si>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</si>
  <si>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</si>
  <si>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</si>
  <si>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</si>
  <si>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</si>
  <si>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</si>
  <si>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</si>
  <si>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</si>
  <si>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</si>
  <si>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</si>
  <si>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</si>
  <si>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</si>
  <si>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</si>
  <si>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</si>
  <si>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</si>
  <si>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</si>
  <si>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</si>
  <si>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</si>
  <si>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</si>
  <si>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</si>
  <si>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</si>
  <si>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</si>
  <si>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</si>
  <si>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</si>
  <si>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</si>
  <si>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</si>
  <si>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</si>
  <si>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</si>
  <si>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</si>
  <si>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</si>
  <si>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</si>
  <si>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</si>
  <si>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</si>
  <si>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</si>
  <si>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</si>
  <si>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</si>
  <si>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</si>
  <si>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</si>
  <si>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</si>
  <si>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</si>
  <si>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</si>
  <si>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</si>
  <si>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</si>
  <si>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</si>
  <si>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</si>
  <si>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</si>
  <si>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</si>
  <si>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</si>
  <si>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</si>
  <si>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</si>
  <si>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</si>
  <si>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</si>
  <si>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</si>
  <si>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</si>
  <si>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</si>
  <si>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</si>
  <si>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</si>
  <si>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</si>
  <si>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</si>
  <si>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</si>
  <si>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</si>
  <si>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</si>
  <si>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</si>
  <si>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</si>
  <si>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</si>
  <si>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</si>
  <si>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</si>
  <si>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</si>
  <si>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</si>
  <si>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</si>
  <si>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</si>
  <si>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</si>
  <si>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</si>
  <si>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</si>
  <si>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</si>
  <si>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</si>
  <si>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</si>
  <si>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</si>
  <si>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</si>
  <si>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</si>
  <si>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</si>
  <si>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</si>
  <si>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</si>
  <si>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</si>
  <si>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</si>
  <si>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</si>
  <si>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</si>
  <si>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</si>
  <si>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</si>
  <si>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</si>
  <si>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</si>
  <si>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</si>
  <si>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</si>
  <si>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</si>
  <si>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</si>
  <si>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</si>
  <si>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</si>
  <si>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</si>
  <si>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</si>
  <si>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</si>
  <si>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</si>
  <si>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</si>
  <si>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</si>
  <si>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</si>
  <si>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</si>
  <si>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</si>
  <si>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</si>
  <si>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</si>
  <si>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</si>
  <si>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</si>
  <si>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</si>
  <si>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</si>
  <si>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</si>
  <si>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</si>
  <si>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</si>
  <si>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</si>
  <si>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</si>
  <si>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</si>
  <si>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</si>
  <si>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</si>
  <si>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</si>
  <si>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</si>
  <si>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</si>
  <si>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</si>
  <si>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</si>
  <si>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°</t>
  </si>
  <si>
    <t>mm²</t>
  </si>
  <si>
    <t>mm2</t>
  </si>
  <si>
    <t>%</t>
  </si>
  <si>
    <t>µm</t>
  </si>
  <si>
    <t>&lt;no unit&gt;</t>
  </si>
  <si>
    <t>mm</t>
  </si>
  <si>
    <t>1/cm</t>
  </si>
  <si>
    <t>mm³/mm²</t>
  </si>
  <si>
    <t>Conf blue</t>
  </si>
  <si>
    <t>Conf green</t>
  </si>
  <si>
    <t>Conf red</t>
  </si>
  <si>
    <t>Fusion blue</t>
  </si>
  <si>
    <t>Fusion green</t>
  </si>
  <si>
    <t>Fusion red</t>
  </si>
  <si>
    <t>FV blue</t>
  </si>
  <si>
    <t>FV green</t>
  </si>
  <si>
    <t>FV red</t>
  </si>
  <si>
    <t>Int blue</t>
  </si>
  <si>
    <t>Int gree</t>
  </si>
  <si>
    <t>Int red</t>
  </si>
  <si>
    <t>Int white</t>
  </si>
  <si>
    <t>O ile przesunięte</t>
  </si>
  <si>
    <t>Amp_baza</t>
  </si>
  <si>
    <t>Aev_baza</t>
  </si>
  <si>
    <t>Amp_wypełnione NM</t>
  </si>
  <si>
    <t>Amp_005</t>
  </si>
  <si>
    <t>Aev_005</t>
  </si>
  <si>
    <t>Amp_05</t>
  </si>
  <si>
    <t>Aev_05</t>
  </si>
  <si>
    <t>Baza</t>
  </si>
  <si>
    <t>Threshold 005</t>
  </si>
  <si>
    <t>Threshold 05</t>
  </si>
  <si>
    <t>%Baza</t>
  </si>
  <si>
    <t>%Threshold 005</t>
  </si>
  <si>
    <t>%Threshold 05</t>
  </si>
  <si>
    <t>Amp - powierzchnia zmierzonych punktów rzeczywistych</t>
  </si>
  <si>
    <t>Aev  -obszar oceny teoretyczny</t>
  </si>
  <si>
    <t>Rp/Rv</t>
  </si>
  <si>
    <t>C45_5x5\C45_5x5\C45_TF\C45_5x5 --- C45_TF_x10_conf_blue_5x5.mnt</t>
  </si>
  <si>
    <t>C45_5x5\C45_5x5\C45_TF\C45_5x5 --- C45_TF_x10_conf_green_5x5.mnt</t>
  </si>
  <si>
    <t>C45_5x5\C45_5x5\C45_TF\C45_5x5 --- C45_TF_x10_conf_red_5x5.mnt</t>
  </si>
  <si>
    <t>C45_5x5\C45_5x5\C45_TF\C45_5x5 --- C45_TF_x10_fusion_blue_5x5.mnt</t>
  </si>
  <si>
    <t>C45_5x5\C45_5x5\C45_TF\C45_5x5 --- C45_TF_x10_fusion_green_5x5.mnt</t>
  </si>
  <si>
    <t>C45_5x5\C45_5x5\C45_TF\C45_5x5 --- C45_TF_x10_fusion_red_5x5.mnt</t>
  </si>
  <si>
    <t>C45_5x5\C45_5x5\C45_TF\C45_5x5 --- C45_TF_x10_FV_blue_5x5.mnt</t>
  </si>
  <si>
    <t>C45_5x5\C45_5x5\C45_TF\C45_5x5 --- C45_TF_x10_FV_green_5x5.mnt</t>
  </si>
  <si>
    <t>C45_5x5\C45_5x5\C45_TF\C45_5x5 --- C45_TF_x10_FV_red_5x5.mnt</t>
  </si>
  <si>
    <t>C45_5x5\C45_5x5\C45_TF\C45_5x5 --- C45_TF_x10_int_blue_5x5.mnt</t>
  </si>
  <si>
    <t>C45_5x5\C45_5x5\C45_TF\C45_5x5 --- C45_TF_x10_int_green_5x5.mnt</t>
  </si>
  <si>
    <t>C45_5x5\C45_5x5\C45_TF\C45_5x5 --- C45_TF_x10_int_red_5x5.mnt</t>
  </si>
  <si>
    <t>C45_5x5\C45_5x5\C45_TF\C45_5x5 --- C45_TF_x10_int_white_5x5.mnt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</si>
</sst>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6" fontId="0" fillId="33" borderId="0" xfId="0" applyNumberFormat="1" applyFill="1"/>
  </cellXfs>
  <cellStyles count="43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Procentowy" xfId="1" builtinId="5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U16"/>
  <sheetViews>
    <sheetView tabSelected="1" workbookViewId="0">
      <selection sqref="A1:A1048576"/>
    </sheetView>
  </sheetViews>
  <sheetFormatPr baseColWidth="10" defaultColWidth="8.83203125" defaultRowHeight="15" x14ac:dyDescent="0.2"/>
  <cols>
    <col min="2" max="2" width="14" bestFit="1" customWidth="1"/>
  </cols>
  <sheetData>
    <row r="1" spans="1:463" x14ac:dyDescent="0.2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5</v>
      </c>
      <c r="K1">
        <v>5</v>
      </c>
      <c r="L1">
        <v>6</v>
      </c>
      <c r="M1">
        <v>6</v>
      </c>
      <c r="N1">
        <v>13</v>
      </c>
      <c r="O1">
        <v>13</v>
      </c>
      <c r="P1">
        <v>14</v>
      </c>
      <c r="Q1">
        <v>14</v>
      </c>
      <c r="R1">
        <v>40</v>
      </c>
      <c r="S1">
        <v>40</v>
      </c>
      <c r="T1">
        <v>40</v>
      </c>
      <c r="U1">
        <v>40</v>
      </c>
      <c r="V1">
        <v>40</v>
      </c>
      <c r="W1">
        <v>40</v>
      </c>
      <c r="X1">
        <v>40</v>
      </c>
      <c r="Y1">
        <v>40</v>
      </c>
      <c r="Z1">
        <v>40</v>
      </c>
      <c r="AA1">
        <v>40</v>
      </c>
      <c r="AB1">
        <v>40</v>
      </c>
      <c r="AC1">
        <v>40</v>
      </c>
      <c r="AD1">
        <v>40</v>
      </c>
      <c r="AE1">
        <v>40</v>
      </c>
      <c r="AF1">
        <v>40</v>
      </c>
      <c r="AG1">
        <v>40</v>
      </c>
      <c r="AH1">
        <v>40</v>
      </c>
      <c r="AI1">
        <v>40</v>
      </c>
      <c r="AJ1">
        <v>40</v>
      </c>
      <c r="AK1">
        <v>40</v>
      </c>
      <c r="AL1">
        <v>40</v>
      </c>
      <c r="AM1">
        <v>40</v>
      </c>
      <c r="AN1">
        <v>40</v>
      </c>
      <c r="AO1">
        <v>40</v>
      </c>
      <c r="AP1">
        <v>40</v>
      </c>
      <c r="AQ1">
        <v>40</v>
      </c>
      <c r="AR1">
        <v>40</v>
      </c>
      <c r="AS1">
        <v>40</v>
      </c>
      <c r="AT1">
        <v>40</v>
      </c>
      <c r="AU1">
        <v>40</v>
      </c>
      <c r="AV1">
        <v>40</v>
      </c>
      <c r="AW1">
        <v>40</v>
      </c>
      <c r="AX1">
        <v>40</v>
      </c>
      <c r="AY1">
        <v>40</v>
      </c>
      <c r="AZ1">
        <v>40</v>
      </c>
      <c r="BA1">
        <v>40</v>
      </c>
      <c r="BB1">
        <v>40</v>
      </c>
      <c r="BC1">
        <v>40</v>
      </c>
      <c r="BD1">
        <v>40</v>
      </c>
      <c r="BE1">
        <v>40</v>
      </c>
      <c r="BF1">
        <v>40</v>
      </c>
      <c r="BG1">
        <v>40</v>
      </c>
      <c r="BH1">
        <v>40</v>
      </c>
      <c r="BI1">
        <v>40</v>
      </c>
      <c r="BJ1">
        <v>40</v>
      </c>
      <c r="BK1">
        <v>40</v>
      </c>
      <c r="BL1">
        <v>40</v>
      </c>
      <c r="BM1">
        <v>40</v>
      </c>
      <c r="BN1">
        <v>40</v>
      </c>
      <c r="BO1">
        <v>40</v>
      </c>
      <c r="BP1">
        <v>40</v>
      </c>
      <c r="BQ1">
        <v>40</v>
      </c>
      <c r="BR1">
        <v>40</v>
      </c>
      <c r="BS1">
        <v>40</v>
      </c>
      <c r="BT1">
        <v>40</v>
      </c>
      <c r="BU1">
        <v>40</v>
      </c>
      <c r="BV1">
        <v>41</v>
      </c>
      <c r="BW1">
        <v>41</v>
      </c>
      <c r="BX1">
        <v>41</v>
      </c>
      <c r="BY1">
        <v>41</v>
      </c>
      <c r="BZ1">
        <v>41</v>
      </c>
      <c r="CA1">
        <v>41</v>
      </c>
      <c r="CB1">
        <v>41</v>
      </c>
      <c r="CC1">
        <v>41</v>
      </c>
      <c r="CD1">
        <v>41</v>
      </c>
      <c r="CE1">
        <v>41</v>
      </c>
      <c r="CF1">
        <v>41</v>
      </c>
      <c r="CG1">
        <v>41</v>
      </c>
      <c r="CH1">
        <v>41</v>
      </c>
      <c r="CI1">
        <v>41</v>
      </c>
      <c r="CJ1">
        <v>41</v>
      </c>
      <c r="CK1">
        <v>41</v>
      </c>
      <c r="CL1">
        <v>41</v>
      </c>
      <c r="CM1">
        <v>41</v>
      </c>
      <c r="CN1">
        <v>41</v>
      </c>
      <c r="CO1">
        <v>41</v>
      </c>
      <c r="CP1">
        <v>41</v>
      </c>
      <c r="CQ1">
        <v>41</v>
      </c>
      <c r="CR1">
        <v>41</v>
      </c>
      <c r="CS1">
        <v>41</v>
      </c>
      <c r="CT1">
        <v>41</v>
      </c>
      <c r="CU1">
        <v>41</v>
      </c>
      <c r="CV1">
        <v>41</v>
      </c>
      <c r="CW1">
        <v>41</v>
      </c>
      <c r="CX1">
        <v>41</v>
      </c>
      <c r="CY1">
        <v>41</v>
      </c>
      <c r="CZ1">
        <v>41</v>
      </c>
      <c r="DA1">
        <v>41</v>
      </c>
      <c r="DB1">
        <v>41</v>
      </c>
      <c r="DC1">
        <v>41</v>
      </c>
      <c r="DD1">
        <v>41</v>
      </c>
      <c r="DE1">
        <v>41</v>
      </c>
      <c r="DF1">
        <v>41</v>
      </c>
      <c r="DG1">
        <v>41</v>
      </c>
      <c r="DH1">
        <v>41</v>
      </c>
      <c r="DI1">
        <v>41</v>
      </c>
      <c r="DJ1">
        <v>41</v>
      </c>
      <c r="DK1">
        <v>41</v>
      </c>
      <c r="DL1">
        <v>41</v>
      </c>
      <c r="DM1">
        <v>41</v>
      </c>
      <c r="DN1">
        <v>41</v>
      </c>
      <c r="DO1">
        <v>41</v>
      </c>
      <c r="DP1">
        <v>41</v>
      </c>
      <c r="DQ1">
        <v>41</v>
      </c>
      <c r="DR1">
        <v>41</v>
      </c>
      <c r="DS1">
        <v>41</v>
      </c>
      <c r="DT1">
        <v>41</v>
      </c>
      <c r="DU1">
        <v>41</v>
      </c>
      <c r="DV1">
        <v>41</v>
      </c>
      <c r="DW1">
        <v>41</v>
      </c>
      <c r="DX1">
        <v>41</v>
      </c>
      <c r="DY1">
        <v>41</v>
      </c>
      <c r="DZ1">
        <v>50</v>
      </c>
      <c r="EA1">
        <v>50</v>
      </c>
      <c r="EB1">
        <v>50</v>
      </c>
      <c r="EC1">
        <v>50</v>
      </c>
      <c r="ED1">
        <v>50</v>
      </c>
      <c r="EE1">
        <v>50</v>
      </c>
      <c r="EF1">
        <v>50</v>
      </c>
      <c r="EG1">
        <v>50</v>
      </c>
      <c r="EH1">
        <v>50</v>
      </c>
      <c r="EI1">
        <v>50</v>
      </c>
      <c r="EJ1">
        <v>50</v>
      </c>
      <c r="EK1">
        <v>50</v>
      </c>
      <c r="EL1">
        <v>50</v>
      </c>
      <c r="EM1">
        <v>50</v>
      </c>
      <c r="EN1">
        <v>50</v>
      </c>
      <c r="EO1">
        <v>50</v>
      </c>
      <c r="EP1">
        <v>50</v>
      </c>
      <c r="EQ1">
        <v>50</v>
      </c>
      <c r="ER1">
        <v>50</v>
      </c>
      <c r="ES1">
        <v>50</v>
      </c>
      <c r="ET1">
        <v>50</v>
      </c>
      <c r="EU1">
        <v>50</v>
      </c>
      <c r="EV1">
        <v>50</v>
      </c>
      <c r="EW1">
        <v>50</v>
      </c>
      <c r="EX1">
        <v>50</v>
      </c>
      <c r="EY1">
        <v>50</v>
      </c>
      <c r="EZ1">
        <v>50</v>
      </c>
      <c r="FA1">
        <v>50</v>
      </c>
      <c r="FB1">
        <v>50</v>
      </c>
      <c r="FC1">
        <v>50</v>
      </c>
      <c r="FD1">
        <v>50</v>
      </c>
      <c r="FE1">
        <v>50</v>
      </c>
      <c r="FF1">
        <v>50</v>
      </c>
      <c r="FG1">
        <v>50</v>
      </c>
      <c r="FH1">
        <v>50</v>
      </c>
      <c r="FI1">
        <v>50</v>
      </c>
      <c r="FJ1">
        <v>50</v>
      </c>
      <c r="FK1">
        <v>50</v>
      </c>
      <c r="FL1">
        <v>50</v>
      </c>
      <c r="FM1">
        <v>50</v>
      </c>
      <c r="FN1">
        <v>50</v>
      </c>
      <c r="FO1">
        <v>50</v>
      </c>
      <c r="FP1">
        <v>50</v>
      </c>
      <c r="FQ1">
        <v>50</v>
      </c>
      <c r="FR1">
        <v>50</v>
      </c>
      <c r="FS1">
        <v>50</v>
      </c>
      <c r="FT1">
        <v>50</v>
      </c>
      <c r="FU1">
        <v>50</v>
      </c>
      <c r="FV1">
        <v>50</v>
      </c>
      <c r="FW1">
        <v>50</v>
      </c>
      <c r="FX1">
        <v>50</v>
      </c>
      <c r="FY1">
        <v>50</v>
      </c>
      <c r="FZ1">
        <v>50</v>
      </c>
      <c r="GA1">
        <v>50</v>
      </c>
      <c r="GB1">
        <v>50</v>
      </c>
      <c r="GC1">
        <v>50</v>
      </c>
      <c r="GD1">
        <v>50</v>
      </c>
      <c r="GE1">
        <v>50</v>
      </c>
      <c r="GF1">
        <v>50</v>
      </c>
      <c r="GG1">
        <v>50</v>
      </c>
      <c r="GH1">
        <v>50</v>
      </c>
      <c r="GI1">
        <v>50</v>
      </c>
      <c r="GJ1">
        <v>50</v>
      </c>
      <c r="GK1">
        <v>50</v>
      </c>
      <c r="GL1">
        <v>50</v>
      </c>
      <c r="GM1">
        <v>50</v>
      </c>
      <c r="GN1">
        <v>50</v>
      </c>
      <c r="GO1">
        <v>50</v>
      </c>
      <c r="GP1">
        <v>50</v>
      </c>
      <c r="GQ1">
        <v>50</v>
      </c>
      <c r="GR1">
        <v>50</v>
      </c>
      <c r="GS1">
        <v>50</v>
      </c>
      <c r="GT1">
        <v>50</v>
      </c>
      <c r="GU1">
        <v>50</v>
      </c>
      <c r="GV1">
        <v>50</v>
      </c>
      <c r="GW1">
        <v>50</v>
      </c>
      <c r="GX1">
        <v>51</v>
      </c>
      <c r="GY1">
        <v>51</v>
      </c>
      <c r="GZ1">
        <v>51</v>
      </c>
      <c r="HA1">
        <v>51</v>
      </c>
      <c r="HB1">
        <v>51</v>
      </c>
      <c r="HC1">
        <v>51</v>
      </c>
      <c r="HD1">
        <v>51</v>
      </c>
      <c r="HE1">
        <v>51</v>
      </c>
      <c r="HF1">
        <v>51</v>
      </c>
      <c r="HG1">
        <v>51</v>
      </c>
      <c r="HH1">
        <v>51</v>
      </c>
      <c r="HI1">
        <v>51</v>
      </c>
      <c r="HJ1">
        <v>51</v>
      </c>
      <c r="HK1">
        <v>51</v>
      </c>
      <c r="HL1">
        <v>51</v>
      </c>
      <c r="HM1">
        <v>51</v>
      </c>
      <c r="HN1">
        <v>51</v>
      </c>
      <c r="HO1">
        <v>51</v>
      </c>
      <c r="HP1">
        <v>51</v>
      </c>
      <c r="HQ1">
        <v>51</v>
      </c>
      <c r="HR1">
        <v>51</v>
      </c>
      <c r="HS1">
        <v>51</v>
      </c>
      <c r="HT1">
        <v>51</v>
      </c>
      <c r="HU1">
        <v>51</v>
      </c>
      <c r="HV1">
        <v>51</v>
      </c>
      <c r="HW1">
        <v>51</v>
      </c>
      <c r="HX1">
        <v>51</v>
      </c>
      <c r="HY1">
        <v>51</v>
      </c>
      <c r="HZ1">
        <v>51</v>
      </c>
      <c r="IA1">
        <v>51</v>
      </c>
      <c r="IB1">
        <v>51</v>
      </c>
      <c r="IC1">
        <v>51</v>
      </c>
      <c r="ID1">
        <v>51</v>
      </c>
      <c r="IE1">
        <v>51</v>
      </c>
      <c r="IF1">
        <v>51</v>
      </c>
      <c r="IG1">
        <v>51</v>
      </c>
      <c r="IH1">
        <v>51</v>
      </c>
      <c r="II1">
        <v>51</v>
      </c>
      <c r="IJ1">
        <v>51</v>
      </c>
      <c r="IK1">
        <v>51</v>
      </c>
      <c r="IL1">
        <v>51</v>
      </c>
      <c r="IM1">
        <v>51</v>
      </c>
      <c r="IN1">
        <v>51</v>
      </c>
      <c r="IO1">
        <v>51</v>
      </c>
      <c r="IP1">
        <v>51</v>
      </c>
      <c r="IQ1">
        <v>51</v>
      </c>
      <c r="IR1">
        <v>51</v>
      </c>
      <c r="IS1">
        <v>51</v>
      </c>
      <c r="IT1">
        <v>51</v>
      </c>
      <c r="IU1">
        <v>51</v>
      </c>
      <c r="IV1">
        <v>51</v>
      </c>
      <c r="IW1">
        <v>51</v>
      </c>
      <c r="IX1">
        <v>51</v>
      </c>
      <c r="IY1">
        <v>51</v>
      </c>
      <c r="IZ1">
        <v>51</v>
      </c>
      <c r="JA1">
        <v>51</v>
      </c>
      <c r="JB1">
        <v>51</v>
      </c>
      <c r="JC1">
        <v>51</v>
      </c>
      <c r="JD1">
        <v>51</v>
      </c>
      <c r="JE1">
        <v>51</v>
      </c>
      <c r="JF1">
        <v>51</v>
      </c>
      <c r="JG1">
        <v>51</v>
      </c>
      <c r="JH1">
        <v>51</v>
      </c>
      <c r="JI1">
        <v>51</v>
      </c>
      <c r="JJ1">
        <v>51</v>
      </c>
      <c r="JK1">
        <v>51</v>
      </c>
      <c r="JL1">
        <v>51</v>
      </c>
      <c r="JM1">
        <v>51</v>
      </c>
      <c r="JN1">
        <v>51</v>
      </c>
      <c r="JO1">
        <v>51</v>
      </c>
      <c r="JP1">
        <v>51</v>
      </c>
      <c r="JQ1">
        <v>51</v>
      </c>
      <c r="JR1">
        <v>51</v>
      </c>
      <c r="JS1">
        <v>51</v>
      </c>
      <c r="JT1">
        <v>51</v>
      </c>
      <c r="JU1">
        <v>51</v>
      </c>
      <c r="JV1">
        <v>60</v>
      </c>
      <c r="JW1">
        <v>60</v>
      </c>
      <c r="JX1">
        <v>60</v>
      </c>
      <c r="JY1">
        <v>60</v>
      </c>
      <c r="JZ1">
        <v>60</v>
      </c>
      <c r="KA1">
        <v>60</v>
      </c>
      <c r="KB1">
        <v>60</v>
      </c>
      <c r="KC1">
        <v>60</v>
      </c>
      <c r="KD1">
        <v>60</v>
      </c>
      <c r="KE1">
        <v>60</v>
      </c>
      <c r="KF1">
        <v>60</v>
      </c>
      <c r="KG1">
        <v>60</v>
      </c>
      <c r="KH1">
        <v>60</v>
      </c>
      <c r="KI1">
        <v>60</v>
      </c>
      <c r="KJ1">
        <v>60</v>
      </c>
      <c r="KK1">
        <v>60</v>
      </c>
      <c r="KL1">
        <v>60</v>
      </c>
      <c r="KM1">
        <v>60</v>
      </c>
      <c r="KN1">
        <v>60</v>
      </c>
      <c r="KO1">
        <v>60</v>
      </c>
      <c r="KP1">
        <v>60</v>
      </c>
      <c r="KQ1">
        <v>60</v>
      </c>
      <c r="KR1">
        <v>60</v>
      </c>
      <c r="KS1">
        <v>60</v>
      </c>
      <c r="KT1">
        <v>60</v>
      </c>
      <c r="KU1">
        <v>60</v>
      </c>
      <c r="KV1">
        <v>60</v>
      </c>
      <c r="KW1">
        <v>60</v>
      </c>
      <c r="KX1">
        <v>60</v>
      </c>
      <c r="KY1">
        <v>60</v>
      </c>
      <c r="KZ1">
        <v>60</v>
      </c>
      <c r="LA1">
        <v>60</v>
      </c>
      <c r="LB1">
        <v>60</v>
      </c>
      <c r="LC1">
        <v>60</v>
      </c>
      <c r="LD1">
        <v>60</v>
      </c>
      <c r="LE1">
        <v>60</v>
      </c>
      <c r="LF1">
        <v>60</v>
      </c>
      <c r="LG1">
        <v>60</v>
      </c>
      <c r="LH1">
        <v>60</v>
      </c>
      <c r="LI1">
        <v>60</v>
      </c>
      <c r="LJ1">
        <v>60</v>
      </c>
      <c r="LK1">
        <v>60</v>
      </c>
      <c r="LL1">
        <v>60</v>
      </c>
      <c r="LM1">
        <v>60</v>
      </c>
      <c r="LN1">
        <v>60</v>
      </c>
      <c r="LO1">
        <v>60</v>
      </c>
      <c r="LP1">
        <v>60</v>
      </c>
      <c r="LQ1">
        <v>60</v>
      </c>
      <c r="LR1">
        <v>60</v>
      </c>
      <c r="LS1">
        <v>60</v>
      </c>
      <c r="LT1">
        <v>60</v>
      </c>
      <c r="LU1">
        <v>60</v>
      </c>
      <c r="LV1">
        <v>60</v>
      </c>
      <c r="LW1">
        <v>60</v>
      </c>
      <c r="LX1">
        <v>60</v>
      </c>
      <c r="LY1">
        <v>60</v>
      </c>
      <c r="LZ1">
        <v>60</v>
      </c>
      <c r="MA1">
        <v>60</v>
      </c>
      <c r="MB1">
        <v>60</v>
      </c>
      <c r="MC1">
        <v>60</v>
      </c>
      <c r="MD1">
        <v>61</v>
      </c>
      <c r="ME1">
        <v>61</v>
      </c>
      <c r="MF1">
        <v>61</v>
      </c>
      <c r="MG1">
        <v>61</v>
      </c>
      <c r="MH1">
        <v>61</v>
      </c>
      <c r="MI1">
        <v>61</v>
      </c>
      <c r="MJ1">
        <v>61</v>
      </c>
      <c r="MK1">
        <v>61</v>
      </c>
      <c r="ML1">
        <v>61</v>
      </c>
      <c r="MM1">
        <v>61</v>
      </c>
      <c r="MN1">
        <v>61</v>
      </c>
      <c r="MO1">
        <v>61</v>
      </c>
      <c r="MP1">
        <v>61</v>
      </c>
      <c r="MQ1">
        <v>61</v>
      </c>
      <c r="MR1">
        <v>61</v>
      </c>
      <c r="MS1">
        <v>61</v>
      </c>
      <c r="MT1">
        <v>61</v>
      </c>
      <c r="MU1">
        <v>61</v>
      </c>
      <c r="MV1">
        <v>61</v>
      </c>
      <c r="MW1">
        <v>61</v>
      </c>
      <c r="MX1">
        <v>61</v>
      </c>
      <c r="MY1">
        <v>61</v>
      </c>
      <c r="MZ1">
        <v>61</v>
      </c>
      <c r="NA1">
        <v>61</v>
      </c>
      <c r="NB1">
        <v>61</v>
      </c>
      <c r="NC1">
        <v>61</v>
      </c>
      <c r="ND1">
        <v>61</v>
      </c>
      <c r="NE1">
        <v>61</v>
      </c>
      <c r="NF1">
        <v>61</v>
      </c>
      <c r="NG1">
        <v>61</v>
      </c>
      <c r="NH1">
        <v>61</v>
      </c>
      <c r="NI1">
        <v>61</v>
      </c>
      <c r="NJ1">
        <v>61</v>
      </c>
      <c r="NK1">
        <v>61</v>
      </c>
      <c r="NL1">
        <v>61</v>
      </c>
      <c r="NM1">
        <v>61</v>
      </c>
      <c r="NN1">
        <v>61</v>
      </c>
      <c r="NO1">
        <v>61</v>
      </c>
      <c r="NP1">
        <v>61</v>
      </c>
      <c r="NQ1">
        <v>61</v>
      </c>
      <c r="NR1">
        <v>61</v>
      </c>
      <c r="NS1">
        <v>61</v>
      </c>
      <c r="NT1">
        <v>61</v>
      </c>
      <c r="NU1">
        <v>61</v>
      </c>
      <c r="NV1">
        <v>61</v>
      </c>
      <c r="NW1">
        <v>61</v>
      </c>
      <c r="NX1">
        <v>61</v>
      </c>
      <c r="NY1">
        <v>61</v>
      </c>
      <c r="NZ1">
        <v>61</v>
      </c>
      <c r="OA1">
        <v>61</v>
      </c>
      <c r="OB1">
        <v>61</v>
      </c>
      <c r="OC1">
        <v>61</v>
      </c>
      <c r="OD1">
        <v>61</v>
      </c>
      <c r="OE1">
        <v>61</v>
      </c>
      <c r="OF1">
        <v>61</v>
      </c>
      <c r="OG1">
        <v>61</v>
      </c>
      <c r="OH1">
        <v>61</v>
      </c>
      <c r="OI1">
        <v>61</v>
      </c>
      <c r="OJ1">
        <v>61</v>
      </c>
      <c r="OK1">
        <v>61</v>
      </c>
      <c r="OL1">
        <v>70</v>
      </c>
      <c r="OM1">
        <v>70</v>
      </c>
      <c r="ON1">
        <v>70</v>
      </c>
      <c r="OO1">
        <v>70</v>
      </c>
      <c r="OP1">
        <v>70</v>
      </c>
      <c r="OQ1">
        <v>70</v>
      </c>
      <c r="OR1">
        <v>70</v>
      </c>
      <c r="OS1">
        <v>70</v>
      </c>
      <c r="OT1">
        <v>70</v>
      </c>
      <c r="OU1">
        <v>70</v>
      </c>
      <c r="OV1">
        <v>70</v>
      </c>
      <c r="OW1">
        <v>70</v>
      </c>
      <c r="OX1">
        <v>70</v>
      </c>
      <c r="OY1">
        <v>70</v>
      </c>
      <c r="OZ1">
        <v>70</v>
      </c>
      <c r="PA1">
        <v>70</v>
      </c>
      <c r="PB1">
        <v>70</v>
      </c>
      <c r="PC1">
        <v>70</v>
      </c>
      <c r="PD1">
        <v>71</v>
      </c>
      <c r="PE1">
        <v>71</v>
      </c>
      <c r="PF1">
        <v>71</v>
      </c>
      <c r="PG1">
        <v>71</v>
      </c>
      <c r="PH1">
        <v>71</v>
      </c>
      <c r="PI1">
        <v>71</v>
      </c>
      <c r="PJ1">
        <v>71</v>
      </c>
      <c r="PK1">
        <v>71</v>
      </c>
      <c r="PL1">
        <v>71</v>
      </c>
      <c r="PM1">
        <v>71</v>
      </c>
      <c r="PN1">
        <v>71</v>
      </c>
      <c r="PO1">
        <v>71</v>
      </c>
      <c r="PP1">
        <v>71</v>
      </c>
      <c r="PQ1">
        <v>71</v>
      </c>
      <c r="PR1">
        <v>71</v>
      </c>
      <c r="PS1">
        <v>71</v>
      </c>
      <c r="PT1">
        <v>71</v>
      </c>
      <c r="PU1">
        <v>71</v>
      </c>
      <c r="PV1">
        <v>80</v>
      </c>
      <c r="PW1">
        <v>80</v>
      </c>
      <c r="PX1">
        <v>80</v>
      </c>
      <c r="PY1">
        <v>80</v>
      </c>
      <c r="PZ1">
        <v>80</v>
      </c>
      <c r="QA1">
        <v>81</v>
      </c>
      <c r="QB1">
        <v>81</v>
      </c>
      <c r="QC1">
        <v>81</v>
      </c>
      <c r="QD1">
        <v>81</v>
      </c>
      <c r="QE1">
        <v>81</v>
      </c>
      <c r="QF1">
        <v>90</v>
      </c>
      <c r="QG1">
        <v>90</v>
      </c>
      <c r="QH1">
        <v>90</v>
      </c>
      <c r="QI1">
        <v>90</v>
      </c>
      <c r="QJ1">
        <v>91</v>
      </c>
      <c r="QK1">
        <v>91</v>
      </c>
      <c r="QL1">
        <v>91</v>
      </c>
      <c r="QM1">
        <v>91</v>
      </c>
      <c r="QN1">
        <v>92</v>
      </c>
      <c r="QO1">
        <v>92</v>
      </c>
      <c r="QP1">
        <v>92</v>
      </c>
      <c r="QQ1">
        <v>92</v>
      </c>
      <c r="QR1">
        <v>93</v>
      </c>
      <c r="QS1">
        <v>93</v>
      </c>
      <c r="QT1">
        <v>93</v>
      </c>
      <c r="QU1">
        <v>93</v>
      </c>
    </row>
    <row r="2" spans="1:463" x14ac:dyDescent="0.2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16</v>
      </c>
      <c r="M2" t="s">
        <v>17</v>
      </c>
      <c r="N2" t="s">
        <v>16</v>
      </c>
      <c r="O2" t="s">
        <v>17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18</v>
      </c>
      <c r="BW2" t="s">
        <v>19</v>
      </c>
      <c r="BX2" t="s">
        <v>20</v>
      </c>
      <c r="BY2" t="s">
        <v>21</v>
      </c>
      <c r="BZ2" t="s">
        <v>22</v>
      </c>
      <c r="CA2" t="s">
        <v>23</v>
      </c>
      <c r="CB2" t="s">
        <v>24</v>
      </c>
      <c r="CC2" t="s">
        <v>25</v>
      </c>
      <c r="CD2" t="s">
        <v>26</v>
      </c>
      <c r="CE2" t="s">
        <v>27</v>
      </c>
      <c r="CF2" t="s">
        <v>28</v>
      </c>
      <c r="CG2" t="s">
        <v>29</v>
      </c>
      <c r="CH2" t="s">
        <v>30</v>
      </c>
      <c r="CI2" t="s">
        <v>31</v>
      </c>
      <c r="CJ2" t="s">
        <v>32</v>
      </c>
      <c r="CK2" t="s">
        <v>33</v>
      </c>
      <c r="CL2" t="s">
        <v>34</v>
      </c>
      <c r="CM2" t="s">
        <v>35</v>
      </c>
      <c r="CN2" t="s">
        <v>36</v>
      </c>
      <c r="CO2" t="s">
        <v>37</v>
      </c>
      <c r="CP2" t="s">
        <v>38</v>
      </c>
      <c r="CQ2" t="s">
        <v>39</v>
      </c>
      <c r="CR2" t="s">
        <v>40</v>
      </c>
      <c r="CS2" t="s">
        <v>41</v>
      </c>
      <c r="CT2" t="s">
        <v>42</v>
      </c>
      <c r="CU2" t="s">
        <v>43</v>
      </c>
      <c r="CV2" t="s">
        <v>44</v>
      </c>
      <c r="CW2" t="s">
        <v>45</v>
      </c>
      <c r="CX2" t="s">
        <v>46</v>
      </c>
      <c r="CY2" t="s">
        <v>47</v>
      </c>
      <c r="CZ2" t="s">
        <v>48</v>
      </c>
      <c r="DA2" t="s">
        <v>49</v>
      </c>
      <c r="DB2" t="s">
        <v>50</v>
      </c>
      <c r="DC2" t="s">
        <v>51</v>
      </c>
      <c r="DD2" t="s">
        <v>52</v>
      </c>
      <c r="DE2" t="s">
        <v>53</v>
      </c>
      <c r="DF2" t="s">
        <v>54</v>
      </c>
      <c r="DG2" t="s">
        <v>55</v>
      </c>
      <c r="DH2" t="s">
        <v>56</v>
      </c>
      <c r="DI2" t="s">
        <v>57</v>
      </c>
      <c r="DJ2" t="s">
        <v>58</v>
      </c>
      <c r="DK2" t="s">
        <v>59</v>
      </c>
      <c r="DL2" t="s">
        <v>60</v>
      </c>
      <c r="DM2" t="s">
        <v>61</v>
      </c>
      <c r="DN2" t="s">
        <v>62</v>
      </c>
      <c r="DO2" t="s">
        <v>63</v>
      </c>
      <c r="DP2" t="s">
        <v>64</v>
      </c>
      <c r="DQ2" t="s">
        <v>65</v>
      </c>
      <c r="DR2" t="s">
        <v>66</v>
      </c>
      <c r="DS2" t="s">
        <v>67</v>
      </c>
      <c r="DT2" t="s">
        <v>68</v>
      </c>
      <c r="DU2" t="s">
        <v>69</v>
      </c>
      <c r="DV2" t="s">
        <v>70</v>
      </c>
      <c r="DW2" t="s">
        <v>71</v>
      </c>
      <c r="DX2" t="s">
        <v>72</v>
      </c>
      <c r="DY2" t="s">
        <v>73</v>
      </c>
      <c r="DZ2" t="s">
        <v>74</v>
      </c>
      <c r="EA2" t="s">
        <v>75</v>
      </c>
      <c r="EB2" t="s">
        <v>76</v>
      </c>
      <c r="EC2" t="s">
        <v>77</v>
      </c>
      <c r="ED2" t="s">
        <v>78</v>
      </c>
      <c r="EE2" t="s">
        <v>79</v>
      </c>
      <c r="EF2" t="s">
        <v>80</v>
      </c>
      <c r="EG2" t="s">
        <v>81</v>
      </c>
      <c r="EH2" t="s">
        <v>82</v>
      </c>
      <c r="EI2" t="s">
        <v>83</v>
      </c>
      <c r="EJ2" t="s">
        <v>84</v>
      </c>
      <c r="EK2" t="s">
        <v>85</v>
      </c>
      <c r="EL2" t="s">
        <v>86</v>
      </c>
      <c r="EM2" t="s">
        <v>87</v>
      </c>
      <c r="EN2" t="s">
        <v>88</v>
      </c>
      <c r="EO2" t="s">
        <v>89</v>
      </c>
      <c r="EP2" t="s">
        <v>90</v>
      </c>
      <c r="EQ2" t="s">
        <v>91</v>
      </c>
      <c r="ER2" t="s">
        <v>92</v>
      </c>
      <c r="ES2" t="s">
        <v>93</v>
      </c>
      <c r="ET2" t="s">
        <v>94</v>
      </c>
      <c r="EU2" t="s">
        <v>95</v>
      </c>
      <c r="EV2" t="s">
        <v>96</v>
      </c>
      <c r="EW2" t="s">
        <v>97</v>
      </c>
      <c r="EX2" t="s">
        <v>98</v>
      </c>
      <c r="EY2" t="s">
        <v>99</v>
      </c>
      <c r="EZ2" t="s">
        <v>100</v>
      </c>
      <c r="FA2" t="s">
        <v>101</v>
      </c>
      <c r="FB2" t="s">
        <v>102</v>
      </c>
      <c r="FC2" t="s">
        <v>103</v>
      </c>
      <c r="FD2" t="s">
        <v>104</v>
      </c>
      <c r="FE2" t="s">
        <v>105</v>
      </c>
      <c r="FF2" t="s">
        <v>106</v>
      </c>
      <c r="FG2" t="s">
        <v>107</v>
      </c>
      <c r="FH2" t="s">
        <v>108</v>
      </c>
      <c r="FI2" t="s">
        <v>109</v>
      </c>
      <c r="FJ2" t="s">
        <v>110</v>
      </c>
      <c r="FK2" t="s">
        <v>111</v>
      </c>
      <c r="FL2" t="s">
        <v>112</v>
      </c>
      <c r="FM2" t="s">
        <v>113</v>
      </c>
      <c r="FN2" t="s">
        <v>114</v>
      </c>
      <c r="FO2" t="s">
        <v>115</v>
      </c>
      <c r="FP2" t="s">
        <v>116</v>
      </c>
      <c r="FQ2" t="s">
        <v>117</v>
      </c>
      <c r="FR2" t="s">
        <v>118</v>
      </c>
      <c r="FS2" t="s">
        <v>119</v>
      </c>
      <c r="FT2" t="s">
        <v>120</v>
      </c>
      <c r="FU2" t="s">
        <v>121</v>
      </c>
      <c r="FV2" t="s">
        <v>122</v>
      </c>
      <c r="FW2" t="s">
        <v>123</v>
      </c>
      <c r="FX2" t="s">
        <v>124</v>
      </c>
      <c r="FY2" t="s">
        <v>125</v>
      </c>
      <c r="FZ2" t="s">
        <v>126</v>
      </c>
      <c r="GA2" t="s">
        <v>127</v>
      </c>
      <c r="GB2" t="s">
        <v>128</v>
      </c>
      <c r="GC2" t="s">
        <v>129</v>
      </c>
      <c r="GD2" t="s">
        <v>130</v>
      </c>
      <c r="GE2" t="s">
        <v>131</v>
      </c>
      <c r="GF2" t="s">
        <v>132</v>
      </c>
      <c r="GG2" t="s">
        <v>133</v>
      </c>
      <c r="GH2" t="s">
        <v>134</v>
      </c>
      <c r="GI2" t="s">
        <v>135</v>
      </c>
      <c r="GJ2" t="s">
        <v>136</v>
      </c>
      <c r="GK2" t="s">
        <v>137</v>
      </c>
      <c r="GL2" t="s">
        <v>138</v>
      </c>
      <c r="GM2" t="s">
        <v>139</v>
      </c>
      <c r="GN2" t="s">
        <v>140</v>
      </c>
      <c r="GO2" t="s">
        <v>141</v>
      </c>
      <c r="GP2" t="s">
        <v>142</v>
      </c>
      <c r="GQ2" t="s">
        <v>143</v>
      </c>
      <c r="GR2" t="s">
        <v>144</v>
      </c>
      <c r="GS2" t="s">
        <v>145</v>
      </c>
      <c r="GT2" t="s">
        <v>146</v>
      </c>
      <c r="GU2" t="s">
        <v>147</v>
      </c>
      <c r="GV2" t="s">
        <v>148</v>
      </c>
      <c r="GW2" t="s">
        <v>149</v>
      </c>
      <c r="GX2" t="s">
        <v>74</v>
      </c>
      <c r="GY2" t="s">
        <v>75</v>
      </c>
      <c r="GZ2" t="s">
        <v>76</v>
      </c>
      <c r="HA2" t="s">
        <v>77</v>
      </c>
      <c r="HB2" t="s">
        <v>78</v>
      </c>
      <c r="HC2" t="s">
        <v>79</v>
      </c>
      <c r="HD2" t="s">
        <v>80</v>
      </c>
      <c r="HE2" t="s">
        <v>81</v>
      </c>
      <c r="HF2" t="s">
        <v>82</v>
      </c>
      <c r="HG2" t="s">
        <v>83</v>
      </c>
      <c r="HH2" t="s">
        <v>84</v>
      </c>
      <c r="HI2" t="s">
        <v>85</v>
      </c>
      <c r="HJ2" t="s">
        <v>86</v>
      </c>
      <c r="HK2" t="s">
        <v>87</v>
      </c>
      <c r="HL2" t="s">
        <v>88</v>
      </c>
      <c r="HM2" t="s">
        <v>89</v>
      </c>
      <c r="HN2" t="s">
        <v>90</v>
      </c>
      <c r="HO2" t="s">
        <v>91</v>
      </c>
      <c r="HP2" t="s">
        <v>92</v>
      </c>
      <c r="HQ2" t="s">
        <v>93</v>
      </c>
      <c r="HR2" t="s">
        <v>94</v>
      </c>
      <c r="HS2" t="s">
        <v>95</v>
      </c>
      <c r="HT2" t="s">
        <v>96</v>
      </c>
      <c r="HU2" t="s">
        <v>97</v>
      </c>
      <c r="HV2" t="s">
        <v>98</v>
      </c>
      <c r="HW2" t="s">
        <v>99</v>
      </c>
      <c r="HX2" t="s">
        <v>100</v>
      </c>
      <c r="HY2" t="s">
        <v>101</v>
      </c>
      <c r="HZ2" t="s">
        <v>102</v>
      </c>
      <c r="IA2" t="s">
        <v>103</v>
      </c>
      <c r="IB2" t="s">
        <v>104</v>
      </c>
      <c r="IC2" t="s">
        <v>105</v>
      </c>
      <c r="ID2" t="s">
        <v>106</v>
      </c>
      <c r="IE2" t="s">
        <v>107</v>
      </c>
      <c r="IF2" t="s">
        <v>108</v>
      </c>
      <c r="IG2" t="s">
        <v>109</v>
      </c>
      <c r="IH2" t="s">
        <v>110</v>
      </c>
      <c r="II2" t="s">
        <v>111</v>
      </c>
      <c r="IJ2" t="s">
        <v>112</v>
      </c>
      <c r="IK2" t="s">
        <v>113</v>
      </c>
      <c r="IL2" t="s">
        <v>114</v>
      </c>
      <c r="IM2" t="s">
        <v>115</v>
      </c>
      <c r="IN2" t="s">
        <v>116</v>
      </c>
      <c r="IO2" t="s">
        <v>117</v>
      </c>
      <c r="IP2" t="s">
        <v>118</v>
      </c>
      <c r="IQ2" t="s">
        <v>119</v>
      </c>
      <c r="IR2" t="s">
        <v>120</v>
      </c>
      <c r="IS2" t="s">
        <v>121</v>
      </c>
      <c r="IT2" t="s">
        <v>122</v>
      </c>
      <c r="IU2" t="s">
        <v>123</v>
      </c>
      <c r="IV2" t="s">
        <v>124</v>
      </c>
      <c r="IW2" t="s">
        <v>125</v>
      </c>
      <c r="IX2" t="s">
        <v>126</v>
      </c>
      <c r="IY2" t="s">
        <v>127</v>
      </c>
      <c r="IZ2" t="s">
        <v>128</v>
      </c>
      <c r="JA2" t="s">
        <v>129</v>
      </c>
      <c r="JB2" t="s">
        <v>130</v>
      </c>
      <c r="JC2" t="s">
        <v>131</v>
      </c>
      <c r="JD2" t="s">
        <v>132</v>
      </c>
      <c r="JE2" t="s">
        <v>133</v>
      </c>
      <c r="JF2" t="s">
        <v>134</v>
      </c>
      <c r="JG2" t="s">
        <v>135</v>
      </c>
      <c r="JH2" t="s">
        <v>136</v>
      </c>
      <c r="JI2" t="s">
        <v>137</v>
      </c>
      <c r="JJ2" t="s">
        <v>138</v>
      </c>
      <c r="JK2" t="s">
        <v>139</v>
      </c>
      <c r="JL2" t="s">
        <v>140</v>
      </c>
      <c r="JM2" t="s">
        <v>141</v>
      </c>
      <c r="JN2" t="s">
        <v>142</v>
      </c>
      <c r="JO2" t="s">
        <v>143</v>
      </c>
      <c r="JP2" t="s">
        <v>144</v>
      </c>
      <c r="JQ2" t="s">
        <v>145</v>
      </c>
      <c r="JR2" t="s">
        <v>146</v>
      </c>
      <c r="JS2" t="s">
        <v>147</v>
      </c>
      <c r="JT2" t="s">
        <v>148</v>
      </c>
      <c r="JU2" t="s">
        <v>149</v>
      </c>
      <c r="JV2" t="s">
        <v>150</v>
      </c>
      <c r="JW2" t="s">
        <v>151</v>
      </c>
      <c r="JX2" t="s">
        <v>152</v>
      </c>
      <c r="JY2" t="s">
        <v>153</v>
      </c>
      <c r="JZ2" t="s">
        <v>154</v>
      </c>
      <c r="KA2" t="s">
        <v>155</v>
      </c>
      <c r="KB2" t="s">
        <v>156</v>
      </c>
      <c r="KC2" t="s">
        <v>157</v>
      </c>
      <c r="KD2" t="s">
        <v>158</v>
      </c>
      <c r="KE2" t="s">
        <v>159</v>
      </c>
      <c r="KF2" t="s">
        <v>160</v>
      </c>
      <c r="KG2" t="s">
        <v>161</v>
      </c>
      <c r="KH2" t="s">
        <v>162</v>
      </c>
      <c r="KI2" t="s">
        <v>163</v>
      </c>
      <c r="KJ2" t="s">
        <v>164</v>
      </c>
      <c r="KK2" t="s">
        <v>165</v>
      </c>
      <c r="KL2" t="s">
        <v>166</v>
      </c>
      <c r="KM2" t="s">
        <v>167</v>
      </c>
      <c r="KN2" t="s">
        <v>168</v>
      </c>
      <c r="KO2" t="s">
        <v>169</v>
      </c>
      <c r="KP2" t="s">
        <v>170</v>
      </c>
      <c r="KQ2" t="s">
        <v>171</v>
      </c>
      <c r="KR2" t="s">
        <v>172</v>
      </c>
      <c r="KS2" t="s">
        <v>173</v>
      </c>
      <c r="KT2" t="s">
        <v>174</v>
      </c>
      <c r="KU2" t="s">
        <v>175</v>
      </c>
      <c r="KV2" t="s">
        <v>176</v>
      </c>
      <c r="KW2" t="s">
        <v>177</v>
      </c>
      <c r="KX2" t="s">
        <v>178</v>
      </c>
      <c r="KY2" t="s">
        <v>179</v>
      </c>
      <c r="KZ2" t="s">
        <v>180</v>
      </c>
      <c r="LA2" t="s">
        <v>181</v>
      </c>
      <c r="LB2" t="s">
        <v>182</v>
      </c>
      <c r="LC2" t="s">
        <v>183</v>
      </c>
      <c r="LD2" t="s">
        <v>184</v>
      </c>
      <c r="LE2" t="s">
        <v>185</v>
      </c>
      <c r="LF2" t="s">
        <v>186</v>
      </c>
      <c r="LG2" t="s">
        <v>187</v>
      </c>
      <c r="LH2" t="s">
        <v>188</v>
      </c>
      <c r="LI2" t="s">
        <v>189</v>
      </c>
      <c r="LJ2" t="s">
        <v>190</v>
      </c>
      <c r="LK2" t="s">
        <v>191</v>
      </c>
      <c r="LL2" t="s">
        <v>192</v>
      </c>
      <c r="LM2" t="s">
        <v>193</v>
      </c>
      <c r="LN2" t="s">
        <v>194</v>
      </c>
      <c r="LO2" t="s">
        <v>195</v>
      </c>
      <c r="LP2" t="s">
        <v>196</v>
      </c>
      <c r="LQ2" t="s">
        <v>197</v>
      </c>
      <c r="LR2" t="s">
        <v>198</v>
      </c>
      <c r="LS2" t="s">
        <v>199</v>
      </c>
      <c r="LT2" t="s">
        <v>200</v>
      </c>
      <c r="LU2" t="s">
        <v>201</v>
      </c>
      <c r="LV2" t="s">
        <v>202</v>
      </c>
      <c r="LW2" t="s">
        <v>203</v>
      </c>
      <c r="LX2" t="s">
        <v>204</v>
      </c>
      <c r="LY2" t="s">
        <v>205</v>
      </c>
      <c r="LZ2" t="s">
        <v>206</v>
      </c>
      <c r="MA2" t="s">
        <v>207</v>
      </c>
      <c r="MB2" t="s">
        <v>208</v>
      </c>
      <c r="MC2" t="s">
        <v>209</v>
      </c>
      <c r="MD2" t="s">
        <v>150</v>
      </c>
      <c r="ME2" t="s">
        <v>151</v>
      </c>
      <c r="MF2" t="s">
        <v>152</v>
      </c>
      <c r="MG2" t="s">
        <v>153</v>
      </c>
      <c r="MH2" t="s">
        <v>154</v>
      </c>
      <c r="MI2" t="s">
        <v>155</v>
      </c>
      <c r="MJ2" t="s">
        <v>156</v>
      </c>
      <c r="MK2" t="s">
        <v>157</v>
      </c>
      <c r="ML2" t="s">
        <v>158</v>
      </c>
      <c r="MM2" t="s">
        <v>159</v>
      </c>
      <c r="MN2" t="s">
        <v>160</v>
      </c>
      <c r="MO2" t="s">
        <v>161</v>
      </c>
      <c r="MP2" t="s">
        <v>162</v>
      </c>
      <c r="MQ2" t="s">
        <v>163</v>
      </c>
      <c r="MR2" t="s">
        <v>164</v>
      </c>
      <c r="MS2" t="s">
        <v>165</v>
      </c>
      <c r="MT2" t="s">
        <v>166</v>
      </c>
      <c r="MU2" t="s">
        <v>167</v>
      </c>
      <c r="MV2" t="s">
        <v>168</v>
      </c>
      <c r="MW2" t="s">
        <v>169</v>
      </c>
      <c r="MX2" t="s">
        <v>170</v>
      </c>
      <c r="MY2" t="s">
        <v>171</v>
      </c>
      <c r="MZ2" t="s">
        <v>172</v>
      </c>
      <c r="NA2" t="s">
        <v>173</v>
      </c>
      <c r="NB2" t="s">
        <v>174</v>
      </c>
      <c r="NC2" t="s">
        <v>175</v>
      </c>
      <c r="ND2" t="s">
        <v>176</v>
      </c>
      <c r="NE2" t="s">
        <v>177</v>
      </c>
      <c r="NF2" t="s">
        <v>178</v>
      </c>
      <c r="NG2" t="s">
        <v>179</v>
      </c>
      <c r="NH2" t="s">
        <v>180</v>
      </c>
      <c r="NI2" t="s">
        <v>181</v>
      </c>
      <c r="NJ2" t="s">
        <v>182</v>
      </c>
      <c r="NK2" t="s">
        <v>183</v>
      </c>
      <c r="NL2" t="s">
        <v>184</v>
      </c>
      <c r="NM2" t="s">
        <v>185</v>
      </c>
      <c r="NN2" t="s">
        <v>186</v>
      </c>
      <c r="NO2" t="s">
        <v>187</v>
      </c>
      <c r="NP2" t="s">
        <v>188</v>
      </c>
      <c r="NQ2" t="s">
        <v>189</v>
      </c>
      <c r="NR2" t="s">
        <v>190</v>
      </c>
      <c r="NS2" t="s">
        <v>191</v>
      </c>
      <c r="NT2" t="s">
        <v>192</v>
      </c>
      <c r="NU2" t="s">
        <v>193</v>
      </c>
      <c r="NV2" t="s">
        <v>194</v>
      </c>
      <c r="NW2" t="s">
        <v>195</v>
      </c>
      <c r="NX2" t="s">
        <v>196</v>
      </c>
      <c r="NY2" t="s">
        <v>197</v>
      </c>
      <c r="NZ2" t="s">
        <v>198</v>
      </c>
      <c r="OA2" t="s">
        <v>199</v>
      </c>
      <c r="OB2" t="s">
        <v>200</v>
      </c>
      <c r="OC2" t="s">
        <v>201</v>
      </c>
      <c r="OD2" t="s">
        <v>202</v>
      </c>
      <c r="OE2" t="s">
        <v>203</v>
      </c>
      <c r="OF2" t="s">
        <v>204</v>
      </c>
      <c r="OG2" t="s">
        <v>205</v>
      </c>
      <c r="OH2" t="s">
        <v>206</v>
      </c>
      <c r="OI2" t="s">
        <v>207</v>
      </c>
      <c r="OJ2" t="s">
        <v>208</v>
      </c>
      <c r="OK2" t="s">
        <v>209</v>
      </c>
      <c r="OL2" t="s">
        <v>210</v>
      </c>
      <c r="OM2" t="s">
        <v>211</v>
      </c>
      <c r="ON2" t="s">
        <v>212</v>
      </c>
      <c r="OO2" t="s">
        <v>213</v>
      </c>
      <c r="OP2" t="s">
        <v>214</v>
      </c>
      <c r="OQ2" t="s">
        <v>215</v>
      </c>
      <c r="OR2" t="s">
        <v>216</v>
      </c>
      <c r="OS2" t="s">
        <v>217</v>
      </c>
      <c r="OT2" t="s">
        <v>218</v>
      </c>
      <c r="OU2" t="s">
        <v>219</v>
      </c>
      <c r="OV2" t="s">
        <v>220</v>
      </c>
      <c r="OW2" t="s">
        <v>221</v>
      </c>
      <c r="OX2" t="s">
        <v>222</v>
      </c>
      <c r="OY2" t="s">
        <v>223</v>
      </c>
      <c r="OZ2" t="s">
        <v>224</v>
      </c>
      <c r="PA2" t="s">
        <v>225</v>
      </c>
      <c r="PB2" t="s">
        <v>226</v>
      </c>
      <c r="PC2" t="s">
        <v>227</v>
      </c>
      <c r="PD2" t="s">
        <v>210</v>
      </c>
      <c r="PE2" t="s">
        <v>211</v>
      </c>
      <c r="PF2" t="s">
        <v>212</v>
      </c>
      <c r="PG2" t="s">
        <v>213</v>
      </c>
      <c r="PH2" t="s">
        <v>214</v>
      </c>
      <c r="PI2" t="s">
        <v>215</v>
      </c>
      <c r="PJ2" t="s">
        <v>216</v>
      </c>
      <c r="PK2" t="s">
        <v>217</v>
      </c>
      <c r="PL2" t="s">
        <v>218</v>
      </c>
      <c r="PM2" t="s">
        <v>219</v>
      </c>
      <c r="PN2" t="s">
        <v>220</v>
      </c>
      <c r="PO2" t="s">
        <v>221</v>
      </c>
      <c r="PP2" t="s">
        <v>222</v>
      </c>
      <c r="PQ2" t="s">
        <v>223</v>
      </c>
      <c r="PR2" t="s">
        <v>224</v>
      </c>
      <c r="PS2" t="s">
        <v>225</v>
      </c>
      <c r="PT2" t="s">
        <v>226</v>
      </c>
      <c r="PU2" t="s">
        <v>227</v>
      </c>
      <c r="PV2" t="s">
        <v>223</v>
      </c>
      <c r="PW2" t="s">
        <v>224</v>
      </c>
      <c r="PX2" t="s">
        <v>225</v>
      </c>
      <c r="PY2" t="s">
        <v>226</v>
      </c>
      <c r="PZ2" t="s">
        <v>227</v>
      </c>
      <c r="QA2" t="s">
        <v>223</v>
      </c>
      <c r="QB2" t="s">
        <v>224</v>
      </c>
      <c r="QC2" t="s">
        <v>225</v>
      </c>
      <c r="QD2" t="s">
        <v>226</v>
      </c>
      <c r="QE2" t="s">
        <v>227</v>
      </c>
      <c r="QF2" t="s">
        <v>228</v>
      </c>
      <c r="QG2" t="s">
        <v>229</v>
      </c>
      <c r="QH2" t="s">
        <v>230</v>
      </c>
      <c r="QI2" t="s">
        <v>231</v>
      </c>
      <c r="QJ2" t="s">
        <v>228</v>
      </c>
      <c r="QK2" t="s">
        <v>229</v>
      </c>
      <c r="QL2" t="s">
        <v>230</v>
      </c>
      <c r="QM2" t="s">
        <v>231</v>
      </c>
      <c r="QN2" t="s">
        <v>232</v>
      </c>
      <c r="QO2" t="s">
        <v>233</v>
      </c>
      <c r="QP2" t="s">
        <v>234</v>
      </c>
      <c r="QQ2" t="s">
        <v>235</v>
      </c>
      <c r="QR2" t="s">
        <v>232</v>
      </c>
      <c r="QS2" t="s">
        <v>233</v>
      </c>
      <c r="QT2" t="s">
        <v>234</v>
      </c>
      <c r="QU2" t="s">
        <v>235</v>
      </c>
    </row>
    <row r="3" spans="1:463" x14ac:dyDescent="0.2">
      <c r="A3" t="s">
        <v>0</v>
      </c>
      <c r="B3" t="s">
        <v>236</v>
      </c>
      <c r="C3" t="s">
        <v>236</v>
      </c>
      <c r="D3" t="s">
        <v>237</v>
      </c>
      <c r="E3" t="s">
        <v>238</v>
      </c>
      <c r="F3" t="s">
        <v>238</v>
      </c>
      <c r="G3" t="s">
        <v>239</v>
      </c>
      <c r="H3" t="s">
        <v>239</v>
      </c>
      <c r="I3" t="s">
        <v>239</v>
      </c>
      <c r="J3" t="s">
        <v>237</v>
      </c>
      <c r="K3" t="s">
        <v>237</v>
      </c>
      <c r="L3" t="s">
        <v>237</v>
      </c>
      <c r="M3" t="s">
        <v>237</v>
      </c>
      <c r="N3" t="s">
        <v>237</v>
      </c>
      <c r="O3" t="s">
        <v>237</v>
      </c>
      <c r="P3" t="s">
        <v>237</v>
      </c>
      <c r="Q3" t="s">
        <v>237</v>
      </c>
      <c r="R3" t="s">
        <v>240</v>
      </c>
      <c r="S3" t="s">
        <v>240</v>
      </c>
      <c r="T3" t="s">
        <v>240</v>
      </c>
      <c r="U3" t="s">
        <v>240</v>
      </c>
      <c r="V3" t="s">
        <v>240</v>
      </c>
      <c r="W3" t="s">
        <v>240</v>
      </c>
      <c r="X3" t="s">
        <v>240</v>
      </c>
      <c r="Y3" t="s">
        <v>240</v>
      </c>
      <c r="Z3" t="s">
        <v>240</v>
      </c>
      <c r="AA3" t="s">
        <v>240</v>
      </c>
      <c r="AB3" t="s">
        <v>240</v>
      </c>
      <c r="AC3" t="s">
        <v>240</v>
      </c>
      <c r="AD3" t="s">
        <v>240</v>
      </c>
      <c r="AE3" t="s">
        <v>240</v>
      </c>
      <c r="AF3" t="s">
        <v>240</v>
      </c>
      <c r="AG3" t="s">
        <v>240</v>
      </c>
      <c r="AH3" t="s">
        <v>240</v>
      </c>
      <c r="AI3" t="s">
        <v>240</v>
      </c>
      <c r="AJ3" t="s">
        <v>240</v>
      </c>
      <c r="AK3" t="s">
        <v>240</v>
      </c>
      <c r="AL3" t="s">
        <v>240</v>
      </c>
      <c r="AM3" t="s">
        <v>240</v>
      </c>
      <c r="AN3" t="s">
        <v>240</v>
      </c>
      <c r="AO3" t="s">
        <v>240</v>
      </c>
      <c r="AP3" t="s">
        <v>240</v>
      </c>
      <c r="AQ3" t="s">
        <v>240</v>
      </c>
      <c r="AR3" t="s">
        <v>240</v>
      </c>
      <c r="AS3" t="s">
        <v>240</v>
      </c>
      <c r="AT3" t="s">
        <v>241</v>
      </c>
      <c r="AU3" t="s">
        <v>241</v>
      </c>
      <c r="AV3" t="s">
        <v>241</v>
      </c>
      <c r="AW3" t="s">
        <v>241</v>
      </c>
      <c r="AX3" t="s">
        <v>241</v>
      </c>
      <c r="AY3" t="s">
        <v>241</v>
      </c>
      <c r="AZ3" t="s">
        <v>241</v>
      </c>
      <c r="BA3" t="s">
        <v>241</v>
      </c>
      <c r="BB3" t="s">
        <v>242</v>
      </c>
      <c r="BC3" t="s">
        <v>242</v>
      </c>
      <c r="BD3" t="s">
        <v>242</v>
      </c>
      <c r="BE3" t="s">
        <v>242</v>
      </c>
      <c r="BF3" t="s">
        <v>236</v>
      </c>
      <c r="BG3" t="s">
        <v>236</v>
      </c>
      <c r="BH3" t="s">
        <v>236</v>
      </c>
      <c r="BI3" t="s">
        <v>236</v>
      </c>
      <c r="BJ3" t="s">
        <v>239</v>
      </c>
      <c r="BK3" t="s">
        <v>239</v>
      </c>
      <c r="BL3" t="s">
        <v>239</v>
      </c>
      <c r="BM3" t="s">
        <v>239</v>
      </c>
      <c r="BN3" t="s">
        <v>240</v>
      </c>
      <c r="BO3" t="s">
        <v>240</v>
      </c>
      <c r="BP3" t="s">
        <v>240</v>
      </c>
      <c r="BQ3" t="s">
        <v>240</v>
      </c>
      <c r="BR3" t="s">
        <v>243</v>
      </c>
      <c r="BS3" t="s">
        <v>243</v>
      </c>
      <c r="BT3" t="s">
        <v>243</v>
      </c>
      <c r="BU3" t="s">
        <v>243</v>
      </c>
      <c r="BV3" t="s">
        <v>240</v>
      </c>
      <c r="BW3" t="s">
        <v>240</v>
      </c>
      <c r="BX3" t="s">
        <v>240</v>
      </c>
      <c r="BY3" t="s">
        <v>240</v>
      </c>
      <c r="BZ3" t="s">
        <v>240</v>
      </c>
      <c r="CA3" t="s">
        <v>240</v>
      </c>
      <c r="CB3" t="s">
        <v>240</v>
      </c>
      <c r="CC3" t="s">
        <v>240</v>
      </c>
      <c r="CD3" t="s">
        <v>240</v>
      </c>
      <c r="CE3" t="s">
        <v>240</v>
      </c>
      <c r="CF3" t="s">
        <v>240</v>
      </c>
      <c r="CG3" t="s">
        <v>240</v>
      </c>
      <c r="CH3" t="s">
        <v>240</v>
      </c>
      <c r="CI3" t="s">
        <v>240</v>
      </c>
      <c r="CJ3" t="s">
        <v>240</v>
      </c>
      <c r="CK3" t="s">
        <v>240</v>
      </c>
      <c r="CL3" t="s">
        <v>240</v>
      </c>
      <c r="CM3" t="s">
        <v>240</v>
      </c>
      <c r="CN3" t="s">
        <v>240</v>
      </c>
      <c r="CO3" t="s">
        <v>240</v>
      </c>
      <c r="CP3" t="s">
        <v>240</v>
      </c>
      <c r="CQ3" t="s">
        <v>240</v>
      </c>
      <c r="CR3" t="s">
        <v>240</v>
      </c>
      <c r="CS3" t="s">
        <v>240</v>
      </c>
      <c r="CT3" t="s">
        <v>240</v>
      </c>
      <c r="CU3" t="s">
        <v>240</v>
      </c>
      <c r="CV3" t="s">
        <v>240</v>
      </c>
      <c r="CW3" t="s">
        <v>240</v>
      </c>
      <c r="CX3" t="s">
        <v>241</v>
      </c>
      <c r="CY3" t="s">
        <v>241</v>
      </c>
      <c r="CZ3" t="s">
        <v>241</v>
      </c>
      <c r="DA3" t="s">
        <v>241</v>
      </c>
      <c r="DB3" t="s">
        <v>241</v>
      </c>
      <c r="DC3" t="s">
        <v>241</v>
      </c>
      <c r="DD3" t="s">
        <v>241</v>
      </c>
      <c r="DE3" t="s">
        <v>241</v>
      </c>
      <c r="DF3" t="s">
        <v>242</v>
      </c>
      <c r="DG3" t="s">
        <v>242</v>
      </c>
      <c r="DH3" t="s">
        <v>242</v>
      </c>
      <c r="DI3" t="s">
        <v>242</v>
      </c>
      <c r="DJ3" t="s">
        <v>236</v>
      </c>
      <c r="DK3" t="s">
        <v>236</v>
      </c>
      <c r="DL3" t="s">
        <v>236</v>
      </c>
      <c r="DM3" t="s">
        <v>236</v>
      </c>
      <c r="DN3" t="s">
        <v>239</v>
      </c>
      <c r="DO3" t="s">
        <v>239</v>
      </c>
      <c r="DP3" t="s">
        <v>239</v>
      </c>
      <c r="DQ3" t="s">
        <v>239</v>
      </c>
      <c r="DR3" t="s">
        <v>240</v>
      </c>
      <c r="DS3" t="s">
        <v>240</v>
      </c>
      <c r="DT3" t="s">
        <v>240</v>
      </c>
      <c r="DU3" t="s">
        <v>240</v>
      </c>
      <c r="DV3" t="s">
        <v>243</v>
      </c>
      <c r="DW3" t="s">
        <v>243</v>
      </c>
      <c r="DX3" t="s">
        <v>243</v>
      </c>
      <c r="DY3" t="s">
        <v>243</v>
      </c>
      <c r="DZ3" t="s">
        <v>240</v>
      </c>
      <c r="EA3" t="s">
        <v>240</v>
      </c>
      <c r="EB3" t="s">
        <v>240</v>
      </c>
      <c r="EC3" t="s">
        <v>240</v>
      </c>
      <c r="ED3" t="s">
        <v>240</v>
      </c>
      <c r="EE3" t="s">
        <v>240</v>
      </c>
      <c r="EF3" t="s">
        <v>240</v>
      </c>
      <c r="EG3" t="s">
        <v>240</v>
      </c>
      <c r="EH3" t="s">
        <v>240</v>
      </c>
      <c r="EI3" t="s">
        <v>240</v>
      </c>
      <c r="EJ3" t="s">
        <v>240</v>
      </c>
      <c r="EK3" t="s">
        <v>240</v>
      </c>
      <c r="EL3" t="s">
        <v>240</v>
      </c>
      <c r="EM3" t="s">
        <v>240</v>
      </c>
      <c r="EN3" t="s">
        <v>240</v>
      </c>
      <c r="EO3" t="s">
        <v>240</v>
      </c>
      <c r="EP3" t="s">
        <v>240</v>
      </c>
      <c r="EQ3" t="s">
        <v>240</v>
      </c>
      <c r="ER3" t="s">
        <v>240</v>
      </c>
      <c r="ES3" t="s">
        <v>240</v>
      </c>
      <c r="ET3" t="s">
        <v>240</v>
      </c>
      <c r="EU3" t="s">
        <v>240</v>
      </c>
      <c r="EV3" t="s">
        <v>240</v>
      </c>
      <c r="EW3" t="s">
        <v>240</v>
      </c>
      <c r="EX3" t="s">
        <v>240</v>
      </c>
      <c r="EY3" t="s">
        <v>240</v>
      </c>
      <c r="EZ3" t="s">
        <v>240</v>
      </c>
      <c r="FA3" t="s">
        <v>240</v>
      </c>
      <c r="FB3" t="s">
        <v>241</v>
      </c>
      <c r="FC3" t="s">
        <v>241</v>
      </c>
      <c r="FD3" t="s">
        <v>241</v>
      </c>
      <c r="FE3" t="s">
        <v>241</v>
      </c>
      <c r="FF3" t="s">
        <v>241</v>
      </c>
      <c r="FG3" t="s">
        <v>241</v>
      </c>
      <c r="FH3" t="s">
        <v>241</v>
      </c>
      <c r="FI3" t="s">
        <v>241</v>
      </c>
      <c r="FJ3" t="s">
        <v>240</v>
      </c>
      <c r="FK3" t="s">
        <v>240</v>
      </c>
      <c r="FL3" t="s">
        <v>240</v>
      </c>
      <c r="FM3" t="s">
        <v>240</v>
      </c>
      <c r="FN3" t="s">
        <v>240</v>
      </c>
      <c r="FO3" t="s">
        <v>240</v>
      </c>
      <c r="FP3" t="s">
        <v>240</v>
      </c>
      <c r="FQ3" t="s">
        <v>240</v>
      </c>
      <c r="FR3" t="s">
        <v>240</v>
      </c>
      <c r="FS3" t="s">
        <v>240</v>
      </c>
      <c r="FT3" t="s">
        <v>240</v>
      </c>
      <c r="FU3" t="s">
        <v>240</v>
      </c>
      <c r="FV3" t="s">
        <v>240</v>
      </c>
      <c r="FW3" t="s">
        <v>240</v>
      </c>
      <c r="FX3" t="s">
        <v>240</v>
      </c>
      <c r="FY3" t="s">
        <v>240</v>
      </c>
      <c r="FZ3" t="s">
        <v>242</v>
      </c>
      <c r="GA3" t="s">
        <v>242</v>
      </c>
      <c r="GB3" t="s">
        <v>242</v>
      </c>
      <c r="GC3" t="s">
        <v>242</v>
      </c>
      <c r="GD3" t="s">
        <v>236</v>
      </c>
      <c r="GE3" t="s">
        <v>236</v>
      </c>
      <c r="GF3" t="s">
        <v>236</v>
      </c>
      <c r="GG3" t="s">
        <v>236</v>
      </c>
      <c r="GH3" t="s">
        <v>239</v>
      </c>
      <c r="GI3" t="s">
        <v>239</v>
      </c>
      <c r="GJ3" t="s">
        <v>239</v>
      </c>
      <c r="GK3" t="s">
        <v>239</v>
      </c>
      <c r="GL3" t="s">
        <v>240</v>
      </c>
      <c r="GM3" t="s">
        <v>240</v>
      </c>
      <c r="GN3" t="s">
        <v>240</v>
      </c>
      <c r="GO3" t="s">
        <v>240</v>
      </c>
      <c r="GP3" t="s">
        <v>239</v>
      </c>
      <c r="GQ3" t="s">
        <v>239</v>
      </c>
      <c r="GR3" t="s">
        <v>239</v>
      </c>
      <c r="GS3" t="s">
        <v>239</v>
      </c>
      <c r="GT3" t="s">
        <v>243</v>
      </c>
      <c r="GU3" t="s">
        <v>243</v>
      </c>
      <c r="GV3" t="s">
        <v>243</v>
      </c>
      <c r="GW3" t="s">
        <v>243</v>
      </c>
      <c r="GX3" t="s">
        <v>240</v>
      </c>
      <c r="GY3" t="s">
        <v>240</v>
      </c>
      <c r="GZ3" t="s">
        <v>240</v>
      </c>
      <c r="HA3" t="s">
        <v>240</v>
      </c>
      <c r="HB3" t="s">
        <v>240</v>
      </c>
      <c r="HC3" t="s">
        <v>240</v>
      </c>
      <c r="HD3" t="s">
        <v>240</v>
      </c>
      <c r="HE3" t="s">
        <v>240</v>
      </c>
      <c r="HF3" t="s">
        <v>240</v>
      </c>
      <c r="HG3" t="s">
        <v>240</v>
      </c>
      <c r="HH3" t="s">
        <v>240</v>
      </c>
      <c r="HI3" t="s">
        <v>240</v>
      </c>
      <c r="HJ3" t="s">
        <v>240</v>
      </c>
      <c r="HK3" t="s">
        <v>240</v>
      </c>
      <c r="HL3" t="s">
        <v>240</v>
      </c>
      <c r="HM3" t="s">
        <v>240</v>
      </c>
      <c r="HN3" t="s">
        <v>240</v>
      </c>
      <c r="HO3" t="s">
        <v>240</v>
      </c>
      <c r="HP3" t="s">
        <v>240</v>
      </c>
      <c r="HQ3" t="s">
        <v>240</v>
      </c>
      <c r="HR3" t="s">
        <v>240</v>
      </c>
      <c r="HS3" t="s">
        <v>240</v>
      </c>
      <c r="HT3" t="s">
        <v>240</v>
      </c>
      <c r="HU3" t="s">
        <v>240</v>
      </c>
      <c r="HV3" t="s">
        <v>240</v>
      </c>
      <c r="HW3" t="s">
        <v>240</v>
      </c>
      <c r="HX3" t="s">
        <v>240</v>
      </c>
      <c r="HY3" t="s">
        <v>240</v>
      </c>
      <c r="HZ3" t="s">
        <v>241</v>
      </c>
      <c r="IA3" t="s">
        <v>241</v>
      </c>
      <c r="IB3" t="s">
        <v>241</v>
      </c>
      <c r="IC3" t="s">
        <v>241</v>
      </c>
      <c r="ID3" t="s">
        <v>241</v>
      </c>
      <c r="IE3" t="s">
        <v>241</v>
      </c>
      <c r="IF3" t="s">
        <v>241</v>
      </c>
      <c r="IG3" t="s">
        <v>241</v>
      </c>
      <c r="IH3" t="s">
        <v>240</v>
      </c>
      <c r="II3" t="s">
        <v>240</v>
      </c>
      <c r="IJ3" t="s">
        <v>240</v>
      </c>
      <c r="IK3" t="s">
        <v>240</v>
      </c>
      <c r="IL3" t="s">
        <v>240</v>
      </c>
      <c r="IM3" t="s">
        <v>240</v>
      </c>
      <c r="IN3" t="s">
        <v>240</v>
      </c>
      <c r="IO3" t="s">
        <v>240</v>
      </c>
      <c r="IP3" t="s">
        <v>240</v>
      </c>
      <c r="IQ3" t="s">
        <v>240</v>
      </c>
      <c r="IR3" t="s">
        <v>240</v>
      </c>
      <c r="IS3" t="s">
        <v>240</v>
      </c>
      <c r="IT3" t="s">
        <v>240</v>
      </c>
      <c r="IU3" t="s">
        <v>240</v>
      </c>
      <c r="IV3" t="s">
        <v>240</v>
      </c>
      <c r="IW3" t="s">
        <v>240</v>
      </c>
      <c r="IX3" t="s">
        <v>242</v>
      </c>
      <c r="IY3" t="s">
        <v>242</v>
      </c>
      <c r="IZ3" t="s">
        <v>242</v>
      </c>
      <c r="JA3" t="s">
        <v>242</v>
      </c>
      <c r="JB3" t="s">
        <v>236</v>
      </c>
      <c r="JC3" t="s">
        <v>236</v>
      </c>
      <c r="JD3" t="s">
        <v>236</v>
      </c>
      <c r="JE3" t="s">
        <v>236</v>
      </c>
      <c r="JF3" t="s">
        <v>239</v>
      </c>
      <c r="JG3" t="s">
        <v>239</v>
      </c>
      <c r="JH3" t="s">
        <v>239</v>
      </c>
      <c r="JI3" t="s">
        <v>239</v>
      </c>
      <c r="JJ3" t="s">
        <v>240</v>
      </c>
      <c r="JK3" t="s">
        <v>240</v>
      </c>
      <c r="JL3" t="s">
        <v>240</v>
      </c>
      <c r="JM3" t="s">
        <v>240</v>
      </c>
      <c r="JN3" t="s">
        <v>239</v>
      </c>
      <c r="JO3" t="s">
        <v>239</v>
      </c>
      <c r="JP3" t="s">
        <v>239</v>
      </c>
      <c r="JQ3" t="s">
        <v>239</v>
      </c>
      <c r="JR3" t="s">
        <v>243</v>
      </c>
      <c r="JS3" t="s">
        <v>243</v>
      </c>
      <c r="JT3" t="s">
        <v>243</v>
      </c>
      <c r="JU3" t="s">
        <v>243</v>
      </c>
      <c r="JV3" t="s">
        <v>240</v>
      </c>
      <c r="JW3" t="s">
        <v>240</v>
      </c>
      <c r="JX3" t="s">
        <v>240</v>
      </c>
      <c r="JY3" t="s">
        <v>240</v>
      </c>
      <c r="JZ3" t="s">
        <v>240</v>
      </c>
      <c r="KA3" t="s">
        <v>240</v>
      </c>
      <c r="KB3" t="s">
        <v>240</v>
      </c>
      <c r="KC3" t="s">
        <v>240</v>
      </c>
      <c r="KD3" t="s">
        <v>240</v>
      </c>
      <c r="KE3" t="s">
        <v>240</v>
      </c>
      <c r="KF3" t="s">
        <v>240</v>
      </c>
      <c r="KG3" t="s">
        <v>240</v>
      </c>
      <c r="KH3" t="s">
        <v>240</v>
      </c>
      <c r="KI3" t="s">
        <v>240</v>
      </c>
      <c r="KJ3" t="s">
        <v>240</v>
      </c>
      <c r="KK3" t="s">
        <v>240</v>
      </c>
      <c r="KL3" t="s">
        <v>240</v>
      </c>
      <c r="KM3" t="s">
        <v>240</v>
      </c>
      <c r="KN3" t="s">
        <v>240</v>
      </c>
      <c r="KO3" t="s">
        <v>240</v>
      </c>
      <c r="KP3" t="s">
        <v>240</v>
      </c>
      <c r="KQ3" t="s">
        <v>240</v>
      </c>
      <c r="KR3" t="s">
        <v>240</v>
      </c>
      <c r="KS3" t="s">
        <v>240</v>
      </c>
      <c r="KT3" t="s">
        <v>240</v>
      </c>
      <c r="KU3" t="s">
        <v>240</v>
      </c>
      <c r="KV3" t="s">
        <v>240</v>
      </c>
      <c r="KW3" t="s">
        <v>240</v>
      </c>
      <c r="KX3" t="s">
        <v>241</v>
      </c>
      <c r="KY3" t="s">
        <v>241</v>
      </c>
      <c r="KZ3" t="s">
        <v>241</v>
      </c>
      <c r="LA3" t="s">
        <v>241</v>
      </c>
      <c r="LB3" t="s">
        <v>241</v>
      </c>
      <c r="LC3" t="s">
        <v>241</v>
      </c>
      <c r="LD3" t="s">
        <v>241</v>
      </c>
      <c r="LE3" t="s">
        <v>241</v>
      </c>
      <c r="LF3" t="s">
        <v>242</v>
      </c>
      <c r="LG3" t="s">
        <v>242</v>
      </c>
      <c r="LH3" t="s">
        <v>242</v>
      </c>
      <c r="LI3" t="s">
        <v>242</v>
      </c>
      <c r="LJ3" t="s">
        <v>236</v>
      </c>
      <c r="LK3" t="s">
        <v>236</v>
      </c>
      <c r="LL3" t="s">
        <v>236</v>
      </c>
      <c r="LM3" t="s">
        <v>236</v>
      </c>
      <c r="LN3" t="s">
        <v>239</v>
      </c>
      <c r="LO3" t="s">
        <v>239</v>
      </c>
      <c r="LP3" t="s">
        <v>239</v>
      </c>
      <c r="LQ3" t="s">
        <v>239</v>
      </c>
      <c r="LR3" t="s">
        <v>240</v>
      </c>
      <c r="LS3" t="s">
        <v>240</v>
      </c>
      <c r="LT3" t="s">
        <v>240</v>
      </c>
      <c r="LU3" t="s">
        <v>240</v>
      </c>
      <c r="LV3" t="s">
        <v>239</v>
      </c>
      <c r="LW3" t="s">
        <v>239</v>
      </c>
      <c r="LX3" t="s">
        <v>239</v>
      </c>
      <c r="LY3" t="s">
        <v>239</v>
      </c>
      <c r="LZ3" t="s">
        <v>243</v>
      </c>
      <c r="MA3" t="s">
        <v>243</v>
      </c>
      <c r="MB3" t="s">
        <v>243</v>
      </c>
      <c r="MC3" t="s">
        <v>243</v>
      </c>
      <c r="MD3" t="s">
        <v>240</v>
      </c>
      <c r="ME3" t="s">
        <v>240</v>
      </c>
      <c r="MF3" t="s">
        <v>240</v>
      </c>
      <c r="MG3" t="s">
        <v>240</v>
      </c>
      <c r="MH3" t="s">
        <v>240</v>
      </c>
      <c r="MI3" t="s">
        <v>240</v>
      </c>
      <c r="MJ3" t="s">
        <v>240</v>
      </c>
      <c r="MK3" t="s">
        <v>240</v>
      </c>
      <c r="ML3" t="s">
        <v>240</v>
      </c>
      <c r="MM3" t="s">
        <v>240</v>
      </c>
      <c r="MN3" t="s">
        <v>240</v>
      </c>
      <c r="MO3" t="s">
        <v>240</v>
      </c>
      <c r="MP3" t="s">
        <v>240</v>
      </c>
      <c r="MQ3" t="s">
        <v>240</v>
      </c>
      <c r="MR3" t="s">
        <v>240</v>
      </c>
      <c r="MS3" t="s">
        <v>240</v>
      </c>
      <c r="MT3" t="s">
        <v>240</v>
      </c>
      <c r="MU3" t="s">
        <v>240</v>
      </c>
      <c r="MV3" t="s">
        <v>240</v>
      </c>
      <c r="MW3" t="s">
        <v>240</v>
      </c>
      <c r="MX3" t="s">
        <v>240</v>
      </c>
      <c r="MY3" t="s">
        <v>240</v>
      </c>
      <c r="MZ3" t="s">
        <v>240</v>
      </c>
      <c r="NA3" t="s">
        <v>240</v>
      </c>
      <c r="NB3" t="s">
        <v>240</v>
      </c>
      <c r="NC3" t="s">
        <v>240</v>
      </c>
      <c r="ND3" t="s">
        <v>240</v>
      </c>
      <c r="NE3" t="s">
        <v>240</v>
      </c>
      <c r="NF3" t="s">
        <v>241</v>
      </c>
      <c r="NG3" t="s">
        <v>241</v>
      </c>
      <c r="NH3" t="s">
        <v>241</v>
      </c>
      <c r="NI3" t="s">
        <v>241</v>
      </c>
      <c r="NJ3" t="s">
        <v>241</v>
      </c>
      <c r="NK3" t="s">
        <v>241</v>
      </c>
      <c r="NL3" t="s">
        <v>241</v>
      </c>
      <c r="NM3" t="s">
        <v>241</v>
      </c>
      <c r="NN3" t="s">
        <v>242</v>
      </c>
      <c r="NO3" t="s">
        <v>242</v>
      </c>
      <c r="NP3" t="s">
        <v>242</v>
      </c>
      <c r="NQ3" t="s">
        <v>242</v>
      </c>
      <c r="NR3" t="s">
        <v>236</v>
      </c>
      <c r="NS3" t="s">
        <v>236</v>
      </c>
      <c r="NT3" t="s">
        <v>236</v>
      </c>
      <c r="NU3" t="s">
        <v>236</v>
      </c>
      <c r="NV3" t="s">
        <v>239</v>
      </c>
      <c r="NW3" t="s">
        <v>239</v>
      </c>
      <c r="NX3" t="s">
        <v>239</v>
      </c>
      <c r="NY3" t="s">
        <v>239</v>
      </c>
      <c r="NZ3" t="s">
        <v>240</v>
      </c>
      <c r="OA3" t="s">
        <v>240</v>
      </c>
      <c r="OB3" t="s">
        <v>240</v>
      </c>
      <c r="OC3" t="s">
        <v>240</v>
      </c>
      <c r="OD3" t="s">
        <v>239</v>
      </c>
      <c r="OE3" t="s">
        <v>239</v>
      </c>
      <c r="OF3" t="s">
        <v>239</v>
      </c>
      <c r="OG3" t="s">
        <v>239</v>
      </c>
      <c r="OH3" t="s">
        <v>243</v>
      </c>
      <c r="OI3" t="s">
        <v>243</v>
      </c>
      <c r="OJ3" t="s">
        <v>243</v>
      </c>
      <c r="OK3" t="s">
        <v>243</v>
      </c>
      <c r="OL3" t="s">
        <v>240</v>
      </c>
      <c r="OM3" t="s">
        <v>241</v>
      </c>
      <c r="ON3" t="s">
        <v>241</v>
      </c>
      <c r="OO3" t="s">
        <v>240</v>
      </c>
      <c r="OP3" t="s">
        <v>240</v>
      </c>
      <c r="OQ3" t="s">
        <v>240</v>
      </c>
      <c r="OR3" t="s">
        <v>240</v>
      </c>
      <c r="OS3" t="s">
        <v>244</v>
      </c>
      <c r="OT3" t="s">
        <v>244</v>
      </c>
      <c r="OU3" t="s">
        <v>244</v>
      </c>
      <c r="OV3" t="s">
        <v>244</v>
      </c>
      <c r="OW3" t="s">
        <v>244</v>
      </c>
      <c r="OX3" t="s">
        <v>244</v>
      </c>
      <c r="OY3" t="s">
        <v>240</v>
      </c>
      <c r="OZ3" t="s">
        <v>240</v>
      </c>
      <c r="PA3" t="s">
        <v>240</v>
      </c>
      <c r="PB3" t="s">
        <v>239</v>
      </c>
      <c r="PC3" t="s">
        <v>239</v>
      </c>
      <c r="PD3" t="s">
        <v>240</v>
      </c>
      <c r="PE3" t="s">
        <v>241</v>
      </c>
      <c r="PF3" t="s">
        <v>241</v>
      </c>
      <c r="PG3" t="s">
        <v>240</v>
      </c>
      <c r="PH3" t="s">
        <v>240</v>
      </c>
      <c r="PI3" t="s">
        <v>240</v>
      </c>
      <c r="PJ3" t="s">
        <v>240</v>
      </c>
      <c r="PK3" t="s">
        <v>244</v>
      </c>
      <c r="PL3" t="s">
        <v>244</v>
      </c>
      <c r="PM3" t="s">
        <v>244</v>
      </c>
      <c r="PN3" t="s">
        <v>244</v>
      </c>
      <c r="PO3" t="s">
        <v>244</v>
      </c>
      <c r="PP3" t="s">
        <v>244</v>
      </c>
      <c r="PQ3" t="s">
        <v>240</v>
      </c>
      <c r="PR3" t="s">
        <v>240</v>
      </c>
      <c r="PS3" t="s">
        <v>240</v>
      </c>
      <c r="PT3" t="s">
        <v>239</v>
      </c>
      <c r="PU3" t="s">
        <v>239</v>
      </c>
      <c r="PV3" t="s">
        <v>240</v>
      </c>
      <c r="PW3" t="s">
        <v>240</v>
      </c>
      <c r="PX3" t="s">
        <v>240</v>
      </c>
      <c r="PY3" t="s">
        <v>239</v>
      </c>
      <c r="PZ3" t="s">
        <v>239</v>
      </c>
      <c r="QA3" t="s">
        <v>240</v>
      </c>
      <c r="QB3" t="s">
        <v>240</v>
      </c>
      <c r="QC3" t="s">
        <v>240</v>
      </c>
      <c r="QD3" t="s">
        <v>239</v>
      </c>
      <c r="QE3" t="s">
        <v>239</v>
      </c>
      <c r="QF3" t="s">
        <v>244</v>
      </c>
      <c r="QG3" t="s">
        <v>244</v>
      </c>
      <c r="QH3" t="s">
        <v>244</v>
      </c>
      <c r="QI3" t="s">
        <v>244</v>
      </c>
      <c r="QJ3" t="s">
        <v>244</v>
      </c>
      <c r="QK3" t="s">
        <v>244</v>
      </c>
      <c r="QL3" t="s">
        <v>244</v>
      </c>
      <c r="QM3" t="s">
        <v>244</v>
      </c>
      <c r="QN3" t="s">
        <v>239</v>
      </c>
      <c r="QO3" t="s">
        <v>236</v>
      </c>
      <c r="QP3" t="s">
        <v>236</v>
      </c>
      <c r="QQ3" t="s">
        <v>236</v>
      </c>
      <c r="QR3" t="s">
        <v>239</v>
      </c>
      <c r="QS3" t="s">
        <v>236</v>
      </c>
      <c r="QT3" t="s">
        <v>236</v>
      </c>
      <c r="QU3" t="s">
        <v>236</v>
      </c>
    </row>
    <row r="4" spans="1:463" x14ac:dyDescent="0.2">
      <c r="A4" t="s">
        <v>275</v>
      </c>
      <c r="B4" s="2">
        <v>1.1383322E-11</v>
      </c>
      <c r="C4" s="2">
        <v>8.5491157100000003E-12</v>
      </c>
      <c r="D4">
        <v>4.9975264450000001E-2</v>
      </c>
      <c r="E4">
        <v>9.6189338939999994E-2</v>
      </c>
      <c r="F4">
        <v>0.47766541350000002</v>
      </c>
      <c r="G4">
        <v>0.15351674260000001</v>
      </c>
      <c r="H4">
        <v>0.29547965679999999</v>
      </c>
      <c r="I4">
        <v>1.4673186650000001</v>
      </c>
      <c r="J4">
        <v>32.50364957</v>
      </c>
      <c r="K4">
        <v>32.553624839999998</v>
      </c>
      <c r="L4">
        <v>32.553624839999998</v>
      </c>
      <c r="M4">
        <v>32.553624839999998</v>
      </c>
      <c r="N4">
        <v>32.457435500000003</v>
      </c>
      <c r="O4">
        <v>32.553624839999998</v>
      </c>
      <c r="P4">
        <v>32.075959429999997</v>
      </c>
      <c r="Q4">
        <v>32.553624839999998</v>
      </c>
      <c r="R4">
        <v>4.0615356770000002</v>
      </c>
      <c r="S4">
        <v>0.57566693099999999</v>
      </c>
      <c r="T4">
        <v>2.8224020570000001</v>
      </c>
      <c r="U4">
        <v>5.9935109669999997</v>
      </c>
      <c r="V4">
        <v>5.1039729119999997</v>
      </c>
      <c r="W4">
        <v>0.9857740518</v>
      </c>
      <c r="X4">
        <v>2.728080759</v>
      </c>
      <c r="Y4">
        <v>7.5538371599999996</v>
      </c>
      <c r="Z4">
        <v>9.1655085889999999</v>
      </c>
      <c r="AA4">
        <v>1.1906637499999999</v>
      </c>
      <c r="AB4">
        <v>6.0080390000000001</v>
      </c>
      <c r="AC4">
        <v>11.467015999999999</v>
      </c>
      <c r="AD4">
        <v>2.6242575000000001</v>
      </c>
      <c r="AE4">
        <v>0.5169063666</v>
      </c>
      <c r="AF4">
        <v>1.57561105</v>
      </c>
      <c r="AG4">
        <v>4.4860106670000004</v>
      </c>
      <c r="AH4">
        <v>9.1655085889999999</v>
      </c>
      <c r="AI4">
        <v>1.1906637499999999</v>
      </c>
      <c r="AJ4">
        <v>6.0080390000000001</v>
      </c>
      <c r="AK4">
        <v>11.467015999999999</v>
      </c>
      <c r="AL4">
        <v>1.48158203</v>
      </c>
      <c r="AM4">
        <v>0.26889386780000002</v>
      </c>
      <c r="AN4">
        <v>0.92384830179999999</v>
      </c>
      <c r="AO4">
        <v>2.2457330610000001</v>
      </c>
      <c r="AP4">
        <v>1.8218759410000001</v>
      </c>
      <c r="AQ4">
        <v>0.30685548289999998</v>
      </c>
      <c r="AR4">
        <v>1.1482682420000001</v>
      </c>
      <c r="AS4">
        <v>2.7026788540000002</v>
      </c>
      <c r="AT4">
        <v>-0.21600118539999999</v>
      </c>
      <c r="AU4">
        <v>0.38365942380000001</v>
      </c>
      <c r="AV4">
        <v>-1.933638473</v>
      </c>
      <c r="AW4">
        <v>0.54144469409999996</v>
      </c>
      <c r="AX4">
        <v>2.7188979309999999</v>
      </c>
      <c r="AY4">
        <v>0.71618497260000002</v>
      </c>
      <c r="AZ4">
        <v>1.7399663169999999</v>
      </c>
      <c r="BA4">
        <v>7.817915749</v>
      </c>
      <c r="BB4">
        <v>0.21674872119999999</v>
      </c>
      <c r="BC4">
        <v>7.7417512669999994E-2</v>
      </c>
      <c r="BD4">
        <v>9.86453568E-2</v>
      </c>
      <c r="BE4">
        <v>0.60873333119999995</v>
      </c>
      <c r="BF4">
        <v>6.4105064760000001</v>
      </c>
      <c r="BG4">
        <v>0.66664744009999999</v>
      </c>
      <c r="BH4">
        <v>4.5827622899999998</v>
      </c>
      <c r="BI4">
        <v>9.057980057</v>
      </c>
      <c r="BJ4">
        <v>4.1125910279999998</v>
      </c>
      <c r="BK4">
        <v>2.5745626119999998</v>
      </c>
      <c r="BL4">
        <v>0.17691287040000001</v>
      </c>
      <c r="BM4">
        <v>14.396284830000001</v>
      </c>
      <c r="BN4">
        <v>3.2088389570000002</v>
      </c>
      <c r="BO4">
        <v>0.68521293790000004</v>
      </c>
      <c r="BP4">
        <v>1.5469678440000001</v>
      </c>
      <c r="BQ4">
        <v>5.278044103</v>
      </c>
      <c r="BR4">
        <v>51.059918609999997</v>
      </c>
      <c r="BS4">
        <v>15.41307889</v>
      </c>
      <c r="BT4">
        <v>16.427554539999999</v>
      </c>
      <c r="BU4">
        <v>101.37324580000001</v>
      </c>
      <c r="BV4">
        <v>3.7062505309999998</v>
      </c>
      <c r="BW4">
        <v>0.52395658079999996</v>
      </c>
      <c r="BX4">
        <v>2.5959836740000002</v>
      </c>
      <c r="BY4">
        <v>5.3020074810000004</v>
      </c>
      <c r="BZ4">
        <v>4.7812698999999999</v>
      </c>
      <c r="CA4">
        <v>0.68546111850000002</v>
      </c>
      <c r="CB4">
        <v>2.728048969</v>
      </c>
      <c r="CC4">
        <v>6.1695944210000002</v>
      </c>
      <c r="CD4">
        <v>8.4875204320000002</v>
      </c>
      <c r="CE4">
        <v>0.75348087620000004</v>
      </c>
      <c r="CF4">
        <v>5.9258519999999999</v>
      </c>
      <c r="CG4">
        <v>9.2524829999999998</v>
      </c>
      <c r="CH4">
        <v>2.5237055900000001</v>
      </c>
      <c r="CI4">
        <v>0.47237302949999999</v>
      </c>
      <c r="CJ4">
        <v>1.5632608290000001</v>
      </c>
      <c r="CK4">
        <v>4.3896862309999998</v>
      </c>
      <c r="CL4">
        <v>8.4875204320000002</v>
      </c>
      <c r="CM4">
        <v>0.75348087620000004</v>
      </c>
      <c r="CN4">
        <v>5.9258519999999999</v>
      </c>
      <c r="CO4">
        <v>9.2524829999999998</v>
      </c>
      <c r="CP4">
        <v>1.4732144300000001</v>
      </c>
      <c r="CQ4">
        <v>0.26281353120000001</v>
      </c>
      <c r="CR4">
        <v>0.92384830179999999</v>
      </c>
      <c r="CS4">
        <v>2.228553266</v>
      </c>
      <c r="CT4">
        <v>1.8045790349999999</v>
      </c>
      <c r="CU4">
        <v>0.2909529293</v>
      </c>
      <c r="CV4">
        <v>1.1482682420000001</v>
      </c>
      <c r="CW4">
        <v>2.5823185450000001</v>
      </c>
      <c r="CX4">
        <v>-0.20281466910000001</v>
      </c>
      <c r="CY4">
        <v>0.36365270150000001</v>
      </c>
      <c r="CZ4">
        <v>-1.7880049060000001</v>
      </c>
      <c r="DA4">
        <v>0.5112134773</v>
      </c>
      <c r="DB4">
        <v>2.6394706920000002</v>
      </c>
      <c r="DC4">
        <v>0.64240408719999997</v>
      </c>
      <c r="DD4">
        <v>1.7330791640000001</v>
      </c>
      <c r="DE4">
        <v>6.9882700010000001</v>
      </c>
      <c r="DF4">
        <v>0.20925283389999999</v>
      </c>
      <c r="DG4">
        <v>7.5055891540000003E-2</v>
      </c>
      <c r="DH4">
        <v>9.3489152219999996E-2</v>
      </c>
      <c r="DI4">
        <v>0.60857999789999995</v>
      </c>
      <c r="DJ4">
        <v>6.3872658659999999</v>
      </c>
      <c r="DK4">
        <v>0.66316919559999998</v>
      </c>
      <c r="DL4">
        <v>4.5827622899999998</v>
      </c>
      <c r="DM4">
        <v>8.9092569039999994</v>
      </c>
      <c r="DN4">
        <v>7.46174173</v>
      </c>
      <c r="DO4">
        <v>3.4905179120000001</v>
      </c>
      <c r="DP4">
        <v>1.0614772219999999</v>
      </c>
      <c r="DQ4">
        <v>18.133569219999998</v>
      </c>
      <c r="DR4">
        <v>3.207660261</v>
      </c>
      <c r="DS4">
        <v>0.68491696280000003</v>
      </c>
      <c r="DT4">
        <v>1.5471249709999999</v>
      </c>
      <c r="DU4">
        <v>5.2779989159999996</v>
      </c>
      <c r="DV4">
        <v>52.744253030000003</v>
      </c>
      <c r="DW4">
        <v>15.5428537</v>
      </c>
      <c r="DX4">
        <v>16.431693509999999</v>
      </c>
      <c r="DY4">
        <v>106.96428160000001</v>
      </c>
      <c r="DZ4">
        <v>2.4914420979999998</v>
      </c>
      <c r="EA4">
        <v>0.38811814179999998</v>
      </c>
      <c r="EB4">
        <v>1.5696853200000001</v>
      </c>
      <c r="EC4">
        <v>3.9307373719999998</v>
      </c>
      <c r="ED4">
        <v>2.2459259920000001</v>
      </c>
      <c r="EE4">
        <v>0.34564152529999997</v>
      </c>
      <c r="EF4">
        <v>1.507042252</v>
      </c>
      <c r="EG4">
        <v>3.3864616060000001</v>
      </c>
      <c r="EH4">
        <v>4.7373680900000004</v>
      </c>
      <c r="EI4">
        <v>0.64407290910000004</v>
      </c>
      <c r="EJ4">
        <v>3.0767275710000002</v>
      </c>
      <c r="EK4">
        <v>6.6710479999999999</v>
      </c>
      <c r="EL4">
        <v>1.74458724</v>
      </c>
      <c r="EM4">
        <v>0.2278484687</v>
      </c>
      <c r="EN4">
        <v>1.282138282</v>
      </c>
      <c r="EO4">
        <v>2.443819977</v>
      </c>
      <c r="EP4">
        <v>7.5676523160000002</v>
      </c>
      <c r="EQ4">
        <v>1.3549829950000001</v>
      </c>
      <c r="ER4">
        <v>3.9579949999999999</v>
      </c>
      <c r="ES4">
        <v>11.656221</v>
      </c>
      <c r="ET4">
        <v>0.7101353735</v>
      </c>
      <c r="EU4">
        <v>9.4265836160000005E-2</v>
      </c>
      <c r="EV4">
        <v>0.51300825839999997</v>
      </c>
      <c r="EW4">
        <v>0.99375383390000005</v>
      </c>
      <c r="EX4">
        <v>0.91222289450000005</v>
      </c>
      <c r="EY4">
        <v>0.1252019644</v>
      </c>
      <c r="EZ4">
        <v>0.62378581180000003</v>
      </c>
      <c r="FA4">
        <v>1.3327073700000001</v>
      </c>
      <c r="FB4">
        <v>0.20449237570000001</v>
      </c>
      <c r="FC4">
        <v>0.20937741779999999</v>
      </c>
      <c r="FD4">
        <v>-0.42224476640000003</v>
      </c>
      <c r="FE4">
        <v>0.9377307171</v>
      </c>
      <c r="FF4">
        <v>3.4577796580000002</v>
      </c>
      <c r="FG4">
        <v>0.60636930180000004</v>
      </c>
      <c r="FH4">
        <v>2.5145165409999999</v>
      </c>
      <c r="FI4">
        <v>8.3327899169999995</v>
      </c>
      <c r="FJ4">
        <v>3.9190752209999999</v>
      </c>
      <c r="FK4">
        <v>0.87773211029999998</v>
      </c>
      <c r="FL4">
        <v>2.0403893200000001</v>
      </c>
      <c r="FM4">
        <v>7.3681984490000003</v>
      </c>
      <c r="FN4">
        <v>3.6485770949999998</v>
      </c>
      <c r="FO4">
        <v>0.80147449979999996</v>
      </c>
      <c r="FP4">
        <v>1.9176056800000001</v>
      </c>
      <c r="FQ4">
        <v>6.1030596150000003</v>
      </c>
      <c r="FR4">
        <v>7.1720062320000002</v>
      </c>
      <c r="FS4">
        <v>1.2547989450000001</v>
      </c>
      <c r="FT4">
        <v>3.9579949999999999</v>
      </c>
      <c r="FU4">
        <v>10.706331</v>
      </c>
      <c r="FV4">
        <v>5.2928473260000004</v>
      </c>
      <c r="FW4">
        <v>1.628782202</v>
      </c>
      <c r="FX4">
        <v>2.436223</v>
      </c>
      <c r="FY4">
        <v>10.539673000000001</v>
      </c>
      <c r="FZ4">
        <v>8.6327581099999995E-2</v>
      </c>
      <c r="GA4">
        <v>1.383951512E-2</v>
      </c>
      <c r="GB4">
        <v>6.1805393040000003E-2</v>
      </c>
      <c r="GC4">
        <v>0.12692790649999999</v>
      </c>
      <c r="GD4">
        <v>6.178344944</v>
      </c>
      <c r="GE4">
        <v>0.66076661969999995</v>
      </c>
      <c r="GF4">
        <v>4.5324083340000003</v>
      </c>
      <c r="GG4">
        <v>9.1791392399999996</v>
      </c>
      <c r="GH4">
        <v>1.28216076</v>
      </c>
      <c r="GI4">
        <v>1.1378962909999999</v>
      </c>
      <c r="GJ4">
        <v>4.9248953460000001E-2</v>
      </c>
      <c r="GK4">
        <v>5.8852499380000003</v>
      </c>
      <c r="GL4">
        <v>1.339203602</v>
      </c>
      <c r="GM4">
        <v>0.17453598819999999</v>
      </c>
      <c r="GN4">
        <v>0.93891565089999995</v>
      </c>
      <c r="GO4">
        <v>1.9459364770000001</v>
      </c>
      <c r="GP4">
        <v>9.2409441139999995</v>
      </c>
      <c r="GQ4">
        <v>1.5886614160000001</v>
      </c>
      <c r="GR4">
        <v>5.6143806940000003</v>
      </c>
      <c r="GS4">
        <v>14.571011650000001</v>
      </c>
      <c r="GT4">
        <v>118.7311661</v>
      </c>
      <c r="GU4">
        <v>18.382237060000001</v>
      </c>
      <c r="GV4">
        <v>78.784880900000005</v>
      </c>
      <c r="GW4">
        <v>161.7981782</v>
      </c>
      <c r="GX4">
        <v>2.4220144769999998</v>
      </c>
      <c r="GY4">
        <v>0.36248762350000002</v>
      </c>
      <c r="GZ4">
        <v>1.5696853200000001</v>
      </c>
      <c r="HA4">
        <v>3.7436290680000002</v>
      </c>
      <c r="HB4">
        <v>2.2132579479999999</v>
      </c>
      <c r="HC4">
        <v>0.33065539259999999</v>
      </c>
      <c r="HD4">
        <v>1.507042252</v>
      </c>
      <c r="HE4">
        <v>3.3849636539999999</v>
      </c>
      <c r="HF4">
        <v>4.6352724250000001</v>
      </c>
      <c r="HG4">
        <v>0.59920159709999998</v>
      </c>
      <c r="HH4">
        <v>3.0767275710000002</v>
      </c>
      <c r="HI4">
        <v>6.4356534290000003</v>
      </c>
      <c r="HJ4">
        <v>1.710473087</v>
      </c>
      <c r="HK4">
        <v>0.2165971163</v>
      </c>
      <c r="HL4">
        <v>1.2486827199999999</v>
      </c>
      <c r="HM4">
        <v>2.3864168069999998</v>
      </c>
      <c r="HN4">
        <v>7.2757282630000004</v>
      </c>
      <c r="HO4">
        <v>1.1912075129999999</v>
      </c>
      <c r="HP4">
        <v>3.9579949999999999</v>
      </c>
      <c r="HQ4">
        <v>11.343584</v>
      </c>
      <c r="HR4">
        <v>0.70492819849999999</v>
      </c>
      <c r="HS4">
        <v>9.1464638340000001E-2</v>
      </c>
      <c r="HT4">
        <v>0.51300825839999997</v>
      </c>
      <c r="HU4">
        <v>0.96921880240000002</v>
      </c>
      <c r="HV4">
        <v>0.90310254000000001</v>
      </c>
      <c r="HW4">
        <v>0.1202437611</v>
      </c>
      <c r="HX4">
        <v>0.62378581180000003</v>
      </c>
      <c r="HY4">
        <v>1.3099343640000001</v>
      </c>
      <c r="HZ4">
        <v>0.19724205829999999</v>
      </c>
      <c r="IA4">
        <v>0.2104900462</v>
      </c>
      <c r="IB4">
        <v>-0.44035708489999997</v>
      </c>
      <c r="IC4">
        <v>1.0784703280000001</v>
      </c>
      <c r="ID4">
        <v>3.410631747</v>
      </c>
      <c r="IE4">
        <v>0.62209113120000004</v>
      </c>
      <c r="IF4">
        <v>2.5145165409999999</v>
      </c>
      <c r="IG4">
        <v>9.0936716539999995</v>
      </c>
      <c r="IH4">
        <v>3.729841628</v>
      </c>
      <c r="II4">
        <v>0.81916000440000003</v>
      </c>
      <c r="IJ4">
        <v>2.0312297959999999</v>
      </c>
      <c r="IK4">
        <v>7.3184103699999996</v>
      </c>
      <c r="IL4">
        <v>3.5458866360000001</v>
      </c>
      <c r="IM4">
        <v>0.73655821089999995</v>
      </c>
      <c r="IN4">
        <v>1.9176056800000001</v>
      </c>
      <c r="IO4">
        <v>5.8638947970000004</v>
      </c>
      <c r="IP4">
        <v>6.8729092679999999</v>
      </c>
      <c r="IQ4">
        <v>1.042216571</v>
      </c>
      <c r="IR4">
        <v>3.9579949999999999</v>
      </c>
      <c r="IS4">
        <v>9.4048909999999992</v>
      </c>
      <c r="IT4">
        <v>5.1113636739999997</v>
      </c>
      <c r="IU4">
        <v>1.446665361</v>
      </c>
      <c r="IV4">
        <v>2.2241849999999999</v>
      </c>
      <c r="IW4">
        <v>8.8393200000000007</v>
      </c>
      <c r="IX4">
        <v>8.4520802270000001E-2</v>
      </c>
      <c r="IY4">
        <v>1.33406959E-2</v>
      </c>
      <c r="IZ4">
        <v>6.1805393040000003E-2</v>
      </c>
      <c r="JA4">
        <v>0.12679571379999999</v>
      </c>
      <c r="JB4">
        <v>6.1573693379999996</v>
      </c>
      <c r="JC4">
        <v>0.65709825129999999</v>
      </c>
      <c r="JD4">
        <v>4.5324083340000003</v>
      </c>
      <c r="JE4">
        <v>9.0415854010000007</v>
      </c>
      <c r="JF4">
        <v>1.5757683629999999</v>
      </c>
      <c r="JG4">
        <v>1.409296809</v>
      </c>
      <c r="JH4">
        <v>4.9248953460000001E-2</v>
      </c>
      <c r="JI4">
        <v>9.6544687600000003</v>
      </c>
      <c r="JJ4">
        <v>1.3373418829999999</v>
      </c>
      <c r="JK4">
        <v>0.17304255609999999</v>
      </c>
      <c r="JL4">
        <v>0.93891565089999995</v>
      </c>
      <c r="JM4">
        <v>1.8968821680000001</v>
      </c>
      <c r="JN4">
        <v>9.5080186260000001</v>
      </c>
      <c r="JO4">
        <v>1.586367557</v>
      </c>
      <c r="JP4">
        <v>6.3703547709999997</v>
      </c>
      <c r="JQ4">
        <v>15.48879586</v>
      </c>
      <c r="JR4">
        <v>121.1548892</v>
      </c>
      <c r="JS4">
        <v>18.32122433</v>
      </c>
      <c r="JT4">
        <v>78.867019209999995</v>
      </c>
      <c r="JU4">
        <v>161.7981782</v>
      </c>
      <c r="JV4">
        <v>2.328285621</v>
      </c>
      <c r="JW4">
        <v>0.53797776119999996</v>
      </c>
      <c r="JX4">
        <v>1.0316986640000001</v>
      </c>
      <c r="JY4">
        <v>4.6876714149999996</v>
      </c>
      <c r="JZ4">
        <v>2.8401061680000002</v>
      </c>
      <c r="KA4">
        <v>0.81204828309999999</v>
      </c>
      <c r="KB4">
        <v>1.242906423</v>
      </c>
      <c r="KC4">
        <v>5.2221687760000002</v>
      </c>
      <c r="KD4">
        <v>5.1683917890000002</v>
      </c>
      <c r="KE4">
        <v>1.130213224</v>
      </c>
      <c r="KF4">
        <v>2.4145439999999998</v>
      </c>
      <c r="KG4">
        <v>9.0312540000000006</v>
      </c>
      <c r="KH4">
        <v>3.876946158</v>
      </c>
      <c r="KI4">
        <v>1.3278533889999999</v>
      </c>
      <c r="KJ4">
        <v>1.461048667</v>
      </c>
      <c r="KK4">
        <v>9.0312540000000006</v>
      </c>
      <c r="KL4">
        <v>5.1683917890000002</v>
      </c>
      <c r="KM4">
        <v>1.130213224</v>
      </c>
      <c r="KN4">
        <v>2.4145439999999998</v>
      </c>
      <c r="KO4">
        <v>9.0312540000000006</v>
      </c>
      <c r="KP4">
        <v>1.066607106</v>
      </c>
      <c r="KQ4">
        <v>0.26161302679999998</v>
      </c>
      <c r="KR4">
        <v>0.50660741850000002</v>
      </c>
      <c r="KS4">
        <v>1.904940383</v>
      </c>
      <c r="KT4">
        <v>1.299724149</v>
      </c>
      <c r="KU4">
        <v>0.30162903210000003</v>
      </c>
      <c r="KV4">
        <v>0.66384267360000004</v>
      </c>
      <c r="KW4">
        <v>2.3268475780000002</v>
      </c>
      <c r="KX4">
        <v>-0.26865692340000003</v>
      </c>
      <c r="KY4">
        <v>0.44208135279999999</v>
      </c>
      <c r="KZ4">
        <v>-1.777029537</v>
      </c>
      <c r="LA4">
        <v>0.83663658100000005</v>
      </c>
      <c r="LB4">
        <v>2.5734828300000001</v>
      </c>
      <c r="LC4">
        <v>0.72366839360000002</v>
      </c>
      <c r="LD4">
        <v>1.5510009789999999</v>
      </c>
      <c r="LE4">
        <v>5.9775031749999998</v>
      </c>
      <c r="LF4">
        <v>1.966221706</v>
      </c>
      <c r="LG4">
        <v>0.7194415059</v>
      </c>
      <c r="LH4">
        <v>0.73829999739999996</v>
      </c>
      <c r="LI4">
        <v>4.8327599829999999</v>
      </c>
      <c r="LJ4">
        <v>0.26373135349999999</v>
      </c>
      <c r="LK4">
        <v>5.4097333329999997E-2</v>
      </c>
      <c r="LL4">
        <v>0.12816870259999999</v>
      </c>
      <c r="LM4">
        <v>0.42981981670000002</v>
      </c>
      <c r="LN4">
        <v>19.313297800000001</v>
      </c>
      <c r="LO4">
        <v>9.2376084449999993</v>
      </c>
      <c r="LP4">
        <v>3.14020345</v>
      </c>
      <c r="LQ4">
        <v>60.12826183</v>
      </c>
      <c r="LR4">
        <v>2.328917439</v>
      </c>
      <c r="LS4">
        <v>0.67710847240000005</v>
      </c>
      <c r="LT4">
        <v>0.91389132169999998</v>
      </c>
      <c r="LU4">
        <v>4.8183546340000003</v>
      </c>
      <c r="LV4">
        <v>17.255895819999999</v>
      </c>
      <c r="LW4">
        <v>5.7616198130000003</v>
      </c>
      <c r="LX4">
        <v>3.4940291910000001</v>
      </c>
      <c r="LY4">
        <v>32.99425033</v>
      </c>
      <c r="LZ4">
        <v>5.67142883</v>
      </c>
      <c r="MA4">
        <v>1.8147231290000001</v>
      </c>
      <c r="MB4">
        <v>2.0692109759999999</v>
      </c>
      <c r="MC4">
        <v>13.5446296</v>
      </c>
      <c r="MD4">
        <v>2.3128462280000002</v>
      </c>
      <c r="ME4">
        <v>0.52493266289999996</v>
      </c>
      <c r="MF4">
        <v>1.0316986640000001</v>
      </c>
      <c r="MG4">
        <v>4.4269398100000004</v>
      </c>
      <c r="MH4">
        <v>2.7883755200000002</v>
      </c>
      <c r="MI4">
        <v>0.73803400139999997</v>
      </c>
      <c r="MJ4">
        <v>1.240866392</v>
      </c>
      <c r="MK4">
        <v>5.1407437529999997</v>
      </c>
      <c r="ML4">
        <v>5.1012217470000003</v>
      </c>
      <c r="MM4">
        <v>1.044031994</v>
      </c>
      <c r="MN4">
        <v>2.4145439999999998</v>
      </c>
      <c r="MO4">
        <v>8.07165</v>
      </c>
      <c r="MP4">
        <v>3.8298571290000001</v>
      </c>
      <c r="MQ4">
        <v>1.2591604249999999</v>
      </c>
      <c r="MR4">
        <v>1.461029667</v>
      </c>
      <c r="MS4">
        <v>8.07165</v>
      </c>
      <c r="MT4">
        <v>5.1012217470000003</v>
      </c>
      <c r="MU4">
        <v>1.044031994</v>
      </c>
      <c r="MV4">
        <v>2.4145439999999998</v>
      </c>
      <c r="MW4">
        <v>8.07165</v>
      </c>
      <c r="MX4">
        <v>1.0602843639999999</v>
      </c>
      <c r="MY4">
        <v>0.25555675830000002</v>
      </c>
      <c r="MZ4">
        <v>0.50660741850000002</v>
      </c>
      <c r="NA4">
        <v>1.822323777</v>
      </c>
      <c r="NB4">
        <v>1.2894677670000001</v>
      </c>
      <c r="NC4">
        <v>0.29032466629999998</v>
      </c>
      <c r="ND4">
        <v>0.66379508229999995</v>
      </c>
      <c r="NE4">
        <v>2.2131994220000002</v>
      </c>
      <c r="NF4">
        <v>-0.25748979760000001</v>
      </c>
      <c r="NG4">
        <v>0.4340865438</v>
      </c>
      <c r="NH4">
        <v>-1.716045949</v>
      </c>
      <c r="NI4">
        <v>0.83906041330000003</v>
      </c>
      <c r="NJ4">
        <v>2.5462448059999998</v>
      </c>
      <c r="NK4">
        <v>0.70302097799999996</v>
      </c>
      <c r="NL4">
        <v>1.550560334</v>
      </c>
      <c r="NM4">
        <v>5.7235339869999997</v>
      </c>
      <c r="NN4">
        <v>1.966265546</v>
      </c>
      <c r="NO4">
        <v>0.71923896330000003</v>
      </c>
      <c r="NP4">
        <v>0.73691999750000003</v>
      </c>
      <c r="NQ4">
        <v>4.8603599830000004</v>
      </c>
      <c r="NR4">
        <v>0.261405797</v>
      </c>
      <c r="NS4">
        <v>5.1682116139999998E-2</v>
      </c>
      <c r="NT4">
        <v>0.12816870259999999</v>
      </c>
      <c r="NU4">
        <v>0.40160167390000001</v>
      </c>
      <c r="NV4">
        <v>19.465935909999999</v>
      </c>
      <c r="NW4">
        <v>9.1817849040000006</v>
      </c>
      <c r="NX4">
        <v>3.1180893410000001</v>
      </c>
      <c r="NY4">
        <v>60.12826183</v>
      </c>
      <c r="NZ4">
        <v>2.3231095439999998</v>
      </c>
      <c r="OA4">
        <v>0.67229190100000003</v>
      </c>
      <c r="OB4">
        <v>0.90724139329999998</v>
      </c>
      <c r="OC4">
        <v>4.7785782330000002</v>
      </c>
      <c r="OD4">
        <v>17.453762430000001</v>
      </c>
      <c r="OE4">
        <v>5.7047153330000002</v>
      </c>
      <c r="OF4">
        <v>3.7593984960000002</v>
      </c>
      <c r="OG4">
        <v>32.972136220000003</v>
      </c>
      <c r="OH4">
        <v>5.6705003319999996</v>
      </c>
      <c r="OI4">
        <v>1.81290664</v>
      </c>
      <c r="OJ4">
        <v>2.0574607710000001</v>
      </c>
      <c r="OK4">
        <v>13.569994080000001</v>
      </c>
      <c r="OL4">
        <v>1.7150504099999999</v>
      </c>
      <c r="OM4">
        <v>-0.35834951339999999</v>
      </c>
      <c r="ON4">
        <v>3.0243641050000001</v>
      </c>
      <c r="OO4">
        <v>5.9749590000000001</v>
      </c>
      <c r="OP4">
        <v>7.4571959999999997</v>
      </c>
      <c r="OQ4">
        <v>13.432155</v>
      </c>
      <c r="OR4">
        <v>1.370190008</v>
      </c>
      <c r="OS4" s="2">
        <v>6.1003072800000002E-5</v>
      </c>
      <c r="OT4">
        <v>2.2015505879999999E-3</v>
      </c>
      <c r="OU4" s="2">
        <v>6.1003072800000002E-5</v>
      </c>
      <c r="OV4">
        <v>1.5777679780000001E-3</v>
      </c>
      <c r="OW4">
        <v>1.9796630219999999E-3</v>
      </c>
      <c r="OX4">
        <v>2.21887566E-4</v>
      </c>
      <c r="OY4">
        <v>4.3719339550000003</v>
      </c>
      <c r="OZ4">
        <v>1.1457787100000001</v>
      </c>
      <c r="PA4">
        <v>1.987914016</v>
      </c>
      <c r="PB4">
        <v>8.2626237430000007</v>
      </c>
      <c r="PC4">
        <v>88.152903809999998</v>
      </c>
      <c r="PD4">
        <v>1.6962419909999999</v>
      </c>
      <c r="PE4">
        <v>-0.32194400950000002</v>
      </c>
      <c r="PF4">
        <v>2.842844259</v>
      </c>
      <c r="PG4">
        <v>5.4041550000000003</v>
      </c>
      <c r="PH4">
        <v>6.1262879999999997</v>
      </c>
      <c r="PI4">
        <v>11.530443</v>
      </c>
      <c r="PJ4">
        <v>1.3622274720000001</v>
      </c>
      <c r="PK4" s="2">
        <v>5.8889840509999997E-5</v>
      </c>
      <c r="PL4">
        <v>2.1933282050000001E-3</v>
      </c>
      <c r="PM4" s="2">
        <v>5.8889840509999997E-5</v>
      </c>
      <c r="PN4">
        <v>1.5767117649999999E-3</v>
      </c>
      <c r="PO4">
        <v>1.9762962350000001E-3</v>
      </c>
      <c r="PP4">
        <v>2.170319691E-4</v>
      </c>
      <c r="PQ4">
        <v>4.3686525510000003</v>
      </c>
      <c r="PR4">
        <v>1.0961497609999999</v>
      </c>
      <c r="PS4">
        <v>1.905627846</v>
      </c>
      <c r="PT4">
        <v>8.2208093889999994</v>
      </c>
      <c r="PU4">
        <v>88.140802710000003</v>
      </c>
      <c r="PV4">
        <v>5.0269032410000003</v>
      </c>
      <c r="PW4">
        <v>0.98163286189999999</v>
      </c>
      <c r="PX4">
        <v>2.155905502</v>
      </c>
      <c r="PY4">
        <v>8.5841172110000006</v>
      </c>
      <c r="PZ4">
        <v>88.671975990000007</v>
      </c>
      <c r="QA4">
        <v>5.0266134720000002</v>
      </c>
      <c r="QB4">
        <v>0.92765681209999995</v>
      </c>
      <c r="QC4">
        <v>2.060671116</v>
      </c>
      <c r="QD4">
        <v>8.5474643629999996</v>
      </c>
      <c r="QE4">
        <v>88.674440110000006</v>
      </c>
      <c r="QF4" s="2">
        <v>5.3969089959999998E-5</v>
      </c>
      <c r="QG4">
        <v>1.8120458319999999E-3</v>
      </c>
      <c r="QH4">
        <v>2.305528168E-3</v>
      </c>
      <c r="QI4">
        <v>2.4249239559999999E-4</v>
      </c>
      <c r="QJ4" s="2">
        <v>5.167903734E-5</v>
      </c>
      <c r="QK4">
        <v>1.811297184E-3</v>
      </c>
      <c r="QL4">
        <v>2.3038338160000001E-3</v>
      </c>
      <c r="QM4">
        <v>2.3702268170000001E-4</v>
      </c>
      <c r="QN4">
        <v>14.56234336</v>
      </c>
      <c r="QO4">
        <v>2.9635385779999999E-2</v>
      </c>
      <c r="QP4">
        <v>4.9753211989999997</v>
      </c>
      <c r="QQ4">
        <v>173.7615941</v>
      </c>
      <c r="QR4">
        <v>14.503950680000001</v>
      </c>
      <c r="QS4">
        <v>2.776717897E-2</v>
      </c>
      <c r="QT4">
        <v>5.4645014989999998</v>
      </c>
      <c r="QU4">
        <v>173.76283549999999</v>
      </c>
    </row>
    <row r="5" spans="1:463" x14ac:dyDescent="0.2">
      <c r="A5" t="s">
        <v>276</v>
      </c>
      <c r="B5" s="2">
        <v>1.1195110650000001E-11</v>
      </c>
      <c r="C5" s="2">
        <v>1.088888821E-11</v>
      </c>
      <c r="D5">
        <v>3.4882894560000002E-2</v>
      </c>
      <c r="E5">
        <v>8.171780344E-2</v>
      </c>
      <c r="F5">
        <v>0.47417845710000001</v>
      </c>
      <c r="G5">
        <v>0.10715517770000001</v>
      </c>
      <c r="H5">
        <v>0.25102520480000001</v>
      </c>
      <c r="I5">
        <v>1.4566072430000001</v>
      </c>
      <c r="J5">
        <v>32.518741939999998</v>
      </c>
      <c r="K5">
        <v>32.553624839999998</v>
      </c>
      <c r="L5">
        <v>32.553624839999998</v>
      </c>
      <c r="M5">
        <v>32.553624839999998</v>
      </c>
      <c r="N5">
        <v>32.471907039999998</v>
      </c>
      <c r="O5">
        <v>32.553624839999998</v>
      </c>
      <c r="P5">
        <v>32.07944638</v>
      </c>
      <c r="Q5">
        <v>32.553624839999998</v>
      </c>
      <c r="R5">
        <v>4.1420261969999999</v>
      </c>
      <c r="S5">
        <v>0.57733904950000003</v>
      </c>
      <c r="T5">
        <v>2.8393310700000001</v>
      </c>
      <c r="U5">
        <v>5.9760481219999999</v>
      </c>
      <c r="V5">
        <v>5.7146024610000001</v>
      </c>
      <c r="W5">
        <v>1.0818115420000001</v>
      </c>
      <c r="X5">
        <v>3.4369408039999998</v>
      </c>
      <c r="Y5">
        <v>7.9791964130000004</v>
      </c>
      <c r="Z5">
        <v>9.856628658</v>
      </c>
      <c r="AA5">
        <v>1.261915189</v>
      </c>
      <c r="AB5">
        <v>6.982278</v>
      </c>
      <c r="AC5">
        <v>11.865149000000001</v>
      </c>
      <c r="AD5">
        <v>2.8363811069999998</v>
      </c>
      <c r="AE5">
        <v>0.54012846820000004</v>
      </c>
      <c r="AF5">
        <v>1.7318367269999999</v>
      </c>
      <c r="AG5">
        <v>5.06596475</v>
      </c>
      <c r="AH5">
        <v>9.856628658</v>
      </c>
      <c r="AI5">
        <v>1.261915189</v>
      </c>
      <c r="AJ5">
        <v>6.982278</v>
      </c>
      <c r="AK5">
        <v>11.865149000000001</v>
      </c>
      <c r="AL5">
        <v>1.5392394540000001</v>
      </c>
      <c r="AM5">
        <v>0.2717295763</v>
      </c>
      <c r="AN5">
        <v>0.96570208219999998</v>
      </c>
      <c r="AO5">
        <v>2.3128348519999999</v>
      </c>
      <c r="AP5">
        <v>1.8973069979999999</v>
      </c>
      <c r="AQ5">
        <v>0.31063574560000001</v>
      </c>
      <c r="AR5">
        <v>1.1659953839999999</v>
      </c>
      <c r="AS5">
        <v>2.6920551939999999</v>
      </c>
      <c r="AT5">
        <v>-0.22343085870000001</v>
      </c>
      <c r="AU5">
        <v>0.3710020671</v>
      </c>
      <c r="AV5">
        <v>-1.836188989</v>
      </c>
      <c r="AW5">
        <v>0.53562171989999996</v>
      </c>
      <c r="AX5">
        <v>2.7634358899999998</v>
      </c>
      <c r="AY5">
        <v>0.66210374289999996</v>
      </c>
      <c r="AZ5">
        <v>1.734609938</v>
      </c>
      <c r="BA5">
        <v>6.9728139279999999</v>
      </c>
      <c r="BB5">
        <v>0.2012967829</v>
      </c>
      <c r="BC5">
        <v>6.4047331220000003E-2</v>
      </c>
      <c r="BD5">
        <v>8.2408656430000005E-2</v>
      </c>
      <c r="BE5">
        <v>0.48380499830000001</v>
      </c>
      <c r="BF5">
        <v>6.8719346410000002</v>
      </c>
      <c r="BG5">
        <v>0.73820028579999997</v>
      </c>
      <c r="BH5">
        <v>4.7816185620000002</v>
      </c>
      <c r="BI5">
        <v>9.2170418359999999</v>
      </c>
      <c r="BJ5">
        <v>4.5407749080000004</v>
      </c>
      <c r="BK5">
        <v>2.5278315689999999</v>
      </c>
      <c r="BL5">
        <v>0.37593984959999999</v>
      </c>
      <c r="BM5">
        <v>13.268465279999999</v>
      </c>
      <c r="BN5">
        <v>3.3272292810000001</v>
      </c>
      <c r="BO5">
        <v>0.69243540339999998</v>
      </c>
      <c r="BP5">
        <v>1.8087779989999999</v>
      </c>
      <c r="BQ5">
        <v>5.4756545000000001</v>
      </c>
      <c r="BR5">
        <v>54.160623260000001</v>
      </c>
      <c r="BS5">
        <v>15.62429543</v>
      </c>
      <c r="BT5">
        <v>20.66948468</v>
      </c>
      <c r="BU5">
        <v>121.3464754</v>
      </c>
      <c r="BV5">
        <v>3.8568604729999998</v>
      </c>
      <c r="BW5">
        <v>0.52776798430000005</v>
      </c>
      <c r="BX5">
        <v>2.737682435</v>
      </c>
      <c r="BY5">
        <v>5.3943029259999999</v>
      </c>
      <c r="BZ5">
        <v>5.1170169960000003</v>
      </c>
      <c r="CA5">
        <v>0.63434167539999997</v>
      </c>
      <c r="CB5">
        <v>3.4369408039999998</v>
      </c>
      <c r="CC5">
        <v>6.3421431479999999</v>
      </c>
      <c r="CD5">
        <v>8.9738774679999995</v>
      </c>
      <c r="CE5">
        <v>0.68246041189999995</v>
      </c>
      <c r="CF5">
        <v>6.982278</v>
      </c>
      <c r="CG5">
        <v>9.5982559999999992</v>
      </c>
      <c r="CH5">
        <v>2.7097542959999998</v>
      </c>
      <c r="CI5">
        <v>0.4734969315</v>
      </c>
      <c r="CJ5">
        <v>1.7318367269999999</v>
      </c>
      <c r="CK5">
        <v>4.7706632310000003</v>
      </c>
      <c r="CL5">
        <v>8.9738774679999995</v>
      </c>
      <c r="CM5">
        <v>0.68246041189999995</v>
      </c>
      <c r="CN5">
        <v>6.982278</v>
      </c>
      <c r="CO5">
        <v>9.5982559999999992</v>
      </c>
      <c r="CP5">
        <v>1.5301573049999999</v>
      </c>
      <c r="CQ5">
        <v>0.26574061910000002</v>
      </c>
      <c r="CR5">
        <v>0.96440731479999997</v>
      </c>
      <c r="CS5">
        <v>2.3071581800000001</v>
      </c>
      <c r="CT5">
        <v>1.877635495</v>
      </c>
      <c r="CU5">
        <v>0.29486353580000002</v>
      </c>
      <c r="CV5">
        <v>1.1659953839999999</v>
      </c>
      <c r="CW5">
        <v>2.6074215230000002</v>
      </c>
      <c r="CX5">
        <v>-0.1982733257</v>
      </c>
      <c r="CY5">
        <v>0.34654285709999999</v>
      </c>
      <c r="CZ5">
        <v>-1.651827902</v>
      </c>
      <c r="DA5">
        <v>0.50361585809999998</v>
      </c>
      <c r="DB5">
        <v>2.649444366</v>
      </c>
      <c r="DC5">
        <v>0.56150200640000003</v>
      </c>
      <c r="DD5">
        <v>1.7135281840000001</v>
      </c>
      <c r="DE5">
        <v>5.9646034319999996</v>
      </c>
      <c r="DF5">
        <v>0.19233507289999999</v>
      </c>
      <c r="DG5">
        <v>6.0390482750000002E-2</v>
      </c>
      <c r="DH5">
        <v>8.2408656430000005E-2</v>
      </c>
      <c r="DI5">
        <v>0.46257599840000002</v>
      </c>
      <c r="DJ5">
        <v>6.8410141409999996</v>
      </c>
      <c r="DK5">
        <v>0.72808053859999999</v>
      </c>
      <c r="DL5">
        <v>4.7816185620000002</v>
      </c>
      <c r="DM5">
        <v>9.1552359830000007</v>
      </c>
      <c r="DN5">
        <v>7.1145546700000004</v>
      </c>
      <c r="DO5">
        <v>3.2512780029999999</v>
      </c>
      <c r="DP5">
        <v>0.75187969919999997</v>
      </c>
      <c r="DQ5">
        <v>16.771895279999999</v>
      </c>
      <c r="DR5">
        <v>3.3258154559999999</v>
      </c>
      <c r="DS5">
        <v>0.69234392320000004</v>
      </c>
      <c r="DT5">
        <v>1.8086027259999999</v>
      </c>
      <c r="DU5">
        <v>5.4760471429999997</v>
      </c>
      <c r="DV5">
        <v>56.528697059999999</v>
      </c>
      <c r="DW5">
        <v>15.98500387</v>
      </c>
      <c r="DX5">
        <v>21.61806932</v>
      </c>
      <c r="DY5">
        <v>121.3464754</v>
      </c>
      <c r="DZ5">
        <v>2.540928487</v>
      </c>
      <c r="EA5">
        <v>0.38566215390000003</v>
      </c>
      <c r="EB5">
        <v>1.4731039889999999</v>
      </c>
      <c r="EC5">
        <v>3.9363772680000002</v>
      </c>
      <c r="ED5">
        <v>2.6773571189999998</v>
      </c>
      <c r="EE5">
        <v>0.42157945790000001</v>
      </c>
      <c r="EF5">
        <v>1.7484075189999999</v>
      </c>
      <c r="EG5">
        <v>4.2596915759999998</v>
      </c>
      <c r="EH5">
        <v>5.2182856060000002</v>
      </c>
      <c r="EI5">
        <v>0.71539628190000004</v>
      </c>
      <c r="EJ5">
        <v>3.4086461429999999</v>
      </c>
      <c r="EK5">
        <v>7.5391712860000002</v>
      </c>
      <c r="EL5">
        <v>1.9511720299999999</v>
      </c>
      <c r="EM5">
        <v>0.26111504679999997</v>
      </c>
      <c r="EN5">
        <v>1.3176161719999999</v>
      </c>
      <c r="EO5">
        <v>2.9715064720000002</v>
      </c>
      <c r="EP5">
        <v>8.1170534209999996</v>
      </c>
      <c r="EQ5">
        <v>1.4060515490000001</v>
      </c>
      <c r="ER5">
        <v>4.3371180000000003</v>
      </c>
      <c r="ES5">
        <v>12.323727</v>
      </c>
      <c r="ET5">
        <v>0.76799843290000003</v>
      </c>
      <c r="EU5">
        <v>9.8374876619999996E-2</v>
      </c>
      <c r="EV5">
        <v>0.56800365860000002</v>
      </c>
      <c r="EW5">
        <v>1.0582462159999999</v>
      </c>
      <c r="EX5">
        <v>0.9876077285</v>
      </c>
      <c r="EY5">
        <v>0.13135512169999999</v>
      </c>
      <c r="EZ5">
        <v>0.68778634900000002</v>
      </c>
      <c r="FA5">
        <v>1.3863416099999999</v>
      </c>
      <c r="FB5">
        <v>3.048172146E-2</v>
      </c>
      <c r="FC5">
        <v>0.20885176220000001</v>
      </c>
      <c r="FD5">
        <v>-0.48215538679999997</v>
      </c>
      <c r="FE5">
        <v>0.77808776629999998</v>
      </c>
      <c r="FF5">
        <v>3.4669750330000002</v>
      </c>
      <c r="FG5">
        <v>0.45929613619999998</v>
      </c>
      <c r="FH5">
        <v>2.6413535060000002</v>
      </c>
      <c r="FI5">
        <v>4.9724353409999997</v>
      </c>
      <c r="FJ5">
        <v>3.9176695939999999</v>
      </c>
      <c r="FK5">
        <v>0.82589245460000005</v>
      </c>
      <c r="FL5">
        <v>1.8847222749999999</v>
      </c>
      <c r="FM5">
        <v>6.412779982</v>
      </c>
      <c r="FN5">
        <v>4.1993838270000001</v>
      </c>
      <c r="FO5">
        <v>0.92370217200000004</v>
      </c>
      <c r="FP5">
        <v>2.4523957250000001</v>
      </c>
      <c r="FQ5">
        <v>7.6432541340000002</v>
      </c>
      <c r="FR5">
        <v>7.6200110580000002</v>
      </c>
      <c r="FS5">
        <v>1.324469221</v>
      </c>
      <c r="FT5">
        <v>3.9187259999999999</v>
      </c>
      <c r="FU5">
        <v>11.301657000000001</v>
      </c>
      <c r="FV5">
        <v>5.8260949950000001</v>
      </c>
      <c r="FW5">
        <v>1.6370974739999999</v>
      </c>
      <c r="FX5">
        <v>2.4958770000000001</v>
      </c>
      <c r="FY5">
        <v>10.987019999999999</v>
      </c>
      <c r="FZ5">
        <v>8.4333311090000002E-2</v>
      </c>
      <c r="GA5">
        <v>1.359367362E-2</v>
      </c>
      <c r="GB5">
        <v>6.1515529200000002E-2</v>
      </c>
      <c r="GC5">
        <v>0.1520365709</v>
      </c>
      <c r="GD5">
        <v>6.7073549740000002</v>
      </c>
      <c r="GE5">
        <v>0.73271282660000003</v>
      </c>
      <c r="GF5">
        <v>4.6853828579999997</v>
      </c>
      <c r="GG5">
        <v>9.2718424259999992</v>
      </c>
      <c r="GH5">
        <v>1.4669568529999999</v>
      </c>
      <c r="GI5">
        <v>1.384285824</v>
      </c>
      <c r="GJ5">
        <v>4.9248953460000001E-2</v>
      </c>
      <c r="GK5">
        <v>10.416153660000001</v>
      </c>
      <c r="GL5">
        <v>1.457930368</v>
      </c>
      <c r="GM5">
        <v>0.18279243840000001</v>
      </c>
      <c r="GN5">
        <v>1.0256812909999999</v>
      </c>
      <c r="GO5">
        <v>2.0104378860000001</v>
      </c>
      <c r="GP5">
        <v>8.8286923819999998</v>
      </c>
      <c r="GQ5">
        <v>1.6899531889999999</v>
      </c>
      <c r="GR5">
        <v>5.2696380200000004</v>
      </c>
      <c r="GS5">
        <v>14.774686040000001</v>
      </c>
      <c r="GT5">
        <v>121.4383102</v>
      </c>
      <c r="GU5">
        <v>18.162201039999999</v>
      </c>
      <c r="GV5">
        <v>65.77364867</v>
      </c>
      <c r="GW5">
        <v>162.5605783</v>
      </c>
      <c r="GX5">
        <v>2.4854212439999999</v>
      </c>
      <c r="GY5">
        <v>0.36209827230000002</v>
      </c>
      <c r="GZ5">
        <v>1.4731039889999999</v>
      </c>
      <c r="HA5">
        <v>3.7527143710000002</v>
      </c>
      <c r="HB5">
        <v>2.5988078969999999</v>
      </c>
      <c r="HC5">
        <v>0.38356469599999998</v>
      </c>
      <c r="HD5">
        <v>1.7484075189999999</v>
      </c>
      <c r="HE5">
        <v>4.0618704289999998</v>
      </c>
      <c r="HF5">
        <v>5.0842291409999998</v>
      </c>
      <c r="HG5">
        <v>0.64737034869999999</v>
      </c>
      <c r="HH5">
        <v>3.4086461429999999</v>
      </c>
      <c r="HI5">
        <v>7.3333258570000002</v>
      </c>
      <c r="HJ5">
        <v>1.9081854300000001</v>
      </c>
      <c r="HK5">
        <v>0.23923237050000001</v>
      </c>
      <c r="HL5">
        <v>1.3176161719999999</v>
      </c>
      <c r="HM5">
        <v>2.9430201509999998</v>
      </c>
      <c r="HN5">
        <v>7.6926183840000002</v>
      </c>
      <c r="HO5">
        <v>1.1733220689999999</v>
      </c>
      <c r="HP5">
        <v>4.3371180000000003</v>
      </c>
      <c r="HQ5">
        <v>10.952396999999999</v>
      </c>
      <c r="HR5">
        <v>0.76219476350000004</v>
      </c>
      <c r="HS5">
        <v>9.574201148E-2</v>
      </c>
      <c r="HT5">
        <v>0.56800365860000002</v>
      </c>
      <c r="HU5">
        <v>1.0536471140000001</v>
      </c>
      <c r="HV5">
        <v>0.97629964859999996</v>
      </c>
      <c r="HW5">
        <v>0.12582176589999999</v>
      </c>
      <c r="HX5">
        <v>0.68778634900000002</v>
      </c>
      <c r="HY5">
        <v>1.37513413</v>
      </c>
      <c r="HZ5">
        <v>3.7516408399999999E-2</v>
      </c>
      <c r="IA5">
        <v>0.2072939791</v>
      </c>
      <c r="IB5">
        <v>-0.4938141399</v>
      </c>
      <c r="IC5">
        <v>0.80041426230000001</v>
      </c>
      <c r="ID5">
        <v>3.3948088200000002</v>
      </c>
      <c r="IE5">
        <v>0.44188901580000001</v>
      </c>
      <c r="IF5">
        <v>2.6361616300000001</v>
      </c>
      <c r="IG5">
        <v>4.9720053120000003</v>
      </c>
      <c r="IH5">
        <v>3.7621078959999998</v>
      </c>
      <c r="II5">
        <v>0.76325161070000003</v>
      </c>
      <c r="IJ5">
        <v>1.8847222749999999</v>
      </c>
      <c r="IK5">
        <v>6.3210595139999999</v>
      </c>
      <c r="IL5">
        <v>3.930510489</v>
      </c>
      <c r="IM5">
        <v>0.75864907189999997</v>
      </c>
      <c r="IN5">
        <v>2.4523957250000001</v>
      </c>
      <c r="IO5">
        <v>6.2693867150000004</v>
      </c>
      <c r="IP5">
        <v>7.2346645049999996</v>
      </c>
      <c r="IQ5">
        <v>1.0620824010000001</v>
      </c>
      <c r="IR5">
        <v>3.9187259999999999</v>
      </c>
      <c r="IS5">
        <v>10.103536999999999</v>
      </c>
      <c r="IT5">
        <v>5.6310988469999996</v>
      </c>
      <c r="IU5">
        <v>1.3790697949999999</v>
      </c>
      <c r="IV5">
        <v>2.4523299999999999</v>
      </c>
      <c r="IW5">
        <v>9.0344870000000004</v>
      </c>
      <c r="IX5">
        <v>8.2575150989999999E-2</v>
      </c>
      <c r="IY5">
        <v>1.317706494E-2</v>
      </c>
      <c r="IZ5">
        <v>5.8444467880000003E-2</v>
      </c>
      <c r="JA5">
        <v>0.1520365709</v>
      </c>
      <c r="JB5">
        <v>6.6835815099999998</v>
      </c>
      <c r="JC5">
        <v>0.72638180529999996</v>
      </c>
      <c r="JD5">
        <v>4.6853828579999997</v>
      </c>
      <c r="JE5">
        <v>9.2083755390000004</v>
      </c>
      <c r="JF5">
        <v>1.6837327550000001</v>
      </c>
      <c r="JG5">
        <v>1.4458610569999999</v>
      </c>
      <c r="JH5">
        <v>7.3873430190000006E-2</v>
      </c>
      <c r="JI5">
        <v>10.416153660000001</v>
      </c>
      <c r="JJ5">
        <v>1.457623543</v>
      </c>
      <c r="JK5">
        <v>0.18320705649999999</v>
      </c>
      <c r="JL5">
        <v>1.0271998600000001</v>
      </c>
      <c r="JM5">
        <v>2.0103328290000002</v>
      </c>
      <c r="JN5">
        <v>9.1411946739999994</v>
      </c>
      <c r="JO5">
        <v>1.6534204640000001</v>
      </c>
      <c r="JP5">
        <v>5.3411345800000003</v>
      </c>
      <c r="JQ5">
        <v>14.774686040000001</v>
      </c>
      <c r="JR5">
        <v>123.9227925</v>
      </c>
      <c r="JS5">
        <v>18.121054829999999</v>
      </c>
      <c r="JT5">
        <v>65.77364867</v>
      </c>
      <c r="JU5">
        <v>171.10259300000001</v>
      </c>
      <c r="JV5">
        <v>2.3877284689999998</v>
      </c>
      <c r="JW5">
        <v>0.54392810790000001</v>
      </c>
      <c r="JX5">
        <v>0.97947680609999999</v>
      </c>
      <c r="JY5">
        <v>4.5459660990000001</v>
      </c>
      <c r="JZ5">
        <v>2.8911197309999999</v>
      </c>
      <c r="KA5">
        <v>0.83513265729999997</v>
      </c>
      <c r="KB5">
        <v>1.253694807</v>
      </c>
      <c r="KC5">
        <v>5.4498247209999997</v>
      </c>
      <c r="KD5">
        <v>5.2788481999999997</v>
      </c>
      <c r="KE5">
        <v>1.1576730390000001</v>
      </c>
      <c r="KF5">
        <v>2.3060010000000002</v>
      </c>
      <c r="KG5">
        <v>9.0845190000000002</v>
      </c>
      <c r="KH5">
        <v>3.9303743629999999</v>
      </c>
      <c r="KI5">
        <v>1.3015527899999999</v>
      </c>
      <c r="KJ5">
        <v>1.5411786670000001</v>
      </c>
      <c r="KK5">
        <v>9.0845190000000002</v>
      </c>
      <c r="KL5">
        <v>5.2788481999999997</v>
      </c>
      <c r="KM5">
        <v>1.1576730390000001</v>
      </c>
      <c r="KN5">
        <v>2.3060010000000002</v>
      </c>
      <c r="KO5">
        <v>9.0845190000000002</v>
      </c>
      <c r="KP5">
        <v>1.097312799</v>
      </c>
      <c r="KQ5">
        <v>0.26809118119999997</v>
      </c>
      <c r="KR5">
        <v>0.51615585720000001</v>
      </c>
      <c r="KS5">
        <v>1.8581007979999999</v>
      </c>
      <c r="KT5">
        <v>1.335743334</v>
      </c>
      <c r="KU5">
        <v>0.3103459482</v>
      </c>
      <c r="KV5">
        <v>0.6702096488</v>
      </c>
      <c r="KW5">
        <v>2.2886375060000002</v>
      </c>
      <c r="KX5">
        <v>-0.2512348969</v>
      </c>
      <c r="KY5">
        <v>0.44291359860000001</v>
      </c>
      <c r="KZ5">
        <v>-1.7984259010000001</v>
      </c>
      <c r="LA5">
        <v>0.9019466813</v>
      </c>
      <c r="LB5">
        <v>2.5459862759999998</v>
      </c>
      <c r="LC5">
        <v>0.71948485640000004</v>
      </c>
      <c r="LD5">
        <v>1.5660930479999999</v>
      </c>
      <c r="LE5">
        <v>6.1985440509999998</v>
      </c>
      <c r="LF5">
        <v>1.9795645129999999</v>
      </c>
      <c r="LG5">
        <v>0.69857880260000005</v>
      </c>
      <c r="LH5">
        <v>0.55751999809999997</v>
      </c>
      <c r="LI5">
        <v>4.5802199840000002</v>
      </c>
      <c r="LJ5">
        <v>0.27046853329999998</v>
      </c>
      <c r="LK5">
        <v>5.4932468710000001E-2</v>
      </c>
      <c r="LL5">
        <v>0.12320245270000001</v>
      </c>
      <c r="LM5">
        <v>0.44021909970000001</v>
      </c>
      <c r="LN5">
        <v>18.969143169999999</v>
      </c>
      <c r="LO5">
        <v>9.2069090080000002</v>
      </c>
      <c r="LP5">
        <v>3.3171163199999998</v>
      </c>
      <c r="LQ5">
        <v>63.003095979999998</v>
      </c>
      <c r="LR5">
        <v>2.4062330059999999</v>
      </c>
      <c r="LS5">
        <v>0.68658829070000005</v>
      </c>
      <c r="LT5">
        <v>0.92572286869999998</v>
      </c>
      <c r="LU5">
        <v>4.3849404099999996</v>
      </c>
      <c r="LV5">
        <v>17.663628670000001</v>
      </c>
      <c r="LW5">
        <v>5.8585074229999998</v>
      </c>
      <c r="LX5">
        <v>0</v>
      </c>
      <c r="LY5">
        <v>32.99425033</v>
      </c>
      <c r="LZ5">
        <v>5.6359610699999996</v>
      </c>
      <c r="MA5">
        <v>1.933370316</v>
      </c>
      <c r="MB5">
        <v>2.1833012460000001</v>
      </c>
      <c r="MC5">
        <v>17.936576330000001</v>
      </c>
      <c r="MD5">
        <v>2.3751370770000002</v>
      </c>
      <c r="ME5">
        <v>0.53701934969999998</v>
      </c>
      <c r="MF5">
        <v>0.97947680609999999</v>
      </c>
      <c r="MG5">
        <v>4.4656676629999996</v>
      </c>
      <c r="MH5">
        <v>2.8364172750000001</v>
      </c>
      <c r="MI5">
        <v>0.75685904169999996</v>
      </c>
      <c r="MJ5">
        <v>1.2560158880000001</v>
      </c>
      <c r="MK5">
        <v>5.2847305310000001</v>
      </c>
      <c r="ML5">
        <v>5.2115543530000004</v>
      </c>
      <c r="MM5">
        <v>1.0722777240000001</v>
      </c>
      <c r="MN5">
        <v>2.3060010000000002</v>
      </c>
      <c r="MO5">
        <v>8.2981169999999995</v>
      </c>
      <c r="MP5">
        <v>3.8688355510000001</v>
      </c>
      <c r="MQ5">
        <v>1.2184917630000001</v>
      </c>
      <c r="MR5">
        <v>1.5411786670000001</v>
      </c>
      <c r="MS5">
        <v>8.2981169999999995</v>
      </c>
      <c r="MT5">
        <v>5.2115543530000004</v>
      </c>
      <c r="MU5">
        <v>1.0722777240000001</v>
      </c>
      <c r="MV5">
        <v>2.3060010000000002</v>
      </c>
      <c r="MW5">
        <v>8.2981169999999995</v>
      </c>
      <c r="MX5">
        <v>1.0902277309999999</v>
      </c>
      <c r="MY5">
        <v>0.26207899080000002</v>
      </c>
      <c r="MZ5">
        <v>0.51615585720000001</v>
      </c>
      <c r="NA5">
        <v>1.7878305029999999</v>
      </c>
      <c r="NB5">
        <v>1.324765089</v>
      </c>
      <c r="NC5">
        <v>0.29910973680000003</v>
      </c>
      <c r="ND5">
        <v>0.6702096488</v>
      </c>
      <c r="NE5">
        <v>2.187733556</v>
      </c>
      <c r="NF5">
        <v>-0.23894070940000001</v>
      </c>
      <c r="NG5">
        <v>0.43554585600000001</v>
      </c>
      <c r="NH5">
        <v>-1.8186873180000001</v>
      </c>
      <c r="NI5">
        <v>0.9015381831</v>
      </c>
      <c r="NJ5">
        <v>2.5218263209999998</v>
      </c>
      <c r="NK5">
        <v>0.69872189539999996</v>
      </c>
      <c r="NL5">
        <v>1.5660930479999999</v>
      </c>
      <c r="NM5">
        <v>6.2901780150000004</v>
      </c>
      <c r="NN5">
        <v>1.987742323</v>
      </c>
      <c r="NO5">
        <v>0.69171600970000002</v>
      </c>
      <c r="NP5">
        <v>0.84662999709999998</v>
      </c>
      <c r="NQ5">
        <v>4.578839984</v>
      </c>
      <c r="NR5">
        <v>0.26798437660000002</v>
      </c>
      <c r="NS5">
        <v>5.2870092959999997E-2</v>
      </c>
      <c r="NT5">
        <v>0.12320245270000001</v>
      </c>
      <c r="NU5">
        <v>0.41478049319999999</v>
      </c>
      <c r="NV5">
        <v>19.046537109999999</v>
      </c>
      <c r="NW5">
        <v>9.2097612180000006</v>
      </c>
      <c r="NX5">
        <v>3.2950022109999999</v>
      </c>
      <c r="NY5">
        <v>63.003095979999998</v>
      </c>
      <c r="NZ5">
        <v>2.3966276180000001</v>
      </c>
      <c r="OA5">
        <v>0.68006441049999999</v>
      </c>
      <c r="OB5">
        <v>0.92572286869999998</v>
      </c>
      <c r="OC5">
        <v>4.3382025070000001</v>
      </c>
      <c r="OD5">
        <v>17.815416030000002</v>
      </c>
      <c r="OE5">
        <v>5.799367309</v>
      </c>
      <c r="OF5">
        <v>0</v>
      </c>
      <c r="OG5">
        <v>32.99425033</v>
      </c>
      <c r="OH5">
        <v>5.5652521530000003</v>
      </c>
      <c r="OI5">
        <v>1.7006879800000001</v>
      </c>
      <c r="OJ5">
        <v>2.1839592639999998</v>
      </c>
      <c r="OK5">
        <v>11.811535190000001</v>
      </c>
      <c r="OL5">
        <v>1.7852291060000001</v>
      </c>
      <c r="OM5">
        <v>-0.35179667170000001</v>
      </c>
      <c r="ON5">
        <v>3.0411743470000001</v>
      </c>
      <c r="OO5">
        <v>6.0126189999999999</v>
      </c>
      <c r="OP5">
        <v>7.8591150000000001</v>
      </c>
      <c r="OQ5">
        <v>13.871734</v>
      </c>
      <c r="OR5">
        <v>1.4252243680000001</v>
      </c>
      <c r="OS5" s="2">
        <v>6.3774737709999997E-5</v>
      </c>
      <c r="OT5">
        <v>2.300058062E-3</v>
      </c>
      <c r="OU5" s="2">
        <v>6.3774737709999997E-5</v>
      </c>
      <c r="OV5">
        <v>1.636641339E-3</v>
      </c>
      <c r="OW5">
        <v>2.069585661E-3</v>
      </c>
      <c r="OX5">
        <v>2.3047240109999999E-4</v>
      </c>
      <c r="OY5">
        <v>4.5548772169999996</v>
      </c>
      <c r="OZ5">
        <v>1.204368664</v>
      </c>
      <c r="PA5">
        <v>2.0674852119999998</v>
      </c>
      <c r="PB5">
        <v>8.4433721689999999</v>
      </c>
      <c r="PC5">
        <v>88.351054410000003</v>
      </c>
      <c r="PD5">
        <v>1.7644737539999999</v>
      </c>
      <c r="PE5">
        <v>-0.30466169360000001</v>
      </c>
      <c r="PF5">
        <v>2.8308750699999998</v>
      </c>
      <c r="PG5">
        <v>5.4363770000000002</v>
      </c>
      <c r="PH5">
        <v>6.6320639999999997</v>
      </c>
      <c r="PI5">
        <v>12.068441</v>
      </c>
      <c r="PJ5">
        <v>1.416710938</v>
      </c>
      <c r="PK5" s="2">
        <v>6.1700037570000004E-5</v>
      </c>
      <c r="PL5">
        <v>2.2932091960000001E-3</v>
      </c>
      <c r="PM5" s="2">
        <v>6.1700037570000004E-5</v>
      </c>
      <c r="PN5">
        <v>1.6360469900000001E-3</v>
      </c>
      <c r="PO5">
        <v>2.0684830099999998E-3</v>
      </c>
      <c r="PP5">
        <v>2.247261859E-4</v>
      </c>
      <c r="PQ5">
        <v>4.5522013369999996</v>
      </c>
      <c r="PR5">
        <v>1.1564918</v>
      </c>
      <c r="PS5">
        <v>1.9701952199999999</v>
      </c>
      <c r="PT5">
        <v>8.4367626690000002</v>
      </c>
      <c r="PU5">
        <v>88.34865044</v>
      </c>
      <c r="PV5">
        <v>5.2046338800000003</v>
      </c>
      <c r="PW5">
        <v>1.0532293129999999</v>
      </c>
      <c r="PX5">
        <v>2.2360697690000002</v>
      </c>
      <c r="PY5">
        <v>8.8597365430000004</v>
      </c>
      <c r="PZ5">
        <v>88.870746389999994</v>
      </c>
      <c r="QA5">
        <v>5.2026493690000004</v>
      </c>
      <c r="QB5">
        <v>1.0092137619999999</v>
      </c>
      <c r="QC5">
        <v>2.125128862</v>
      </c>
      <c r="QD5">
        <v>8.8582666809999999</v>
      </c>
      <c r="QE5">
        <v>88.885175680000003</v>
      </c>
      <c r="QF5" s="2">
        <v>5.6990644639999999E-5</v>
      </c>
      <c r="QG5">
        <v>1.8644623280000001E-3</v>
      </c>
      <c r="QH5">
        <v>2.398130672E-3</v>
      </c>
      <c r="QI5">
        <v>2.51455607E-4</v>
      </c>
      <c r="QJ5" s="2">
        <v>5.4993493579999999E-5</v>
      </c>
      <c r="QK5">
        <v>1.8638452560000001E-3</v>
      </c>
      <c r="QL5">
        <v>2.3972607440000001E-3</v>
      </c>
      <c r="QM5">
        <v>2.4508626859999998E-4</v>
      </c>
      <c r="QN5">
        <v>14.175454849999999</v>
      </c>
      <c r="QO5">
        <v>2.5451213059999998E-2</v>
      </c>
      <c r="QP5">
        <v>5.4558692280000001</v>
      </c>
      <c r="QQ5">
        <v>174.78158680000001</v>
      </c>
      <c r="QR5">
        <v>14.136505720000001</v>
      </c>
      <c r="QS5">
        <v>2.422551798E-2</v>
      </c>
      <c r="QT5">
        <v>5.4561747340000002</v>
      </c>
      <c r="QU5">
        <v>174.78059519999999</v>
      </c>
    </row>
    <row r="6" spans="1:463" x14ac:dyDescent="0.2">
      <c r="A6" t="s">
        <v>277</v>
      </c>
      <c r="B6" s="2">
        <v>1.0243047409999999E-11</v>
      </c>
      <c r="C6" s="2">
        <v>1.0008998830000001E-11</v>
      </c>
      <c r="D6">
        <v>6.2892809569999999E-2</v>
      </c>
      <c r="E6">
        <v>0.1098934012</v>
      </c>
      <c r="F6">
        <v>0.50824245970000004</v>
      </c>
      <c r="G6">
        <v>0.1931975621</v>
      </c>
      <c r="H6">
        <v>0.33757654269999998</v>
      </c>
      <c r="I6">
        <v>1.561246903</v>
      </c>
      <c r="J6">
        <v>32.490732029999997</v>
      </c>
      <c r="K6">
        <v>32.553624839999998</v>
      </c>
      <c r="L6">
        <v>32.553624839999998</v>
      </c>
      <c r="M6">
        <v>32.553624839999998</v>
      </c>
      <c r="N6">
        <v>32.443731440000001</v>
      </c>
      <c r="O6">
        <v>32.553624839999998</v>
      </c>
      <c r="P6">
        <v>32.04538238</v>
      </c>
      <c r="Q6">
        <v>32.553624839999998</v>
      </c>
      <c r="R6">
        <v>4.2939965549999997</v>
      </c>
      <c r="S6">
        <v>0.59260718560000003</v>
      </c>
      <c r="T6">
        <v>2.8745329989999999</v>
      </c>
      <c r="U6">
        <v>6.2153806559999998</v>
      </c>
      <c r="V6">
        <v>6.2516594349999997</v>
      </c>
      <c r="W6">
        <v>1.1228191999999999</v>
      </c>
      <c r="X6">
        <v>3.8031926920000001</v>
      </c>
      <c r="Y6">
        <v>8.4334704439999992</v>
      </c>
      <c r="Z6">
        <v>10.54565599</v>
      </c>
      <c r="AA6">
        <v>1.3117872909999999</v>
      </c>
      <c r="AB6">
        <v>7.4352989999999997</v>
      </c>
      <c r="AC6">
        <v>12.555880999999999</v>
      </c>
      <c r="AD6">
        <v>3.0019590909999998</v>
      </c>
      <c r="AE6">
        <v>0.52940133339999995</v>
      </c>
      <c r="AF6">
        <v>1.927322172</v>
      </c>
      <c r="AG6">
        <v>4.8035804669999997</v>
      </c>
      <c r="AH6">
        <v>10.54565599</v>
      </c>
      <c r="AI6">
        <v>1.3117872909999999</v>
      </c>
      <c r="AJ6">
        <v>7.4352989999999997</v>
      </c>
      <c r="AK6">
        <v>12.555880999999999</v>
      </c>
      <c r="AL6">
        <v>1.5933827309999999</v>
      </c>
      <c r="AM6">
        <v>0.27368621269999999</v>
      </c>
      <c r="AN6">
        <v>0.99675349479999997</v>
      </c>
      <c r="AO6">
        <v>2.3790596480000001</v>
      </c>
      <c r="AP6">
        <v>1.9672595319999999</v>
      </c>
      <c r="AQ6">
        <v>0.31414691140000001</v>
      </c>
      <c r="AR6">
        <v>1.2018614620000001</v>
      </c>
      <c r="AS6">
        <v>2.7197621939999999</v>
      </c>
      <c r="AT6">
        <v>-0.2657974971</v>
      </c>
      <c r="AU6">
        <v>0.359369724</v>
      </c>
      <c r="AV6">
        <v>-1.785693524</v>
      </c>
      <c r="AW6">
        <v>0.437400395</v>
      </c>
      <c r="AX6">
        <v>2.8243852230000002</v>
      </c>
      <c r="AY6">
        <v>0.65302127980000002</v>
      </c>
      <c r="AZ6">
        <v>1.7623058460000001</v>
      </c>
      <c r="BA6">
        <v>6.6464537229999996</v>
      </c>
      <c r="BB6">
        <v>0.18264962840000001</v>
      </c>
      <c r="BC6">
        <v>5.9439788020000002E-2</v>
      </c>
      <c r="BD6">
        <v>8.7640952080000001E-2</v>
      </c>
      <c r="BE6">
        <v>0.46919999839999998</v>
      </c>
      <c r="BF6">
        <v>7.695006813</v>
      </c>
      <c r="BG6">
        <v>0.83762673929999998</v>
      </c>
      <c r="BH6">
        <v>5.5812330169999997</v>
      </c>
      <c r="BI6">
        <v>10.25179462</v>
      </c>
      <c r="BJ6">
        <v>3.9994246919999998</v>
      </c>
      <c r="BK6">
        <v>2.3129188300000001</v>
      </c>
      <c r="BL6">
        <v>0.37593984959999999</v>
      </c>
      <c r="BM6">
        <v>11.61358021</v>
      </c>
      <c r="BN6">
        <v>3.4335041510000002</v>
      </c>
      <c r="BO6">
        <v>0.68907075090000003</v>
      </c>
      <c r="BP6">
        <v>1.9711386639999999</v>
      </c>
      <c r="BQ6">
        <v>5.6999533119999999</v>
      </c>
      <c r="BR6">
        <v>59.75229435</v>
      </c>
      <c r="BS6">
        <v>16.942689869999999</v>
      </c>
      <c r="BT6">
        <v>21.31287305</v>
      </c>
      <c r="BU6">
        <v>114.10190969999999</v>
      </c>
      <c r="BV6">
        <v>3.9710088080000001</v>
      </c>
      <c r="BW6">
        <v>0.52781941990000003</v>
      </c>
      <c r="BX6">
        <v>2.829672891</v>
      </c>
      <c r="BY6">
        <v>5.539904913</v>
      </c>
      <c r="BZ6">
        <v>5.466347807</v>
      </c>
      <c r="CA6">
        <v>0.59755490909999998</v>
      </c>
      <c r="CB6">
        <v>3.8031926920000001</v>
      </c>
      <c r="CC6">
        <v>6.7972205209999998</v>
      </c>
      <c r="CD6">
        <v>9.4373566160000006</v>
      </c>
      <c r="CE6">
        <v>0.62585816380000003</v>
      </c>
      <c r="CF6">
        <v>7.4352989999999997</v>
      </c>
      <c r="CG6">
        <v>9.9942550000000008</v>
      </c>
      <c r="CH6">
        <v>2.8649188130000001</v>
      </c>
      <c r="CI6">
        <v>0.4524391022</v>
      </c>
      <c r="CJ6">
        <v>1.927322172</v>
      </c>
      <c r="CK6">
        <v>4.5991358670000002</v>
      </c>
      <c r="CL6">
        <v>9.4373566160000006</v>
      </c>
      <c r="CM6">
        <v>0.62585816380000003</v>
      </c>
      <c r="CN6">
        <v>7.4352989999999997</v>
      </c>
      <c r="CO6">
        <v>9.9942550000000008</v>
      </c>
      <c r="CP6">
        <v>1.5825288559999999</v>
      </c>
      <c r="CQ6">
        <v>0.2672030185</v>
      </c>
      <c r="CR6">
        <v>0.99600633159999996</v>
      </c>
      <c r="CS6">
        <v>2.3697514740000001</v>
      </c>
      <c r="CT6">
        <v>1.9433456549999999</v>
      </c>
      <c r="CU6">
        <v>0.2970329766</v>
      </c>
      <c r="CV6">
        <v>1.2018614620000001</v>
      </c>
      <c r="CW6">
        <v>2.6947868430000002</v>
      </c>
      <c r="CX6">
        <v>-0.2317443622</v>
      </c>
      <c r="CY6">
        <v>0.33269348430000001</v>
      </c>
      <c r="CZ6">
        <v>-1.575912481</v>
      </c>
      <c r="DA6">
        <v>0.42902051050000001</v>
      </c>
      <c r="DB6">
        <v>2.6746253640000002</v>
      </c>
      <c r="DC6">
        <v>0.53581189340000002</v>
      </c>
      <c r="DD6">
        <v>1.7269661160000001</v>
      </c>
      <c r="DE6">
        <v>5.5771747290000002</v>
      </c>
      <c r="DF6">
        <v>0.174444031</v>
      </c>
      <c r="DG6">
        <v>5.4514031239999997E-2</v>
      </c>
      <c r="DH6">
        <v>8.4944307400000002E-2</v>
      </c>
      <c r="DI6">
        <v>0.39109199859999999</v>
      </c>
      <c r="DJ6">
        <v>7.6402974669999999</v>
      </c>
      <c r="DK6">
        <v>0.8201554593</v>
      </c>
      <c r="DL6">
        <v>5.5812330169999997</v>
      </c>
      <c r="DM6">
        <v>10.11805245</v>
      </c>
      <c r="DN6">
        <v>6.7231576159999999</v>
      </c>
      <c r="DO6">
        <v>3.1234857389999999</v>
      </c>
      <c r="DP6">
        <v>0.70765148160000002</v>
      </c>
      <c r="DQ6">
        <v>16.076957100000001</v>
      </c>
      <c r="DR6">
        <v>3.4315906470000002</v>
      </c>
      <c r="DS6">
        <v>0.68874334130000003</v>
      </c>
      <c r="DT6">
        <v>1.9711386639999999</v>
      </c>
      <c r="DU6">
        <v>5.6990049819999999</v>
      </c>
      <c r="DV6">
        <v>62.214787680000001</v>
      </c>
      <c r="DW6">
        <v>17.104397250000002</v>
      </c>
      <c r="DX6">
        <v>25.56943132</v>
      </c>
      <c r="DY6">
        <v>117.7241925</v>
      </c>
      <c r="DZ6">
        <v>2.6706857990000001</v>
      </c>
      <c r="EA6">
        <v>0.40704405160000001</v>
      </c>
      <c r="EB6">
        <v>1.586539079</v>
      </c>
      <c r="EC6">
        <v>4.0530750700000002</v>
      </c>
      <c r="ED6">
        <v>3.0203437970000002</v>
      </c>
      <c r="EE6">
        <v>0.45658377249999998</v>
      </c>
      <c r="EF6">
        <v>2.03537503</v>
      </c>
      <c r="EG6">
        <v>4.7551285510000003</v>
      </c>
      <c r="EH6">
        <v>5.6910295959999999</v>
      </c>
      <c r="EI6">
        <v>0.7645789838</v>
      </c>
      <c r="EJ6">
        <v>3.900865</v>
      </c>
      <c r="EK6">
        <v>8.221985857</v>
      </c>
      <c r="EL6">
        <v>2.1394198750000002</v>
      </c>
      <c r="EM6">
        <v>0.27071747200000001</v>
      </c>
      <c r="EN6">
        <v>1.544697805</v>
      </c>
      <c r="EO6">
        <v>3.0559003229999999</v>
      </c>
      <c r="EP6">
        <v>8.6863530529999995</v>
      </c>
      <c r="EQ6">
        <v>1.492959106</v>
      </c>
      <c r="ER6">
        <v>4.821726</v>
      </c>
      <c r="ES6">
        <v>12.390907</v>
      </c>
      <c r="ET6">
        <v>0.82519232939999998</v>
      </c>
      <c r="EU6">
        <v>0.10393759230000001</v>
      </c>
      <c r="EV6">
        <v>0.60905027720000005</v>
      </c>
      <c r="EW6">
        <v>1.1712901309999999</v>
      </c>
      <c r="EX6">
        <v>1.0618091279999999</v>
      </c>
      <c r="EY6">
        <v>0.13695515720000001</v>
      </c>
      <c r="EZ6">
        <v>0.74828978729999995</v>
      </c>
      <c r="FA6">
        <v>1.5471606609999999</v>
      </c>
      <c r="FB6">
        <v>-7.7884617069999995E-2</v>
      </c>
      <c r="FC6">
        <v>0.2071682812</v>
      </c>
      <c r="FD6">
        <v>-0.54857984260000003</v>
      </c>
      <c r="FE6">
        <v>0.6249277768</v>
      </c>
      <c r="FF6">
        <v>3.4992144700000001</v>
      </c>
      <c r="FG6">
        <v>0.45517752280000001</v>
      </c>
      <c r="FH6">
        <v>2.6126803650000001</v>
      </c>
      <c r="FI6">
        <v>5.4501190089999998</v>
      </c>
      <c r="FJ6">
        <v>4.0557571120000002</v>
      </c>
      <c r="FK6">
        <v>0.83664554540000002</v>
      </c>
      <c r="FL6">
        <v>1.943680793</v>
      </c>
      <c r="FM6">
        <v>6.5832906409999996</v>
      </c>
      <c r="FN6">
        <v>4.6305959400000001</v>
      </c>
      <c r="FO6">
        <v>1.0158151200000001</v>
      </c>
      <c r="FP6">
        <v>2.798747498</v>
      </c>
      <c r="FQ6">
        <v>7.8041689319999996</v>
      </c>
      <c r="FR6">
        <v>8.1946805049999991</v>
      </c>
      <c r="FS6">
        <v>1.415730757</v>
      </c>
      <c r="FT6">
        <v>4.3387200000000004</v>
      </c>
      <c r="FU6">
        <v>11.767516000000001</v>
      </c>
      <c r="FV6">
        <v>6.3450248580000004</v>
      </c>
      <c r="FW6">
        <v>1.7719482099999999</v>
      </c>
      <c r="FX6">
        <v>2.6175679999999999</v>
      </c>
      <c r="FY6">
        <v>11.567386000000001</v>
      </c>
      <c r="FZ6">
        <v>8.0097046719999995E-2</v>
      </c>
      <c r="GA6">
        <v>1.167327978E-2</v>
      </c>
      <c r="GB6">
        <v>5.9755483659999997E-2</v>
      </c>
      <c r="GC6">
        <v>0.1140408507</v>
      </c>
      <c r="GD6">
        <v>7.5241516620000004</v>
      </c>
      <c r="GE6">
        <v>0.8356717535</v>
      </c>
      <c r="GF6">
        <v>5.4948555109999999</v>
      </c>
      <c r="GG6">
        <v>10.325369</v>
      </c>
      <c r="GH6">
        <v>1.3443380300000001</v>
      </c>
      <c r="GI6">
        <v>1.33367594</v>
      </c>
      <c r="GJ6">
        <v>4.9248953460000001E-2</v>
      </c>
      <c r="GK6">
        <v>10.365578299999999</v>
      </c>
      <c r="GL6">
        <v>1.580238316</v>
      </c>
      <c r="GM6">
        <v>0.20120364700000001</v>
      </c>
      <c r="GN6">
        <v>1.1360973910000001</v>
      </c>
      <c r="GO6">
        <v>2.1952035630000002</v>
      </c>
      <c r="GP6">
        <v>8.4499972260000007</v>
      </c>
      <c r="GQ6">
        <v>1.7007678399999999</v>
      </c>
      <c r="GR6">
        <v>4.826397439</v>
      </c>
      <c r="GS6">
        <v>14.55306575</v>
      </c>
      <c r="GT6">
        <v>127.42922969999999</v>
      </c>
      <c r="GU6">
        <v>17.93637725</v>
      </c>
      <c r="GV6">
        <v>87.687876239999994</v>
      </c>
      <c r="GW6">
        <v>167.348658</v>
      </c>
      <c r="GX6">
        <v>2.608597622</v>
      </c>
      <c r="GY6">
        <v>0.38402848950000001</v>
      </c>
      <c r="GZ6">
        <v>1.586539079</v>
      </c>
      <c r="HA6">
        <v>3.8700041999999999</v>
      </c>
      <c r="HB6">
        <v>2.9094317859999999</v>
      </c>
      <c r="HC6">
        <v>0.39489014909999998</v>
      </c>
      <c r="HD6">
        <v>2.03537503</v>
      </c>
      <c r="HE6">
        <v>4.3470959709999999</v>
      </c>
      <c r="HF6">
        <v>5.5180294080000003</v>
      </c>
      <c r="HG6">
        <v>0.67593993649999995</v>
      </c>
      <c r="HH6">
        <v>3.900865</v>
      </c>
      <c r="HI6">
        <v>7.7955478569999999</v>
      </c>
      <c r="HJ6">
        <v>2.0871461710000001</v>
      </c>
      <c r="HK6">
        <v>0.25030819059999998</v>
      </c>
      <c r="HL6">
        <v>1.54303177</v>
      </c>
      <c r="HM6">
        <v>2.9098235689999998</v>
      </c>
      <c r="HN6">
        <v>8.1969176580000003</v>
      </c>
      <c r="HO6">
        <v>1.2220659869999999</v>
      </c>
      <c r="HP6">
        <v>4.821726</v>
      </c>
      <c r="HQ6">
        <v>11.342618</v>
      </c>
      <c r="HR6">
        <v>0.81795185560000006</v>
      </c>
      <c r="HS6">
        <v>0.10040134489999999</v>
      </c>
      <c r="HT6">
        <v>0.60905027720000005</v>
      </c>
      <c r="HU6">
        <v>1.149989988</v>
      </c>
      <c r="HV6">
        <v>1.0473204169999999</v>
      </c>
      <c r="HW6">
        <v>0.129653822</v>
      </c>
      <c r="HX6">
        <v>0.74828978729999995</v>
      </c>
      <c r="HY6">
        <v>1.504146443</v>
      </c>
      <c r="HZ6">
        <v>-6.3890574869999994E-2</v>
      </c>
      <c r="IA6">
        <v>0.20415664389999999</v>
      </c>
      <c r="IB6">
        <v>-0.56302138580000005</v>
      </c>
      <c r="IC6">
        <v>0.672243064</v>
      </c>
      <c r="ID6">
        <v>3.4064900769999999</v>
      </c>
      <c r="IE6">
        <v>0.43568210439999999</v>
      </c>
      <c r="IF6">
        <v>2.6126803650000001</v>
      </c>
      <c r="IG6">
        <v>5.3992322499999998</v>
      </c>
      <c r="IH6">
        <v>3.8979461209999999</v>
      </c>
      <c r="II6">
        <v>0.78820644289999997</v>
      </c>
      <c r="IJ6">
        <v>1.943680793</v>
      </c>
      <c r="IK6">
        <v>6.4563169140000003</v>
      </c>
      <c r="IL6">
        <v>4.2989715369999999</v>
      </c>
      <c r="IM6">
        <v>0.79224273410000001</v>
      </c>
      <c r="IN6">
        <v>2.798747498</v>
      </c>
      <c r="IO6">
        <v>6.4880596769999999</v>
      </c>
      <c r="IP6">
        <v>7.7058249109999997</v>
      </c>
      <c r="IQ6">
        <v>1.089866368</v>
      </c>
      <c r="IR6">
        <v>4.3387200000000004</v>
      </c>
      <c r="IS6">
        <v>10.898911</v>
      </c>
      <c r="IT6">
        <v>6.0991903680000004</v>
      </c>
      <c r="IU6">
        <v>1.4762306059999999</v>
      </c>
      <c r="IV6">
        <v>2.6175660000000001</v>
      </c>
      <c r="IW6">
        <v>9.3992090000000008</v>
      </c>
      <c r="IX6">
        <v>7.8416372779999993E-2</v>
      </c>
      <c r="IY6">
        <v>1.1316868549999999E-2</v>
      </c>
      <c r="IZ6">
        <v>5.9755483659999997E-2</v>
      </c>
      <c r="JA6">
        <v>0.1140408507</v>
      </c>
      <c r="JB6">
        <v>7.4803925209999997</v>
      </c>
      <c r="JC6">
        <v>0.81876002560000005</v>
      </c>
      <c r="JD6">
        <v>5.4948555109999999</v>
      </c>
      <c r="JE6">
        <v>10.223827399999999</v>
      </c>
      <c r="JF6">
        <v>1.5693422370000001</v>
      </c>
      <c r="JG6">
        <v>1.418114409</v>
      </c>
      <c r="JH6">
        <v>4.9248953460000001E-2</v>
      </c>
      <c r="JI6">
        <v>10.365578299999999</v>
      </c>
      <c r="JJ6">
        <v>1.579377037</v>
      </c>
      <c r="JK6">
        <v>0.20122340720000001</v>
      </c>
      <c r="JL6">
        <v>1.135992428</v>
      </c>
      <c r="JM6">
        <v>2.1945014879999998</v>
      </c>
      <c r="JN6">
        <v>8.8227897449999997</v>
      </c>
      <c r="JO6">
        <v>1.701528124</v>
      </c>
      <c r="JP6">
        <v>4.9987687760000004</v>
      </c>
      <c r="JQ6">
        <v>14.55306575</v>
      </c>
      <c r="JR6">
        <v>130.08008570000001</v>
      </c>
      <c r="JS6">
        <v>17.935580770000001</v>
      </c>
      <c r="JT6">
        <v>87.687876239999994</v>
      </c>
      <c r="JU6">
        <v>167.348658</v>
      </c>
      <c r="JV6">
        <v>2.4246908220000001</v>
      </c>
      <c r="JW6">
        <v>0.54485830280000003</v>
      </c>
      <c r="JX6">
        <v>0.96568808289999997</v>
      </c>
      <c r="JY6">
        <v>4.315220289</v>
      </c>
      <c r="JZ6">
        <v>2.950797568</v>
      </c>
      <c r="KA6">
        <v>0.86459154989999998</v>
      </c>
      <c r="KB6">
        <v>1.285856917</v>
      </c>
      <c r="KC6">
        <v>5.5842026550000003</v>
      </c>
      <c r="KD6">
        <v>5.375488389</v>
      </c>
      <c r="KE6">
        <v>1.1760934190000001</v>
      </c>
      <c r="KF6">
        <v>2.2515450000000001</v>
      </c>
      <c r="KG6">
        <v>8.9863459999999993</v>
      </c>
      <c r="KH6">
        <v>3.9947030039999998</v>
      </c>
      <c r="KI6">
        <v>1.3107915539999999</v>
      </c>
      <c r="KJ6">
        <v>1.5238430000000001</v>
      </c>
      <c r="KK6">
        <v>8.9863459999999993</v>
      </c>
      <c r="KL6">
        <v>5.375488389</v>
      </c>
      <c r="KM6">
        <v>1.1760934190000001</v>
      </c>
      <c r="KN6">
        <v>2.2515450000000001</v>
      </c>
      <c r="KO6">
        <v>8.9863459999999993</v>
      </c>
      <c r="KP6">
        <v>1.1208139180000001</v>
      </c>
      <c r="KQ6">
        <v>0.27135951120000001</v>
      </c>
      <c r="KR6">
        <v>0.52821085540000001</v>
      </c>
      <c r="KS6">
        <v>1.8534786240000001</v>
      </c>
      <c r="KT6">
        <v>1.363864967</v>
      </c>
      <c r="KU6">
        <v>0.31475342239999998</v>
      </c>
      <c r="KV6">
        <v>0.68777991220000001</v>
      </c>
      <c r="KW6">
        <v>2.2864940219999998</v>
      </c>
      <c r="KX6">
        <v>-0.25079805840000002</v>
      </c>
      <c r="KY6">
        <v>0.4471151371</v>
      </c>
      <c r="KZ6">
        <v>-1.8518135149999999</v>
      </c>
      <c r="LA6">
        <v>0.93279192209999995</v>
      </c>
      <c r="LB6">
        <v>2.5383728240000001</v>
      </c>
      <c r="LC6">
        <v>0.70565567770000004</v>
      </c>
      <c r="LD6">
        <v>1.5868855980000001</v>
      </c>
      <c r="LE6">
        <v>6.1916117679999996</v>
      </c>
      <c r="LF6">
        <v>2.0091565939999998</v>
      </c>
      <c r="LG6">
        <v>0.73943057509999999</v>
      </c>
      <c r="LH6">
        <v>0.8497349971</v>
      </c>
      <c r="LI6">
        <v>4.5815999840000003</v>
      </c>
      <c r="LJ6">
        <v>0.27676677519999998</v>
      </c>
      <c r="LK6">
        <v>5.5816310500000001E-2</v>
      </c>
      <c r="LL6">
        <v>0.12497814610000001</v>
      </c>
      <c r="LM6">
        <v>0.4448389633</v>
      </c>
      <c r="LN6">
        <v>18.71253982</v>
      </c>
      <c r="LO6">
        <v>9.1025259100000007</v>
      </c>
      <c r="LP6">
        <v>3.427686864</v>
      </c>
      <c r="LQ6">
        <v>63.056052340000001</v>
      </c>
      <c r="LR6">
        <v>2.4567438300000002</v>
      </c>
      <c r="LS6">
        <v>0.69800412320000005</v>
      </c>
      <c r="LT6">
        <v>0.97672448450000005</v>
      </c>
      <c r="LU6">
        <v>4.4008124970000004</v>
      </c>
      <c r="LV6">
        <v>17.875345379999999</v>
      </c>
      <c r="LW6">
        <v>5.851461306</v>
      </c>
      <c r="LX6">
        <v>1.4864942640000001</v>
      </c>
      <c r="LY6">
        <v>32.529854049999997</v>
      </c>
      <c r="LZ6">
        <v>5.5524590399999996</v>
      </c>
      <c r="MA6">
        <v>1.7325683999999999</v>
      </c>
      <c r="MB6">
        <v>2.1826436249999999</v>
      </c>
      <c r="MC6">
        <v>11.76837489</v>
      </c>
      <c r="MD6">
        <v>2.40979242</v>
      </c>
      <c r="ME6">
        <v>0.53787093580000001</v>
      </c>
      <c r="MF6">
        <v>0.96568808289999997</v>
      </c>
      <c r="MG6">
        <v>4.2562636579999999</v>
      </c>
      <c r="MH6">
        <v>2.8911432800000001</v>
      </c>
      <c r="MI6">
        <v>0.78338992230000004</v>
      </c>
      <c r="MJ6">
        <v>1.285856917</v>
      </c>
      <c r="MK6">
        <v>5.3585524480000002</v>
      </c>
      <c r="ML6">
        <v>5.3009357000000001</v>
      </c>
      <c r="MM6">
        <v>1.0891196999999999</v>
      </c>
      <c r="MN6">
        <v>2.2515450000000001</v>
      </c>
      <c r="MO6">
        <v>8.3105530000000005</v>
      </c>
      <c r="MP6">
        <v>3.938869172</v>
      </c>
      <c r="MQ6">
        <v>1.23383558</v>
      </c>
      <c r="MR6">
        <v>1.5238430000000001</v>
      </c>
      <c r="MS6">
        <v>7.8775019999999998</v>
      </c>
      <c r="MT6">
        <v>5.3009357000000001</v>
      </c>
      <c r="MU6">
        <v>1.0891196999999999</v>
      </c>
      <c r="MV6">
        <v>2.2515450000000001</v>
      </c>
      <c r="MW6">
        <v>8.3105530000000005</v>
      </c>
      <c r="MX6">
        <v>1.1122288929999999</v>
      </c>
      <c r="MY6">
        <v>0.26498355239999999</v>
      </c>
      <c r="MZ6">
        <v>0.52821085540000001</v>
      </c>
      <c r="NA6">
        <v>1.793100417</v>
      </c>
      <c r="NB6">
        <v>1.3509895590000001</v>
      </c>
      <c r="NC6">
        <v>0.30323813249999998</v>
      </c>
      <c r="ND6">
        <v>0.68777991220000001</v>
      </c>
      <c r="NE6">
        <v>2.1965870249999999</v>
      </c>
      <c r="NF6">
        <v>-0.23773863549999999</v>
      </c>
      <c r="NG6">
        <v>0.43956119090000001</v>
      </c>
      <c r="NH6">
        <v>-1.885193723</v>
      </c>
      <c r="NI6">
        <v>0.93121186629999997</v>
      </c>
      <c r="NJ6">
        <v>2.5141435009999999</v>
      </c>
      <c r="NK6">
        <v>0.68635040319999996</v>
      </c>
      <c r="NL6">
        <v>1.5868801749999999</v>
      </c>
      <c r="NM6">
        <v>6.3544689219999997</v>
      </c>
      <c r="NN6">
        <v>2.014744431</v>
      </c>
      <c r="NO6">
        <v>0.73641711889999995</v>
      </c>
      <c r="NP6">
        <v>0.8497349971</v>
      </c>
      <c r="NQ6">
        <v>4.5815999840000003</v>
      </c>
      <c r="NR6">
        <v>0.27389876489999998</v>
      </c>
      <c r="NS6">
        <v>5.3762546969999998E-2</v>
      </c>
      <c r="NT6">
        <v>0.12497814610000001</v>
      </c>
      <c r="NU6">
        <v>0.42396240419999998</v>
      </c>
      <c r="NV6">
        <v>18.825872319999998</v>
      </c>
      <c r="NW6">
        <v>9.0883284440000001</v>
      </c>
      <c r="NX6">
        <v>3.4055727550000001</v>
      </c>
      <c r="NY6">
        <v>63.056052340000001</v>
      </c>
      <c r="NZ6">
        <v>2.4437305560000002</v>
      </c>
      <c r="OA6">
        <v>0.68995815900000002</v>
      </c>
      <c r="OB6">
        <v>0.97415059439999996</v>
      </c>
      <c r="OC6">
        <v>4.3372571879999997</v>
      </c>
      <c r="OD6">
        <v>18.026870079999998</v>
      </c>
      <c r="OE6">
        <v>5.7832223169999999</v>
      </c>
      <c r="OF6">
        <v>2.0344980100000001</v>
      </c>
      <c r="OG6">
        <v>32.529854049999997</v>
      </c>
      <c r="OH6">
        <v>5.5298136820000003</v>
      </c>
      <c r="OI6">
        <v>1.718393775</v>
      </c>
      <c r="OJ6">
        <v>2.1826436249999999</v>
      </c>
      <c r="OK6">
        <v>11.76837489</v>
      </c>
      <c r="OL6">
        <v>1.854752524</v>
      </c>
      <c r="OM6">
        <v>-0.39014919460000003</v>
      </c>
      <c r="ON6">
        <v>3.109959806</v>
      </c>
      <c r="OO6">
        <v>6.1269289999999996</v>
      </c>
      <c r="OP6">
        <v>8.3902719999999995</v>
      </c>
      <c r="OQ6">
        <v>14.517201</v>
      </c>
      <c r="OR6">
        <v>1.478606863</v>
      </c>
      <c r="OS6" s="2">
        <v>6.4848323520000001E-5</v>
      </c>
      <c r="OT6">
        <v>2.3764282450000002E-3</v>
      </c>
      <c r="OU6" s="2">
        <v>6.4848323520000001E-5</v>
      </c>
      <c r="OV6">
        <v>1.696403641E-3</v>
      </c>
      <c r="OW6">
        <v>2.1334793590000001E-3</v>
      </c>
      <c r="OX6">
        <v>2.4294888610000001E-4</v>
      </c>
      <c r="OY6">
        <v>4.7152196369999997</v>
      </c>
      <c r="OZ6">
        <v>1.217466208</v>
      </c>
      <c r="PA6">
        <v>2.197714392</v>
      </c>
      <c r="PB6">
        <v>8.2670977319999999</v>
      </c>
      <c r="PC6">
        <v>88.209329120000007</v>
      </c>
      <c r="PD6">
        <v>1.830008093</v>
      </c>
      <c r="PE6">
        <v>-0.33217808040000002</v>
      </c>
      <c r="PF6">
        <v>2.8549167940000002</v>
      </c>
      <c r="PG6">
        <v>5.604222</v>
      </c>
      <c r="PH6">
        <v>6.9454010000000004</v>
      </c>
      <c r="PI6">
        <v>12.549623</v>
      </c>
      <c r="PJ6">
        <v>1.4685798109999999</v>
      </c>
      <c r="PK6" s="2">
        <v>6.25950347E-5</v>
      </c>
      <c r="PL6">
        <v>2.3683744680000002E-3</v>
      </c>
      <c r="PM6" s="2">
        <v>6.25950347E-5</v>
      </c>
      <c r="PN6">
        <v>1.695805067E-3</v>
      </c>
      <c r="PO6">
        <v>2.132435933E-3</v>
      </c>
      <c r="PP6">
        <v>2.3593853480000001E-4</v>
      </c>
      <c r="PQ6">
        <v>4.7115421130000001</v>
      </c>
      <c r="PR6">
        <v>1.163986867</v>
      </c>
      <c r="PS6">
        <v>2.0835825209999999</v>
      </c>
      <c r="PT6">
        <v>8.2759060990000002</v>
      </c>
      <c r="PU6">
        <v>88.221207590000006</v>
      </c>
      <c r="PV6">
        <v>5.3793308729999998</v>
      </c>
      <c r="PW6">
        <v>1.0567060029999999</v>
      </c>
      <c r="PX6">
        <v>2.3581236300000001</v>
      </c>
      <c r="PY6">
        <v>8.5886511189999997</v>
      </c>
      <c r="PZ6">
        <v>88.786663770000004</v>
      </c>
      <c r="QA6">
        <v>5.3774728830000003</v>
      </c>
      <c r="QB6">
        <v>1.007024022</v>
      </c>
      <c r="QC6">
        <v>2.225746553</v>
      </c>
      <c r="QD6">
        <v>8.5965532679999992</v>
      </c>
      <c r="QE6">
        <v>88.803756079999999</v>
      </c>
      <c r="QF6" s="2">
        <v>5.792862624E-5</v>
      </c>
      <c r="QG6">
        <v>1.9243508949999999E-3</v>
      </c>
      <c r="QH6">
        <v>2.4609631050000001E-3</v>
      </c>
      <c r="QI6">
        <v>2.637520465E-4</v>
      </c>
      <c r="QJ6" s="2">
        <v>5.5783392480000002E-5</v>
      </c>
      <c r="QK6">
        <v>1.923421159E-3</v>
      </c>
      <c r="QL6">
        <v>2.4601498410000001E-3</v>
      </c>
      <c r="QM6">
        <v>2.561230939E-4</v>
      </c>
      <c r="QN6">
        <v>14.29291896</v>
      </c>
      <c r="QO6">
        <v>2.2509396179999999E-2</v>
      </c>
      <c r="QP6">
        <v>5.458702282</v>
      </c>
      <c r="QQ6">
        <v>174.782995</v>
      </c>
      <c r="QR6">
        <v>14.26098118</v>
      </c>
      <c r="QS6">
        <v>2.151683452E-2</v>
      </c>
      <c r="QT6">
        <v>5.4582843670000001</v>
      </c>
      <c r="QU6">
        <v>174.78241220000001</v>
      </c>
    </row>
    <row r="7" spans="1:463" x14ac:dyDescent="0.2">
      <c r="A7" t="s">
        <v>278</v>
      </c>
      <c r="B7" s="2">
        <v>1.183968526E-11</v>
      </c>
      <c r="C7" s="2">
        <v>1.168265489E-11</v>
      </c>
      <c r="D7">
        <v>1.058846393E-3</v>
      </c>
      <c r="E7">
        <v>5.6722553609999997E-2</v>
      </c>
      <c r="F7">
        <v>0.49893756140000001</v>
      </c>
      <c r="G7">
        <v>3.2526220899999998E-3</v>
      </c>
      <c r="H7">
        <v>0.17424343340000001</v>
      </c>
      <c r="I7">
        <v>1.5326636090000001</v>
      </c>
      <c r="J7">
        <v>32.552565989999998</v>
      </c>
      <c r="K7">
        <v>32.553624839999998</v>
      </c>
      <c r="L7">
        <v>32.553624839999998</v>
      </c>
      <c r="M7">
        <v>32.553624839999998</v>
      </c>
      <c r="N7">
        <v>32.496902290000001</v>
      </c>
      <c r="O7">
        <v>32.553624839999998</v>
      </c>
      <c r="P7">
        <v>32.054687280000003</v>
      </c>
      <c r="Q7">
        <v>32.553624839999998</v>
      </c>
      <c r="R7">
        <v>4.7858014029999998</v>
      </c>
      <c r="S7">
        <v>0.77852759279999995</v>
      </c>
      <c r="T7">
        <v>2.9887885340000002</v>
      </c>
      <c r="U7">
        <v>6.9434861999999997</v>
      </c>
      <c r="V7">
        <v>5.500976766</v>
      </c>
      <c r="W7">
        <v>0.95272610950000003</v>
      </c>
      <c r="X7">
        <v>3.0668142010000001</v>
      </c>
      <c r="Y7">
        <v>7.6795636610000004</v>
      </c>
      <c r="Z7">
        <v>10.28677817</v>
      </c>
      <c r="AA7">
        <v>1.323117707</v>
      </c>
      <c r="AB7">
        <v>6.3165279999999999</v>
      </c>
      <c r="AC7">
        <v>12.699506</v>
      </c>
      <c r="AD7">
        <v>2.7334565729999998</v>
      </c>
      <c r="AE7">
        <v>0.48550052230000001</v>
      </c>
      <c r="AF7">
        <v>1.7826016250000001</v>
      </c>
      <c r="AG7">
        <v>4.3632315259999999</v>
      </c>
      <c r="AH7">
        <v>10.28677817</v>
      </c>
      <c r="AI7">
        <v>1.323117707</v>
      </c>
      <c r="AJ7">
        <v>6.3165279999999999</v>
      </c>
      <c r="AK7">
        <v>12.699506</v>
      </c>
      <c r="AL7">
        <v>1.515502189</v>
      </c>
      <c r="AM7">
        <v>0.26291664149999999</v>
      </c>
      <c r="AN7">
        <v>0.97610345890000005</v>
      </c>
      <c r="AO7">
        <v>2.2781166740000001</v>
      </c>
      <c r="AP7">
        <v>1.8666522249999999</v>
      </c>
      <c r="AQ7">
        <v>0.30039298850000001</v>
      </c>
      <c r="AR7">
        <v>1.196245776</v>
      </c>
      <c r="AS7">
        <v>2.7445999790000002</v>
      </c>
      <c r="AT7">
        <v>-0.20530740319999999</v>
      </c>
      <c r="AU7">
        <v>0.36532673290000001</v>
      </c>
      <c r="AV7">
        <v>-1.8017505549999999</v>
      </c>
      <c r="AW7">
        <v>0.53939281679999995</v>
      </c>
      <c r="AX7">
        <v>2.7507369549999998</v>
      </c>
      <c r="AY7">
        <v>0.67939368960000002</v>
      </c>
      <c r="AZ7">
        <v>1.7846872819999999</v>
      </c>
      <c r="BA7">
        <v>7.4435409730000002</v>
      </c>
      <c r="BB7">
        <v>0.14106553890000001</v>
      </c>
      <c r="BC7">
        <v>4.5788537410000003E-2</v>
      </c>
      <c r="BD7">
        <v>7.5756623110000004E-2</v>
      </c>
      <c r="BE7">
        <v>0.34060124879999998</v>
      </c>
      <c r="BF7">
        <v>10.184238349999999</v>
      </c>
      <c r="BG7">
        <v>1.6435112670000001</v>
      </c>
      <c r="BH7">
        <v>6.7714970059999997</v>
      </c>
      <c r="BI7">
        <v>17.313963350000002</v>
      </c>
      <c r="BJ7">
        <v>1.39170851</v>
      </c>
      <c r="BK7">
        <v>1.799380384</v>
      </c>
      <c r="BL7">
        <v>4.4228217600000001E-2</v>
      </c>
      <c r="BM7">
        <v>9.6515641730000006</v>
      </c>
      <c r="BN7">
        <v>3.2778160980000002</v>
      </c>
      <c r="BO7">
        <v>0.66709537070000002</v>
      </c>
      <c r="BP7">
        <v>1.678425525</v>
      </c>
      <c r="BQ7">
        <v>5.360601645</v>
      </c>
      <c r="BR7">
        <v>77.274262930000006</v>
      </c>
      <c r="BS7">
        <v>21.397551700000001</v>
      </c>
      <c r="BT7">
        <v>29.359845379999999</v>
      </c>
      <c r="BU7">
        <v>132.00165989999999</v>
      </c>
      <c r="BV7">
        <v>3.8738845949999998</v>
      </c>
      <c r="BW7">
        <v>0.51419518009999998</v>
      </c>
      <c r="BX7">
        <v>2.748559373</v>
      </c>
      <c r="BY7">
        <v>5.42825515</v>
      </c>
      <c r="BZ7">
        <v>5.0406649359999998</v>
      </c>
      <c r="CA7">
        <v>0.64399141270000004</v>
      </c>
      <c r="CB7">
        <v>3.0668142010000001</v>
      </c>
      <c r="CC7">
        <v>6.2629860449999999</v>
      </c>
      <c r="CD7">
        <v>8.9145495320000006</v>
      </c>
      <c r="CE7">
        <v>0.6715635351</v>
      </c>
      <c r="CF7">
        <v>6.3165279999999999</v>
      </c>
      <c r="CG7">
        <v>9.5435199999999991</v>
      </c>
      <c r="CH7">
        <v>2.5701758610000001</v>
      </c>
      <c r="CI7">
        <v>0.41123563000000002</v>
      </c>
      <c r="CJ7">
        <v>1.7826016250000001</v>
      </c>
      <c r="CK7">
        <v>4.0273229050000001</v>
      </c>
      <c r="CL7">
        <v>8.9145495320000006</v>
      </c>
      <c r="CM7">
        <v>0.6715635351</v>
      </c>
      <c r="CN7">
        <v>6.3165279999999999</v>
      </c>
      <c r="CO7">
        <v>9.5435199999999991</v>
      </c>
      <c r="CP7">
        <v>1.5023659229999999</v>
      </c>
      <c r="CQ7">
        <v>0.25481890159999998</v>
      </c>
      <c r="CR7">
        <v>0.97593475910000005</v>
      </c>
      <c r="CS7">
        <v>2.217873789</v>
      </c>
      <c r="CT7">
        <v>1.8403910370000001</v>
      </c>
      <c r="CU7">
        <v>0.28098436700000001</v>
      </c>
      <c r="CV7">
        <v>1.195057684</v>
      </c>
      <c r="CW7">
        <v>2.5550764500000001</v>
      </c>
      <c r="CX7">
        <v>-0.2028903987</v>
      </c>
      <c r="CY7">
        <v>0.3431366689</v>
      </c>
      <c r="CZ7">
        <v>-1.6598534979999999</v>
      </c>
      <c r="DA7">
        <v>0.47905576049999998</v>
      </c>
      <c r="DB7">
        <v>2.6348082480000001</v>
      </c>
      <c r="DC7">
        <v>0.59862530999999997</v>
      </c>
      <c r="DD7">
        <v>1.7607795580000001</v>
      </c>
      <c r="DE7">
        <v>6.6455500389999997</v>
      </c>
      <c r="DF7">
        <v>0.13281402549999999</v>
      </c>
      <c r="DG7">
        <v>4.216354152E-2</v>
      </c>
      <c r="DH7">
        <v>7.1998518270000006E-2</v>
      </c>
      <c r="DI7">
        <v>0.29483699899999999</v>
      </c>
      <c r="DJ7">
        <v>9.893173891</v>
      </c>
      <c r="DK7">
        <v>1.3814804629999999</v>
      </c>
      <c r="DL7">
        <v>6.7714970059999997</v>
      </c>
      <c r="DM7">
        <v>16.44132214</v>
      </c>
      <c r="DN7">
        <v>6.1636167860000004</v>
      </c>
      <c r="DO7">
        <v>2.9024897369999998</v>
      </c>
      <c r="DP7">
        <v>0.6191950464</v>
      </c>
      <c r="DQ7">
        <v>15.391419730000001</v>
      </c>
      <c r="DR7">
        <v>3.2731350410000002</v>
      </c>
      <c r="DS7">
        <v>0.6644813571</v>
      </c>
      <c r="DT7">
        <v>1.6783884979999999</v>
      </c>
      <c r="DU7">
        <v>5.2605721880000003</v>
      </c>
      <c r="DV7">
        <v>81.785649340000006</v>
      </c>
      <c r="DW7">
        <v>22.117453879999999</v>
      </c>
      <c r="DX7">
        <v>33.917045809999998</v>
      </c>
      <c r="DY7">
        <v>138.8917472</v>
      </c>
      <c r="DZ7">
        <v>2.9776514719999998</v>
      </c>
      <c r="EA7">
        <v>0.50662519790000005</v>
      </c>
      <c r="EB7">
        <v>1.9769686019999999</v>
      </c>
      <c r="EC7">
        <v>5.1681429049999998</v>
      </c>
      <c r="ED7">
        <v>2.664163083</v>
      </c>
      <c r="EE7">
        <v>0.37824036900000002</v>
      </c>
      <c r="EF7">
        <v>1.807879969</v>
      </c>
      <c r="EG7">
        <v>3.732467652</v>
      </c>
      <c r="EH7">
        <v>5.6418145549999998</v>
      </c>
      <c r="EI7">
        <v>0.77107869299999998</v>
      </c>
      <c r="EJ7">
        <v>3.7848485709999999</v>
      </c>
      <c r="EK7">
        <v>8.5003329999999995</v>
      </c>
      <c r="EL7">
        <v>1.9790711320000001</v>
      </c>
      <c r="EM7">
        <v>0.2751482167</v>
      </c>
      <c r="EN7">
        <v>1.396564337</v>
      </c>
      <c r="EO7">
        <v>3.1073669370000001</v>
      </c>
      <c r="EP7">
        <v>8.6443798740000002</v>
      </c>
      <c r="EQ7">
        <v>1.503169228</v>
      </c>
      <c r="ER7">
        <v>4.7665920000000002</v>
      </c>
      <c r="ES7">
        <v>13.234565</v>
      </c>
      <c r="ET7">
        <v>0.77868926819999995</v>
      </c>
      <c r="EU7">
        <v>9.9671054570000001E-2</v>
      </c>
      <c r="EV7">
        <v>0.55007400340000001</v>
      </c>
      <c r="EW7">
        <v>1.159355087</v>
      </c>
      <c r="EX7">
        <v>1.004096498</v>
      </c>
      <c r="EY7">
        <v>0.1331204128</v>
      </c>
      <c r="EZ7">
        <v>0.67827225729999996</v>
      </c>
      <c r="FA7">
        <v>1.4804416789999999</v>
      </c>
      <c r="FB7">
        <v>0.19271982200000001</v>
      </c>
      <c r="FC7">
        <v>0.22055638699999999</v>
      </c>
      <c r="FD7">
        <v>-0.38165186029999998</v>
      </c>
      <c r="FE7">
        <v>1.044370094</v>
      </c>
      <c r="FF7">
        <v>3.6639678899999999</v>
      </c>
      <c r="FG7">
        <v>0.58566425740000005</v>
      </c>
      <c r="FH7">
        <v>2.7216154440000002</v>
      </c>
      <c r="FI7">
        <v>6.2804991770000003</v>
      </c>
      <c r="FJ7">
        <v>4.5459677149999997</v>
      </c>
      <c r="FK7">
        <v>1.01424308</v>
      </c>
      <c r="FL7">
        <v>2.4969971489999998</v>
      </c>
      <c r="FM7">
        <v>7.1554956430000001</v>
      </c>
      <c r="FN7">
        <v>4.0984121590000004</v>
      </c>
      <c r="FO7">
        <v>0.88847687669999997</v>
      </c>
      <c r="FP7">
        <v>2.241924112</v>
      </c>
      <c r="FQ7">
        <v>7.2646499379999998</v>
      </c>
      <c r="FR7">
        <v>8.1222348679999996</v>
      </c>
      <c r="FS7">
        <v>1.401190865</v>
      </c>
      <c r="FT7">
        <v>4.5287350000000002</v>
      </c>
      <c r="FU7">
        <v>12.104804</v>
      </c>
      <c r="FV7">
        <v>6.1816066420000002</v>
      </c>
      <c r="FW7">
        <v>1.731110055</v>
      </c>
      <c r="FX7">
        <v>2.6619820000000001</v>
      </c>
      <c r="FY7">
        <v>11.720637999999999</v>
      </c>
      <c r="FZ7">
        <v>6.242144803E-2</v>
      </c>
      <c r="GA7">
        <v>9.4187450419999999E-3</v>
      </c>
      <c r="GB7">
        <v>4.4393709519999998E-2</v>
      </c>
      <c r="GC7">
        <v>9.4808420729999995E-2</v>
      </c>
      <c r="GD7">
        <v>9.7398572249999997</v>
      </c>
      <c r="GE7">
        <v>1.5014041979999999</v>
      </c>
      <c r="GF7">
        <v>6.656773383</v>
      </c>
      <c r="GG7">
        <v>15.585828380000001</v>
      </c>
      <c r="GH7">
        <v>0.72943681800000004</v>
      </c>
      <c r="GI7">
        <v>0.73468550509999997</v>
      </c>
      <c r="GJ7">
        <v>4.9248953460000001E-2</v>
      </c>
      <c r="GK7">
        <v>4.1369120910000001</v>
      </c>
      <c r="GL7">
        <v>1.482575655</v>
      </c>
      <c r="GM7">
        <v>0.18607537739999999</v>
      </c>
      <c r="GN7">
        <v>1.032927623</v>
      </c>
      <c r="GO7">
        <v>2.2898947299999999</v>
      </c>
      <c r="GP7">
        <v>7.9947061320000001</v>
      </c>
      <c r="GQ7">
        <v>1.5814088690000001</v>
      </c>
      <c r="GR7">
        <v>4.0137897069999999</v>
      </c>
      <c r="GS7">
        <v>12.6479052</v>
      </c>
      <c r="GT7">
        <v>163.6493141</v>
      </c>
      <c r="GU7">
        <v>23.248857529999999</v>
      </c>
      <c r="GV7">
        <v>105.475863</v>
      </c>
      <c r="GW7">
        <v>225.25713909999999</v>
      </c>
      <c r="GX7">
        <v>2.7607069900000001</v>
      </c>
      <c r="GY7">
        <v>0.39422566910000001</v>
      </c>
      <c r="GZ7">
        <v>1.878736666</v>
      </c>
      <c r="HA7">
        <v>4.4959278359999999</v>
      </c>
      <c r="HB7">
        <v>2.5956452840000002</v>
      </c>
      <c r="HC7">
        <v>0.33869375689999998</v>
      </c>
      <c r="HD7">
        <v>1.807879969</v>
      </c>
      <c r="HE7">
        <v>3.58260288</v>
      </c>
      <c r="HF7">
        <v>5.3563522739999998</v>
      </c>
      <c r="HG7">
        <v>0.62755726160000003</v>
      </c>
      <c r="HH7">
        <v>3.7848485709999999</v>
      </c>
      <c r="HI7">
        <v>7.5706865710000004</v>
      </c>
      <c r="HJ7">
        <v>1.902748069</v>
      </c>
      <c r="HK7">
        <v>0.2326500088</v>
      </c>
      <c r="HL7">
        <v>1.396564337</v>
      </c>
      <c r="HM7">
        <v>2.9133071080000001</v>
      </c>
      <c r="HN7">
        <v>7.9384861740000003</v>
      </c>
      <c r="HO7">
        <v>1.116669344</v>
      </c>
      <c r="HP7">
        <v>4.7665920000000002</v>
      </c>
      <c r="HQ7">
        <v>11.519833999999999</v>
      </c>
      <c r="HR7">
        <v>0.7692481685</v>
      </c>
      <c r="HS7">
        <v>9.4690764090000004E-2</v>
      </c>
      <c r="HT7">
        <v>0.55007400340000001</v>
      </c>
      <c r="HU7">
        <v>1.1018839600000001</v>
      </c>
      <c r="HV7">
        <v>0.98561729899999995</v>
      </c>
      <c r="HW7">
        <v>0.12352298590000001</v>
      </c>
      <c r="HX7">
        <v>0.67827225729999996</v>
      </c>
      <c r="HY7">
        <v>1.435901629</v>
      </c>
      <c r="HZ7">
        <v>0.15458328469999999</v>
      </c>
      <c r="IA7">
        <v>0.196548264</v>
      </c>
      <c r="IB7">
        <v>-0.39189545419999999</v>
      </c>
      <c r="IC7">
        <v>0.97526162230000002</v>
      </c>
      <c r="ID7">
        <v>3.4506086119999999</v>
      </c>
      <c r="IE7">
        <v>0.43367493709999999</v>
      </c>
      <c r="IF7">
        <v>2.6423141270000001</v>
      </c>
      <c r="IG7">
        <v>4.9363720149999999</v>
      </c>
      <c r="IH7">
        <v>4.0419077999999997</v>
      </c>
      <c r="II7">
        <v>0.79308071629999999</v>
      </c>
      <c r="IJ7">
        <v>2.2890082380000001</v>
      </c>
      <c r="IK7">
        <v>6.8912617450000004</v>
      </c>
      <c r="IL7">
        <v>3.8965783740000002</v>
      </c>
      <c r="IM7">
        <v>0.72651615319999996</v>
      </c>
      <c r="IN7">
        <v>2.241924112</v>
      </c>
      <c r="IO7">
        <v>6.1338406230000002</v>
      </c>
      <c r="IP7">
        <v>7.466021316</v>
      </c>
      <c r="IQ7">
        <v>0.97034296980000001</v>
      </c>
      <c r="IR7">
        <v>4.5287350000000002</v>
      </c>
      <c r="IS7">
        <v>9.5495160000000006</v>
      </c>
      <c r="IT7">
        <v>5.8372250110000001</v>
      </c>
      <c r="IU7">
        <v>1.3993543070000001</v>
      </c>
      <c r="IV7">
        <v>2.6444399999999999</v>
      </c>
      <c r="IW7">
        <v>9.0427769999999992</v>
      </c>
      <c r="IX7">
        <v>6.0224930900000001E-2</v>
      </c>
      <c r="IY7">
        <v>8.6115088739999995E-3</v>
      </c>
      <c r="IZ7">
        <v>4.4393709519999998E-2</v>
      </c>
      <c r="JA7">
        <v>9.0265573459999998E-2</v>
      </c>
      <c r="JB7">
        <v>9.4974649719999995</v>
      </c>
      <c r="JC7">
        <v>1.2839187169999999</v>
      </c>
      <c r="JD7">
        <v>6.656773383</v>
      </c>
      <c r="JE7">
        <v>14.438143910000001</v>
      </c>
      <c r="JF7">
        <v>1.139591013</v>
      </c>
      <c r="JG7">
        <v>0.95920230549999996</v>
      </c>
      <c r="JH7">
        <v>4.9248953460000001E-2</v>
      </c>
      <c r="JI7">
        <v>5.4382740470000002</v>
      </c>
      <c r="JJ7">
        <v>1.478498611</v>
      </c>
      <c r="JK7">
        <v>0.18375150009999999</v>
      </c>
      <c r="JL7">
        <v>1.032927623</v>
      </c>
      <c r="JM7">
        <v>2.2532782409999998</v>
      </c>
      <c r="JN7">
        <v>8.6517217340000006</v>
      </c>
      <c r="JO7">
        <v>1.5225467880000001</v>
      </c>
      <c r="JP7">
        <v>4.9741442989999998</v>
      </c>
      <c r="JQ7">
        <v>12.68160552</v>
      </c>
      <c r="JR7">
        <v>169.20724430000001</v>
      </c>
      <c r="JS7">
        <v>22.48795037</v>
      </c>
      <c r="JT7">
        <v>110.78420730000001</v>
      </c>
      <c r="JU7">
        <v>225.25713909999999</v>
      </c>
      <c r="JV7">
        <v>2.3190215830000001</v>
      </c>
      <c r="JW7">
        <v>0.53099557600000002</v>
      </c>
      <c r="JX7">
        <v>0.97868451499999998</v>
      </c>
      <c r="JY7">
        <v>4.7581072459999998</v>
      </c>
      <c r="JZ7">
        <v>2.8311426960000001</v>
      </c>
      <c r="KA7">
        <v>0.79433864460000003</v>
      </c>
      <c r="KB7">
        <v>1.24874146</v>
      </c>
      <c r="KC7">
        <v>5.1849429730000001</v>
      </c>
      <c r="KD7">
        <v>5.1501642790000002</v>
      </c>
      <c r="KE7">
        <v>1.1126867149999999</v>
      </c>
      <c r="KF7">
        <v>2.358282</v>
      </c>
      <c r="KG7">
        <v>9.1407640000000008</v>
      </c>
      <c r="KH7">
        <v>3.8738497220000001</v>
      </c>
      <c r="KI7">
        <v>1.3268736139999999</v>
      </c>
      <c r="KJ7">
        <v>1.466337</v>
      </c>
      <c r="KK7">
        <v>9.1407640000000008</v>
      </c>
      <c r="KL7">
        <v>5.1501642790000002</v>
      </c>
      <c r="KM7">
        <v>1.1126867149999999</v>
      </c>
      <c r="KN7">
        <v>2.358282</v>
      </c>
      <c r="KO7">
        <v>9.1407640000000008</v>
      </c>
      <c r="KP7">
        <v>1.060993163</v>
      </c>
      <c r="KQ7">
        <v>0.25794568960000003</v>
      </c>
      <c r="KR7">
        <v>0.4946789781</v>
      </c>
      <c r="KS7">
        <v>1.9087592799999999</v>
      </c>
      <c r="KT7">
        <v>1.29280938</v>
      </c>
      <c r="KU7">
        <v>0.2963824645</v>
      </c>
      <c r="KV7">
        <v>0.66269254229999996</v>
      </c>
      <c r="KW7">
        <v>2.3239941339999999</v>
      </c>
      <c r="KX7">
        <v>-0.2670436001</v>
      </c>
      <c r="KY7">
        <v>0.43161802589999998</v>
      </c>
      <c r="KZ7">
        <v>-1.7524094189999999</v>
      </c>
      <c r="LA7">
        <v>0.81440072870000002</v>
      </c>
      <c r="LB7">
        <v>2.56925771</v>
      </c>
      <c r="LC7">
        <v>0.70053861009999996</v>
      </c>
      <c r="LD7">
        <v>1.5639780670000001</v>
      </c>
      <c r="LE7">
        <v>5.9889963939999999</v>
      </c>
      <c r="LF7">
        <v>1.973300284</v>
      </c>
      <c r="LG7">
        <v>0.7480308229</v>
      </c>
      <c r="LH7">
        <v>0.73553999749999999</v>
      </c>
      <c r="LI7">
        <v>4.8368999830000003</v>
      </c>
      <c r="LJ7">
        <v>0.26411799800000002</v>
      </c>
      <c r="LK7">
        <v>5.3025302769999998E-2</v>
      </c>
      <c r="LL7">
        <v>0.12643531869999999</v>
      </c>
      <c r="LM7">
        <v>0.42754607140000001</v>
      </c>
      <c r="LN7">
        <v>19.280339380000001</v>
      </c>
      <c r="LO7">
        <v>9.1553666699999994</v>
      </c>
      <c r="LP7">
        <v>3.0075187969999999</v>
      </c>
      <c r="LQ7">
        <v>61.256081379999998</v>
      </c>
      <c r="LR7">
        <v>2.3105741399999999</v>
      </c>
      <c r="LS7">
        <v>0.66395820640000003</v>
      </c>
      <c r="LT7">
        <v>0.87516483209999996</v>
      </c>
      <c r="LU7">
        <v>4.7386939339999996</v>
      </c>
      <c r="LV7">
        <v>17.16968585</v>
      </c>
      <c r="LW7">
        <v>5.7145139049999996</v>
      </c>
      <c r="LX7">
        <v>3.7372843869999999</v>
      </c>
      <c r="LY7">
        <v>32.905793899999999</v>
      </c>
      <c r="LZ7">
        <v>5.6941909949999996</v>
      </c>
      <c r="MA7">
        <v>1.8920130470000001</v>
      </c>
      <c r="MB7">
        <v>2.0674398960000002</v>
      </c>
      <c r="MC7">
        <v>13.595453729999999</v>
      </c>
      <c r="MD7">
        <v>2.30180337</v>
      </c>
      <c r="ME7">
        <v>0.51920146150000002</v>
      </c>
      <c r="MF7">
        <v>0.97996669839999995</v>
      </c>
      <c r="MG7">
        <v>4.4567860320000001</v>
      </c>
      <c r="MH7">
        <v>2.7736701670000001</v>
      </c>
      <c r="MI7">
        <v>0.71812640900000002</v>
      </c>
      <c r="MJ7">
        <v>1.2468121249999999</v>
      </c>
      <c r="MK7">
        <v>5.0628063440000002</v>
      </c>
      <c r="ML7">
        <v>5.0754735369999997</v>
      </c>
      <c r="MM7">
        <v>1.023679727</v>
      </c>
      <c r="MN7">
        <v>2.358282</v>
      </c>
      <c r="MO7">
        <v>7.8944400000000003</v>
      </c>
      <c r="MP7">
        <v>3.823375967</v>
      </c>
      <c r="MQ7">
        <v>1.2506775050000001</v>
      </c>
      <c r="MR7">
        <v>1.466337</v>
      </c>
      <c r="MS7">
        <v>7.8944400000000003</v>
      </c>
      <c r="MT7">
        <v>5.0754735369999997</v>
      </c>
      <c r="MU7">
        <v>1.023679727</v>
      </c>
      <c r="MV7">
        <v>2.358282</v>
      </c>
      <c r="MW7">
        <v>7.8944400000000003</v>
      </c>
      <c r="MX7">
        <v>1.052734762</v>
      </c>
      <c r="MY7">
        <v>0.2506585053</v>
      </c>
      <c r="MZ7">
        <v>0.4948375693</v>
      </c>
      <c r="NA7">
        <v>1.7672503159999999</v>
      </c>
      <c r="NB7">
        <v>1.280276792</v>
      </c>
      <c r="NC7">
        <v>0.28377685530000002</v>
      </c>
      <c r="ND7">
        <v>0.66269254229999996</v>
      </c>
      <c r="NE7">
        <v>2.1458933340000002</v>
      </c>
      <c r="NF7">
        <v>-0.25414060370000002</v>
      </c>
      <c r="NG7">
        <v>0.42391606079999999</v>
      </c>
      <c r="NH7">
        <v>-1.6909591829999999</v>
      </c>
      <c r="NI7">
        <v>0.81828980340000002</v>
      </c>
      <c r="NJ7">
        <v>2.5417216790000001</v>
      </c>
      <c r="NK7">
        <v>0.67993611949999999</v>
      </c>
      <c r="NL7">
        <v>1.563176825</v>
      </c>
      <c r="NM7">
        <v>5.7368995790000001</v>
      </c>
      <c r="NN7">
        <v>1.9832566309999999</v>
      </c>
      <c r="NO7">
        <v>0.74961441740000001</v>
      </c>
      <c r="NP7">
        <v>0.73829999739999996</v>
      </c>
      <c r="NQ7">
        <v>4.8672599830000003</v>
      </c>
      <c r="NR7">
        <v>0.26105823900000003</v>
      </c>
      <c r="NS7">
        <v>5.0351240030000001E-2</v>
      </c>
      <c r="NT7">
        <v>0.12660598689999999</v>
      </c>
      <c r="NU7">
        <v>0.4008896864</v>
      </c>
      <c r="NV7">
        <v>19.490603719999999</v>
      </c>
      <c r="NW7">
        <v>9.0346064249999998</v>
      </c>
      <c r="NX7">
        <v>3.14020345</v>
      </c>
      <c r="NY7">
        <v>61.18973905</v>
      </c>
      <c r="NZ7">
        <v>2.3000800290000001</v>
      </c>
      <c r="OA7">
        <v>0.65630826499999995</v>
      </c>
      <c r="OB7">
        <v>0.87516483209999996</v>
      </c>
      <c r="OC7">
        <v>4.5284086730000004</v>
      </c>
      <c r="OD7">
        <v>17.389355989999999</v>
      </c>
      <c r="OE7">
        <v>5.6489964300000004</v>
      </c>
      <c r="OF7">
        <v>3.7151702790000001</v>
      </c>
      <c r="OG7">
        <v>32.717877289999997</v>
      </c>
      <c r="OH7">
        <v>5.6669900279999998</v>
      </c>
      <c r="OI7">
        <v>1.892874221</v>
      </c>
      <c r="OJ7">
        <v>2.0545440419999998</v>
      </c>
      <c r="OK7">
        <v>13.5446296</v>
      </c>
      <c r="OL7">
        <v>1.759550135</v>
      </c>
      <c r="OM7">
        <v>-0.32970862470000001</v>
      </c>
      <c r="ON7">
        <v>3.0418535769999999</v>
      </c>
      <c r="OO7">
        <v>7.3330880000000001</v>
      </c>
      <c r="OP7">
        <v>7.6873740000000002</v>
      </c>
      <c r="OQ7">
        <v>15.020462</v>
      </c>
      <c r="OR7">
        <v>1.404803169</v>
      </c>
      <c r="OS7" s="2">
        <v>6.4266931470000006E-5</v>
      </c>
      <c r="OT7">
        <v>2.2608041540000002E-3</v>
      </c>
      <c r="OU7" s="2">
        <v>6.4266931470000006E-5</v>
      </c>
      <c r="OV7">
        <v>1.6139725100000001E-3</v>
      </c>
      <c r="OW7">
        <v>2.0349794899999999E-3</v>
      </c>
      <c r="OX7">
        <v>2.258246643E-4</v>
      </c>
      <c r="OY7">
        <v>4.4925920860000002</v>
      </c>
      <c r="OZ7">
        <v>1.21891273</v>
      </c>
      <c r="PA7">
        <v>2.0194293980000002</v>
      </c>
      <c r="PB7">
        <v>8.3219497740000001</v>
      </c>
      <c r="PC7">
        <v>88.343760529999997</v>
      </c>
      <c r="PD7">
        <v>1.7320198950000001</v>
      </c>
      <c r="PE7">
        <v>-0.30832921800000002</v>
      </c>
      <c r="PF7">
        <v>2.819367862</v>
      </c>
      <c r="PG7">
        <v>5.5679819999999998</v>
      </c>
      <c r="PH7">
        <v>6.3191850000000001</v>
      </c>
      <c r="PI7">
        <v>11.887167</v>
      </c>
      <c r="PJ7">
        <v>1.392537033</v>
      </c>
      <c r="PK7" s="2">
        <v>5.9796660309999998E-5</v>
      </c>
      <c r="PL7">
        <v>2.2482628839999999E-3</v>
      </c>
      <c r="PM7" s="2">
        <v>5.9796660309999998E-5</v>
      </c>
      <c r="PN7">
        <v>1.611686368E-3</v>
      </c>
      <c r="PO7">
        <v>2.0282926320000002E-3</v>
      </c>
      <c r="PP7">
        <v>2.1997025149999999E-4</v>
      </c>
      <c r="PQ7">
        <v>4.4863272409999997</v>
      </c>
      <c r="PR7">
        <v>1.112946496</v>
      </c>
      <c r="PS7">
        <v>1.9219043570000001</v>
      </c>
      <c r="PT7">
        <v>8.2492805350000005</v>
      </c>
      <c r="PU7">
        <v>88.342200109999993</v>
      </c>
      <c r="PV7">
        <v>5.1450707619999996</v>
      </c>
      <c r="PW7">
        <v>1.048540209</v>
      </c>
      <c r="PX7">
        <v>2.179777933</v>
      </c>
      <c r="PY7">
        <v>8.5191840200000009</v>
      </c>
      <c r="PZ7">
        <v>88.831540840000002</v>
      </c>
      <c r="QA7">
        <v>5.140789421</v>
      </c>
      <c r="QB7">
        <v>0.94238395090000004</v>
      </c>
      <c r="QC7">
        <v>2.0665762239999999</v>
      </c>
      <c r="QD7">
        <v>8.4410142889999999</v>
      </c>
      <c r="QE7">
        <v>88.833038239999993</v>
      </c>
      <c r="QF7" s="2">
        <v>5.6970984120000001E-5</v>
      </c>
      <c r="QG7">
        <v>1.8458600659999999E-3</v>
      </c>
      <c r="QH7">
        <v>2.3533279339999998E-3</v>
      </c>
      <c r="QI7">
        <v>2.4605747780000002E-4</v>
      </c>
      <c r="QJ7" s="2">
        <v>5.259237458E-5</v>
      </c>
      <c r="QK7">
        <v>1.8435562559999999E-3</v>
      </c>
      <c r="QL7">
        <v>2.3464797439999999E-3</v>
      </c>
      <c r="QM7">
        <v>2.3953403600000001E-4</v>
      </c>
      <c r="QN7">
        <v>14.579250269999999</v>
      </c>
      <c r="QO7">
        <v>2.9238803380000001E-2</v>
      </c>
      <c r="QP7">
        <v>5.4581288700000004</v>
      </c>
      <c r="QQ7">
        <v>173.76398649999999</v>
      </c>
      <c r="QR7">
        <v>14.494922949999999</v>
      </c>
      <c r="QS7">
        <v>2.543494789E-2</v>
      </c>
      <c r="QT7">
        <v>5.4577482579999996</v>
      </c>
      <c r="QU7">
        <v>173.76272460000001</v>
      </c>
    </row>
    <row r="8" spans="1:463" x14ac:dyDescent="0.2">
      <c r="A8" t="s">
        <v>279</v>
      </c>
      <c r="B8" s="2">
        <v>1.063593721E-11</v>
      </c>
      <c r="C8" s="2">
        <v>1.4030653669999999E-11</v>
      </c>
      <c r="D8">
        <v>4.4562959689999998E-4</v>
      </c>
      <c r="E8">
        <v>6.0986505179999997E-2</v>
      </c>
      <c r="F8">
        <v>0.51303393009999998</v>
      </c>
      <c r="G8">
        <v>1.3689092970000001E-3</v>
      </c>
      <c r="H8">
        <v>0.18734167230000001</v>
      </c>
      <c r="I8">
        <v>1.575965603</v>
      </c>
      <c r="J8">
        <v>32.553179210000003</v>
      </c>
      <c r="K8">
        <v>32.553624839999998</v>
      </c>
      <c r="L8">
        <v>32.553624839999998</v>
      </c>
      <c r="M8">
        <v>32.553624839999998</v>
      </c>
      <c r="N8">
        <v>32.492638329999998</v>
      </c>
      <c r="O8">
        <v>32.553624839999998</v>
      </c>
      <c r="P8">
        <v>32.040590909999999</v>
      </c>
      <c r="Q8">
        <v>32.553624839999998</v>
      </c>
      <c r="R8">
        <v>4.4788729829999996</v>
      </c>
      <c r="S8">
        <v>0.60048174340000005</v>
      </c>
      <c r="T8">
        <v>3.2466070060000001</v>
      </c>
      <c r="U8">
        <v>6.3818266399999999</v>
      </c>
      <c r="V8">
        <v>6.285451932</v>
      </c>
      <c r="W8">
        <v>1.0303715579999999</v>
      </c>
      <c r="X8">
        <v>3.9429051679999998</v>
      </c>
      <c r="Y8">
        <v>8.3713283070000006</v>
      </c>
      <c r="Z8">
        <v>10.76432492</v>
      </c>
      <c r="AA8">
        <v>1.242785386</v>
      </c>
      <c r="AB8">
        <v>7.6473579999999997</v>
      </c>
      <c r="AC8">
        <v>12.530715000000001</v>
      </c>
      <c r="AD8">
        <v>2.9758351410000001</v>
      </c>
      <c r="AE8">
        <v>0.45764800020000002</v>
      </c>
      <c r="AF8">
        <v>2.0089179609999999</v>
      </c>
      <c r="AG8">
        <v>5.2644160590000002</v>
      </c>
      <c r="AH8">
        <v>10.76432492</v>
      </c>
      <c r="AI8">
        <v>1.242785386</v>
      </c>
      <c r="AJ8">
        <v>7.6473579999999997</v>
      </c>
      <c r="AK8">
        <v>12.530715000000001</v>
      </c>
      <c r="AL8">
        <v>1.5926525010000001</v>
      </c>
      <c r="AM8">
        <v>0.26629698870000001</v>
      </c>
      <c r="AN8">
        <v>1.0228122470000001</v>
      </c>
      <c r="AO8">
        <v>2.3589181479999999</v>
      </c>
      <c r="AP8">
        <v>1.96645903</v>
      </c>
      <c r="AQ8">
        <v>0.30289547909999998</v>
      </c>
      <c r="AR8">
        <v>1.25492553</v>
      </c>
      <c r="AS8">
        <v>2.7283116760000001</v>
      </c>
      <c r="AT8">
        <v>-0.24608106369999999</v>
      </c>
      <c r="AU8">
        <v>0.34299448659999998</v>
      </c>
      <c r="AV8">
        <v>-1.669764075</v>
      </c>
      <c r="AW8">
        <v>0.45065637009999998</v>
      </c>
      <c r="AX8">
        <v>2.8016253510000002</v>
      </c>
      <c r="AY8">
        <v>0.61938704190000005</v>
      </c>
      <c r="AZ8">
        <v>1.79904182</v>
      </c>
      <c r="BA8">
        <v>6.4554699659999999</v>
      </c>
      <c r="BB8">
        <v>0.1326885635</v>
      </c>
      <c r="BC8">
        <v>3.9972584530000001E-2</v>
      </c>
      <c r="BD8">
        <v>6.819925902E-2</v>
      </c>
      <c r="BE8">
        <v>0.3416717635</v>
      </c>
      <c r="BF8">
        <v>10.70379587</v>
      </c>
      <c r="BG8">
        <v>1.400767624</v>
      </c>
      <c r="BH8">
        <v>7.2173132989999997</v>
      </c>
      <c r="BI8">
        <v>15.6905904</v>
      </c>
      <c r="BJ8">
        <v>2.8461222770000001</v>
      </c>
      <c r="BK8">
        <v>1.90682054</v>
      </c>
      <c r="BL8">
        <v>0.28748341440000003</v>
      </c>
      <c r="BM8">
        <v>10.82736001</v>
      </c>
      <c r="BN8">
        <v>3.4395031559999998</v>
      </c>
      <c r="BO8">
        <v>0.67293627410000001</v>
      </c>
      <c r="BP8">
        <v>2.0456889469999999</v>
      </c>
      <c r="BQ8">
        <v>5.659328329</v>
      </c>
      <c r="BR8">
        <v>81.505270120000006</v>
      </c>
      <c r="BS8">
        <v>22.413045270000001</v>
      </c>
      <c r="BT8">
        <v>29.267856080000001</v>
      </c>
      <c r="BU8">
        <v>146.62915910000001</v>
      </c>
      <c r="BV8">
        <v>4.0154252389999998</v>
      </c>
      <c r="BW8">
        <v>0.52810384529999999</v>
      </c>
      <c r="BX8">
        <v>2.8654711370000001</v>
      </c>
      <c r="BY8">
        <v>5.5213802279999999</v>
      </c>
      <c r="BZ8">
        <v>5.4775200819999998</v>
      </c>
      <c r="CA8">
        <v>0.5701042543</v>
      </c>
      <c r="CB8">
        <v>3.9429051679999998</v>
      </c>
      <c r="CC8">
        <v>6.7135765919999999</v>
      </c>
      <c r="CD8">
        <v>9.4929453210000005</v>
      </c>
      <c r="CE8">
        <v>0.56275414170000004</v>
      </c>
      <c r="CF8">
        <v>7.1738109999999997</v>
      </c>
      <c r="CG8">
        <v>9.9526610000000009</v>
      </c>
      <c r="CH8">
        <v>2.836146437</v>
      </c>
      <c r="CI8">
        <v>0.38537289740000003</v>
      </c>
      <c r="CJ8">
        <v>2.0089179609999999</v>
      </c>
      <c r="CK8">
        <v>4.4361658100000003</v>
      </c>
      <c r="CL8">
        <v>9.4929453210000005</v>
      </c>
      <c r="CM8">
        <v>0.56275414170000004</v>
      </c>
      <c r="CN8">
        <v>7.1738109999999997</v>
      </c>
      <c r="CO8">
        <v>9.9526610000000009</v>
      </c>
      <c r="CP8">
        <v>1.58128632</v>
      </c>
      <c r="CQ8">
        <v>0.25988640159999998</v>
      </c>
      <c r="CR8">
        <v>1.0226327740000001</v>
      </c>
      <c r="CS8">
        <v>2.3392927320000001</v>
      </c>
      <c r="CT8">
        <v>1.9420464079999999</v>
      </c>
      <c r="CU8">
        <v>0.28668019950000001</v>
      </c>
      <c r="CV8">
        <v>1.2544156390000001</v>
      </c>
      <c r="CW8">
        <v>2.6647469429999999</v>
      </c>
      <c r="CX8">
        <v>-0.2204492713</v>
      </c>
      <c r="CY8">
        <v>0.31943786870000002</v>
      </c>
      <c r="CZ8">
        <v>-1.5346804599999999</v>
      </c>
      <c r="DA8">
        <v>0.42655972260000002</v>
      </c>
      <c r="DB8">
        <v>2.6640171850000001</v>
      </c>
      <c r="DC8">
        <v>0.52278907090000004</v>
      </c>
      <c r="DD8">
        <v>1.7317447159999999</v>
      </c>
      <c r="DE8">
        <v>5.6883017489999999</v>
      </c>
      <c r="DF8">
        <v>0.12606251969999999</v>
      </c>
      <c r="DG8">
        <v>3.686297576E-2</v>
      </c>
      <c r="DH8">
        <v>6.4234185819999998E-2</v>
      </c>
      <c r="DI8">
        <v>0.29566499899999998</v>
      </c>
      <c r="DJ8">
        <v>10.499580780000001</v>
      </c>
      <c r="DK8">
        <v>1.234440352</v>
      </c>
      <c r="DL8">
        <v>7.2173132989999997</v>
      </c>
      <c r="DM8">
        <v>15.04574485</v>
      </c>
      <c r="DN8">
        <v>6.3094215260000004</v>
      </c>
      <c r="DO8">
        <v>2.9543151129999998</v>
      </c>
      <c r="DP8">
        <v>0.8403361345</v>
      </c>
      <c r="DQ8">
        <v>15.259046250000001</v>
      </c>
      <c r="DR8">
        <v>3.437503274</v>
      </c>
      <c r="DS8">
        <v>0.67198515479999998</v>
      </c>
      <c r="DT8">
        <v>2.045926857</v>
      </c>
      <c r="DU8">
        <v>5.659411017</v>
      </c>
      <c r="DV8">
        <v>85.455062920000003</v>
      </c>
      <c r="DW8">
        <v>22.834422579999998</v>
      </c>
      <c r="DX8">
        <v>33.822062250000002</v>
      </c>
      <c r="DY8">
        <v>155.68034170000001</v>
      </c>
      <c r="DZ8">
        <v>2.911146778</v>
      </c>
      <c r="EA8">
        <v>0.42368406819999999</v>
      </c>
      <c r="EB8">
        <v>1.9269884509999999</v>
      </c>
      <c r="EC8">
        <v>4.7665452259999999</v>
      </c>
      <c r="ED8">
        <v>3.2787251130000001</v>
      </c>
      <c r="EE8">
        <v>0.47114794199999999</v>
      </c>
      <c r="EF8">
        <v>2.2464968609999998</v>
      </c>
      <c r="EG8">
        <v>5.0292281360000004</v>
      </c>
      <c r="EH8">
        <v>6.18987189</v>
      </c>
      <c r="EI8">
        <v>0.77483994680000001</v>
      </c>
      <c r="EJ8">
        <v>4.5562040000000001</v>
      </c>
      <c r="EK8">
        <v>8.697957143</v>
      </c>
      <c r="EL8">
        <v>2.2463669629999998</v>
      </c>
      <c r="EM8">
        <v>0.2710536342</v>
      </c>
      <c r="EN8">
        <v>1.6295732919999999</v>
      </c>
      <c r="EO8">
        <v>3.144138608</v>
      </c>
      <c r="EP8">
        <v>9.2362774259999991</v>
      </c>
      <c r="EQ8">
        <v>1.425326286</v>
      </c>
      <c r="ER8">
        <v>5.6030810000000004</v>
      </c>
      <c r="ES8">
        <v>12.943289999999999</v>
      </c>
      <c r="ET8">
        <v>0.85832250740000005</v>
      </c>
      <c r="EU8">
        <v>0.1027806008</v>
      </c>
      <c r="EV8">
        <v>0.62039406080000004</v>
      </c>
      <c r="EW8">
        <v>1.1580268389999999</v>
      </c>
      <c r="EX8">
        <v>1.1045440209999999</v>
      </c>
      <c r="EY8">
        <v>0.1347831769</v>
      </c>
      <c r="EZ8">
        <v>0.76790839089999996</v>
      </c>
      <c r="FA8">
        <v>1.513254385</v>
      </c>
      <c r="FB8">
        <v>-6.9238028650000005E-2</v>
      </c>
      <c r="FC8">
        <v>0.20869479060000001</v>
      </c>
      <c r="FD8">
        <v>-0.56103614140000002</v>
      </c>
      <c r="FE8">
        <v>0.84628525470000004</v>
      </c>
      <c r="FF8">
        <v>3.577224943</v>
      </c>
      <c r="FG8">
        <v>0.4833250549</v>
      </c>
      <c r="FH8">
        <v>2.7316208670000002</v>
      </c>
      <c r="FI8">
        <v>5.351453802</v>
      </c>
      <c r="FJ8">
        <v>4.3748441749999998</v>
      </c>
      <c r="FK8">
        <v>0.86491118899999997</v>
      </c>
      <c r="FL8">
        <v>2.516473736</v>
      </c>
      <c r="FM8">
        <v>6.8794930829999998</v>
      </c>
      <c r="FN8">
        <v>4.8614332510000002</v>
      </c>
      <c r="FO8">
        <v>0.9790195947</v>
      </c>
      <c r="FP8">
        <v>2.8291041350000001</v>
      </c>
      <c r="FQ8">
        <v>8.0463647070000004</v>
      </c>
      <c r="FR8">
        <v>8.6869521679999995</v>
      </c>
      <c r="FS8">
        <v>1.366524839</v>
      </c>
      <c r="FT8">
        <v>5.5040659999999999</v>
      </c>
      <c r="FU8">
        <v>12.060566</v>
      </c>
      <c r="FV8">
        <v>6.7789736789999999</v>
      </c>
      <c r="FW8">
        <v>1.682840187</v>
      </c>
      <c r="FX8">
        <v>2.8606509999999998</v>
      </c>
      <c r="FY8">
        <v>11.506494</v>
      </c>
      <c r="FZ8">
        <v>6.2572763279999999E-2</v>
      </c>
      <c r="GA8">
        <v>8.4859789790000008E-3</v>
      </c>
      <c r="GB8">
        <v>4.7107118480000001E-2</v>
      </c>
      <c r="GC8">
        <v>8.5998094940000006E-2</v>
      </c>
      <c r="GD8">
        <v>10.33851426</v>
      </c>
      <c r="GE8">
        <v>1.291571008</v>
      </c>
      <c r="GF8">
        <v>7.0639582379999997</v>
      </c>
      <c r="GG8">
        <v>14.365436040000001</v>
      </c>
      <c r="GH8">
        <v>0.91677356970000001</v>
      </c>
      <c r="GI8">
        <v>0.81257135670000002</v>
      </c>
      <c r="GJ8">
        <v>4.9248953460000001E-2</v>
      </c>
      <c r="GK8">
        <v>4.6294016249999999</v>
      </c>
      <c r="GL8">
        <v>1.652871046</v>
      </c>
      <c r="GM8">
        <v>0.1998503864</v>
      </c>
      <c r="GN8">
        <v>1.1484036019999999</v>
      </c>
      <c r="GO8">
        <v>2.2516860420000002</v>
      </c>
      <c r="GP8">
        <v>7.728296233</v>
      </c>
      <c r="GQ8">
        <v>1.594809194</v>
      </c>
      <c r="GR8">
        <v>4.0630386600000001</v>
      </c>
      <c r="GS8">
        <v>13.19871953</v>
      </c>
      <c r="GT8">
        <v>162.67493020000001</v>
      </c>
      <c r="GU8">
        <v>21.34598458</v>
      </c>
      <c r="GV8">
        <v>116.2816456</v>
      </c>
      <c r="GW8">
        <v>212.28214170000001</v>
      </c>
      <c r="GX8">
        <v>2.8086865560000001</v>
      </c>
      <c r="GY8">
        <v>0.3841368684</v>
      </c>
      <c r="GZ8">
        <v>1.9269884509999999</v>
      </c>
      <c r="HA8">
        <v>4.2730653930000004</v>
      </c>
      <c r="HB8">
        <v>3.150791436</v>
      </c>
      <c r="HC8">
        <v>0.39704934679999998</v>
      </c>
      <c r="HD8">
        <v>2.246497314</v>
      </c>
      <c r="HE8">
        <v>4.4559515970000003</v>
      </c>
      <c r="HF8">
        <v>5.9594779920000001</v>
      </c>
      <c r="HG8">
        <v>0.65705012979999999</v>
      </c>
      <c r="HH8">
        <v>4.5527152859999998</v>
      </c>
      <c r="HI8">
        <v>8.0152045709999999</v>
      </c>
      <c r="HJ8">
        <v>2.1850329720000001</v>
      </c>
      <c r="HK8">
        <v>0.24235281389999999</v>
      </c>
      <c r="HL8">
        <v>1.629573124</v>
      </c>
      <c r="HM8">
        <v>2.9339798859999999</v>
      </c>
      <c r="HN8">
        <v>8.658990974</v>
      </c>
      <c r="HO8">
        <v>1.1001918900000001</v>
      </c>
      <c r="HP8">
        <v>5.6030810000000004</v>
      </c>
      <c r="HQ8">
        <v>12.817392999999999</v>
      </c>
      <c r="HR8">
        <v>0.85028968979999997</v>
      </c>
      <c r="HS8">
        <v>9.9105432490000006E-2</v>
      </c>
      <c r="HT8">
        <v>0.62039406080000004</v>
      </c>
      <c r="HU8">
        <v>1.1384797250000001</v>
      </c>
      <c r="HV8">
        <v>1.088472407</v>
      </c>
      <c r="HW8">
        <v>0.1273353079</v>
      </c>
      <c r="HX8">
        <v>0.76790839089999996</v>
      </c>
      <c r="HY8">
        <v>1.4671797209999999</v>
      </c>
      <c r="HZ8">
        <v>-6.4386153279999997E-2</v>
      </c>
      <c r="IA8">
        <v>0.20751803099999999</v>
      </c>
      <c r="IB8">
        <v>-0.56025411010000004</v>
      </c>
      <c r="IC8">
        <v>0.85194347120000002</v>
      </c>
      <c r="ID8">
        <v>3.4682745599999998</v>
      </c>
      <c r="IE8">
        <v>0.45981381859999998</v>
      </c>
      <c r="IF8">
        <v>2.7316208670000002</v>
      </c>
      <c r="IG8">
        <v>5.2300215440000004</v>
      </c>
      <c r="IH8">
        <v>4.1472411999999998</v>
      </c>
      <c r="II8">
        <v>0.77062897200000002</v>
      </c>
      <c r="IJ8">
        <v>2.516473736</v>
      </c>
      <c r="IK8">
        <v>6.73715625</v>
      </c>
      <c r="IL8">
        <v>4.5113361469999997</v>
      </c>
      <c r="IM8">
        <v>0.74688923309999999</v>
      </c>
      <c r="IN8">
        <v>2.8291042430000002</v>
      </c>
      <c r="IO8">
        <v>7.1531182969999998</v>
      </c>
      <c r="IP8">
        <v>8.0661792259999991</v>
      </c>
      <c r="IQ8">
        <v>0.9716565479</v>
      </c>
      <c r="IR8">
        <v>5.5040659999999999</v>
      </c>
      <c r="IS8">
        <v>10.461803</v>
      </c>
      <c r="IT8">
        <v>6.5107696050000001</v>
      </c>
      <c r="IU8">
        <v>1.3908027759999999</v>
      </c>
      <c r="IV8">
        <v>2.8377849999999998</v>
      </c>
      <c r="IW8">
        <v>9.7834420000000009</v>
      </c>
      <c r="IX8">
        <v>6.1105594620000002E-2</v>
      </c>
      <c r="IY8">
        <v>8.0697138559999992E-3</v>
      </c>
      <c r="IZ8">
        <v>4.7107118480000001E-2</v>
      </c>
      <c r="JA8">
        <v>8.5362856850000002E-2</v>
      </c>
      <c r="JB8">
        <v>10.187736060000001</v>
      </c>
      <c r="JC8">
        <v>1.1784049240000001</v>
      </c>
      <c r="JD8">
        <v>7.0639582379999997</v>
      </c>
      <c r="JE8">
        <v>13.893491389999999</v>
      </c>
      <c r="JF8">
        <v>1.097152452</v>
      </c>
      <c r="JG8">
        <v>0.90215545330000002</v>
      </c>
      <c r="JH8">
        <v>4.9248953460000001E-2</v>
      </c>
      <c r="JI8">
        <v>4.5309037180000002</v>
      </c>
      <c r="JJ8">
        <v>1.6517941279999999</v>
      </c>
      <c r="JK8">
        <v>0.19961799120000001</v>
      </c>
      <c r="JL8">
        <v>1.1485582539999999</v>
      </c>
      <c r="JM8">
        <v>2.246026182</v>
      </c>
      <c r="JN8">
        <v>8.1985635499999994</v>
      </c>
      <c r="JO8">
        <v>1.570868843</v>
      </c>
      <c r="JP8">
        <v>4.1861610440000003</v>
      </c>
      <c r="JQ8">
        <v>13.19871953</v>
      </c>
      <c r="JR8">
        <v>166.39519430000001</v>
      </c>
      <c r="JS8">
        <v>21.012835030000002</v>
      </c>
      <c r="JT8">
        <v>117.14696960000001</v>
      </c>
      <c r="JU8">
        <v>212.28214170000001</v>
      </c>
      <c r="JV8">
        <v>2.40310442</v>
      </c>
      <c r="JW8">
        <v>0.54506678460000002</v>
      </c>
      <c r="JX8">
        <v>0.94302182180000005</v>
      </c>
      <c r="JY8">
        <v>4.5240722829999998</v>
      </c>
      <c r="JZ8">
        <v>2.896761964</v>
      </c>
      <c r="KA8">
        <v>0.81490524659999997</v>
      </c>
      <c r="KB8">
        <v>1.2491503900000001</v>
      </c>
      <c r="KC8">
        <v>5.382918267</v>
      </c>
      <c r="KD8">
        <v>5.2998663840000004</v>
      </c>
      <c r="KE8">
        <v>1.1349028779999999</v>
      </c>
      <c r="KF8">
        <v>2.2821400000000001</v>
      </c>
      <c r="KG8">
        <v>9.0500050000000005</v>
      </c>
      <c r="KH8">
        <v>3.920517673</v>
      </c>
      <c r="KI8">
        <v>1.286284003</v>
      </c>
      <c r="KJ8">
        <v>1.6501410000000001</v>
      </c>
      <c r="KK8">
        <v>9.0500050000000005</v>
      </c>
      <c r="KL8">
        <v>5.2998663840000004</v>
      </c>
      <c r="KM8">
        <v>1.1349028779999999</v>
      </c>
      <c r="KN8">
        <v>2.2821400000000001</v>
      </c>
      <c r="KO8">
        <v>9.0500050000000005</v>
      </c>
      <c r="KP8">
        <v>1.100412398</v>
      </c>
      <c r="KQ8">
        <v>0.26605730290000001</v>
      </c>
      <c r="KR8">
        <v>0.52112991710000001</v>
      </c>
      <c r="KS8">
        <v>1.856489013</v>
      </c>
      <c r="KT8">
        <v>1.3399019240000001</v>
      </c>
      <c r="KU8">
        <v>0.30650774549999998</v>
      </c>
      <c r="KV8">
        <v>0.67912369760000002</v>
      </c>
      <c r="KW8">
        <v>2.2869444620000001</v>
      </c>
      <c r="KX8">
        <v>-0.24321604699999999</v>
      </c>
      <c r="KY8">
        <v>0.44400834900000002</v>
      </c>
      <c r="KZ8">
        <v>-1.8812228280000001</v>
      </c>
      <c r="LA8">
        <v>0.89038470869999997</v>
      </c>
      <c r="LB8">
        <v>2.5448348059999999</v>
      </c>
      <c r="LC8">
        <v>0.70741073129999998</v>
      </c>
      <c r="LD8">
        <v>1.5966510439999999</v>
      </c>
      <c r="LE8">
        <v>6.5854418189999997</v>
      </c>
      <c r="LF8">
        <v>1.9806727740000001</v>
      </c>
      <c r="LG8">
        <v>0.7099409337</v>
      </c>
      <c r="LH8">
        <v>0.84179999709999997</v>
      </c>
      <c r="LI8">
        <v>4.5774599839999999</v>
      </c>
      <c r="LJ8">
        <v>0.27244143240000002</v>
      </c>
      <c r="LK8">
        <v>5.4583411370000001E-2</v>
      </c>
      <c r="LL8">
        <v>0.1217801947</v>
      </c>
      <c r="LM8">
        <v>0.44018483050000001</v>
      </c>
      <c r="LN8">
        <v>18.818724979999999</v>
      </c>
      <c r="LO8">
        <v>9.2018775030000004</v>
      </c>
      <c r="LP8">
        <v>3.2950022109999999</v>
      </c>
      <c r="LQ8">
        <v>63.92861834</v>
      </c>
      <c r="LR8">
        <v>2.4098477030000001</v>
      </c>
      <c r="LS8">
        <v>0.68097919350000002</v>
      </c>
      <c r="LT8">
        <v>0.92588959309999996</v>
      </c>
      <c r="LU8">
        <v>4.3869614629999996</v>
      </c>
      <c r="LV8">
        <v>17.637645259999999</v>
      </c>
      <c r="LW8">
        <v>5.8250639590000004</v>
      </c>
      <c r="LX8">
        <v>0</v>
      </c>
      <c r="LY8">
        <v>32.658623740000003</v>
      </c>
      <c r="LZ8">
        <v>5.6241680799999996</v>
      </c>
      <c r="MA8">
        <v>1.783746171</v>
      </c>
      <c r="MB8">
        <v>2.184617678</v>
      </c>
      <c r="MC8">
        <v>11.879306290000001</v>
      </c>
      <c r="MD8">
        <v>2.387053587</v>
      </c>
      <c r="ME8">
        <v>0.53824954579999995</v>
      </c>
      <c r="MF8">
        <v>0.94285546880000004</v>
      </c>
      <c r="MG8">
        <v>4.4429784850000003</v>
      </c>
      <c r="MH8">
        <v>2.8425353439999999</v>
      </c>
      <c r="MI8">
        <v>0.74258776309999996</v>
      </c>
      <c r="MJ8">
        <v>1.2535522109999999</v>
      </c>
      <c r="MK8">
        <v>5.1806159559999996</v>
      </c>
      <c r="ML8">
        <v>5.2295889320000004</v>
      </c>
      <c r="MM8">
        <v>1.0561686560000001</v>
      </c>
      <c r="MN8">
        <v>2.28179</v>
      </c>
      <c r="MO8">
        <v>8.2763080000000002</v>
      </c>
      <c r="MP8">
        <v>3.8459174909999998</v>
      </c>
      <c r="MQ8">
        <v>1.2170717710000001</v>
      </c>
      <c r="MR8">
        <v>1.6491994999999999</v>
      </c>
      <c r="MS8">
        <v>8.2763080000000002</v>
      </c>
      <c r="MT8">
        <v>5.2295889320000004</v>
      </c>
      <c r="MU8">
        <v>1.0561686560000001</v>
      </c>
      <c r="MV8">
        <v>2.28179</v>
      </c>
      <c r="MW8">
        <v>8.2763080000000002</v>
      </c>
      <c r="MX8">
        <v>1.0920999499999999</v>
      </c>
      <c r="MY8">
        <v>0.26013346590000003</v>
      </c>
      <c r="MZ8">
        <v>0.52095041630000005</v>
      </c>
      <c r="NA8">
        <v>1.784733449</v>
      </c>
      <c r="NB8">
        <v>1.3275034649999999</v>
      </c>
      <c r="NC8">
        <v>0.29585009159999998</v>
      </c>
      <c r="ND8">
        <v>0.67878824790000003</v>
      </c>
      <c r="NE8">
        <v>2.185766069</v>
      </c>
      <c r="NF8">
        <v>-0.23150267660000001</v>
      </c>
      <c r="NG8">
        <v>0.4354436827</v>
      </c>
      <c r="NH8">
        <v>-1.8754255310000001</v>
      </c>
      <c r="NI8">
        <v>0.89314593229999995</v>
      </c>
      <c r="NJ8">
        <v>2.5205186030000002</v>
      </c>
      <c r="NK8">
        <v>0.68383973050000002</v>
      </c>
      <c r="NL8">
        <v>1.597184763</v>
      </c>
      <c r="NM8">
        <v>6.5723798599999999</v>
      </c>
      <c r="NN8">
        <v>1.9630648530000001</v>
      </c>
      <c r="NO8">
        <v>0.70010053719999998</v>
      </c>
      <c r="NP8">
        <v>0.84179999709999997</v>
      </c>
      <c r="NQ8">
        <v>4.5774599839999999</v>
      </c>
      <c r="NR8">
        <v>0.26964537630000002</v>
      </c>
      <c r="NS8">
        <v>5.249175834E-2</v>
      </c>
      <c r="NT8">
        <v>0.1218186799</v>
      </c>
      <c r="NU8">
        <v>0.41913136979999999</v>
      </c>
      <c r="NV8">
        <v>18.969496100000001</v>
      </c>
      <c r="NW8">
        <v>9.3062464089999999</v>
      </c>
      <c r="NX8">
        <v>3.2950022109999999</v>
      </c>
      <c r="NY8">
        <v>63.943481779999999</v>
      </c>
      <c r="NZ8">
        <v>2.3973653509999999</v>
      </c>
      <c r="OA8">
        <v>0.67372146200000005</v>
      </c>
      <c r="OB8">
        <v>0.92491375659999997</v>
      </c>
      <c r="OC8">
        <v>4.3458143509999996</v>
      </c>
      <c r="OD8">
        <v>17.789513280000001</v>
      </c>
      <c r="OE8">
        <v>5.7529495439999998</v>
      </c>
      <c r="OF8">
        <v>0</v>
      </c>
      <c r="OG8">
        <v>32.618310479999998</v>
      </c>
      <c r="OH8">
        <v>5.6606155649999996</v>
      </c>
      <c r="OI8">
        <v>1.767746966</v>
      </c>
      <c r="OJ8">
        <v>2.184617678</v>
      </c>
      <c r="OK8">
        <v>11.879306290000001</v>
      </c>
      <c r="OL8">
        <v>1.85031287</v>
      </c>
      <c r="OM8">
        <v>-0.3602347823</v>
      </c>
      <c r="ON8">
        <v>3.0458895639999999</v>
      </c>
      <c r="OO8">
        <v>6.3865230000000004</v>
      </c>
      <c r="OP8">
        <v>8.1676889999999993</v>
      </c>
      <c r="OQ8">
        <v>14.554212</v>
      </c>
      <c r="OR8">
        <v>1.4776980239999999</v>
      </c>
      <c r="OS8" s="2">
        <v>6.4934908999999999E-5</v>
      </c>
      <c r="OT8">
        <v>2.3841256849999998E-3</v>
      </c>
      <c r="OU8" s="2">
        <v>6.4934908999999999E-5</v>
      </c>
      <c r="OV8">
        <v>1.6970752799999999E-3</v>
      </c>
      <c r="OW8">
        <v>2.1447777200000002E-3</v>
      </c>
      <c r="OX8">
        <v>2.3934796430000001E-4</v>
      </c>
      <c r="OY8">
        <v>4.7308723700000002</v>
      </c>
      <c r="OZ8">
        <v>1.222450496</v>
      </c>
      <c r="PA8">
        <v>2.1504632940000001</v>
      </c>
      <c r="PB8">
        <v>8.3617428230000002</v>
      </c>
      <c r="PC8">
        <v>88.388917090000007</v>
      </c>
      <c r="PD8">
        <v>1.8249486800000001</v>
      </c>
      <c r="PE8">
        <v>-0.31171197830000003</v>
      </c>
      <c r="PF8">
        <v>2.8138516079999998</v>
      </c>
      <c r="PG8">
        <v>5.6473310000000003</v>
      </c>
      <c r="PH8">
        <v>6.7336770000000001</v>
      </c>
      <c r="PI8">
        <v>12.381008</v>
      </c>
      <c r="PJ8">
        <v>1.4670414949999999</v>
      </c>
      <c r="PK8" s="2">
        <v>6.2116300089999995E-5</v>
      </c>
      <c r="PL8">
        <v>2.3744214740000001E-3</v>
      </c>
      <c r="PM8" s="2">
        <v>6.2116300089999995E-5</v>
      </c>
      <c r="PN8">
        <v>1.696097365E-3</v>
      </c>
      <c r="PO8">
        <v>2.1418906350000001E-3</v>
      </c>
      <c r="PP8">
        <v>2.3253083969999999E-4</v>
      </c>
      <c r="PQ8">
        <v>4.7280519129999998</v>
      </c>
      <c r="PR8">
        <v>1.1563217960000001</v>
      </c>
      <c r="PS8">
        <v>2.0363174480000001</v>
      </c>
      <c r="PT8">
        <v>8.3237911590000007</v>
      </c>
      <c r="PU8">
        <v>88.393724219999996</v>
      </c>
      <c r="PV8">
        <v>5.3859483380000004</v>
      </c>
      <c r="PW8">
        <v>1.0794836320000001</v>
      </c>
      <c r="PX8">
        <v>2.3148207300000001</v>
      </c>
      <c r="PY8">
        <v>8.688754994</v>
      </c>
      <c r="PZ8">
        <v>88.912580869999999</v>
      </c>
      <c r="QA8">
        <v>5.3826659890000004</v>
      </c>
      <c r="QB8">
        <v>1.014828952</v>
      </c>
      <c r="QC8">
        <v>2.1814425540000002</v>
      </c>
      <c r="QD8">
        <v>8.6883869130000004</v>
      </c>
      <c r="QE8">
        <v>88.919102510000002</v>
      </c>
      <c r="QF8" s="2">
        <v>5.8564433599999998E-5</v>
      </c>
      <c r="QG8">
        <v>1.924014307E-3</v>
      </c>
      <c r="QH8">
        <v>2.4710526929999999E-3</v>
      </c>
      <c r="QI8">
        <v>2.6022648639999999E-4</v>
      </c>
      <c r="QJ8" s="2">
        <v>5.5790466179999998E-5</v>
      </c>
      <c r="QK8">
        <v>1.92303277E-3</v>
      </c>
      <c r="QL8">
        <v>2.4684332299999999E-3</v>
      </c>
      <c r="QM8">
        <v>2.5269809E-4</v>
      </c>
      <c r="QN8">
        <v>14.34799967</v>
      </c>
      <c r="QO8">
        <v>2.1577095170000001E-2</v>
      </c>
      <c r="QP8">
        <v>4.9756253460000002</v>
      </c>
      <c r="QQ8">
        <v>174.771704</v>
      </c>
      <c r="QR8">
        <v>14.31845328</v>
      </c>
      <c r="QS8">
        <v>1.9591295670000002E-2</v>
      </c>
      <c r="QT8">
        <v>4.9746729350000001</v>
      </c>
      <c r="QU8">
        <v>174.7719879</v>
      </c>
    </row>
    <row r="9" spans="1:463" x14ac:dyDescent="0.2">
      <c r="A9" t="s">
        <v>280</v>
      </c>
      <c r="B9" s="2">
        <v>1.1496108419999999E-11</v>
      </c>
      <c r="C9" s="2">
        <v>1.069713336E-11</v>
      </c>
      <c r="D9">
        <v>5.4275399629999995E-4</v>
      </c>
      <c r="E9">
        <v>6.3108006760000002E-2</v>
      </c>
      <c r="F9">
        <v>0.52610573159999996</v>
      </c>
      <c r="G9">
        <v>1.667261323E-3</v>
      </c>
      <c r="H9">
        <v>0.19385861660000001</v>
      </c>
      <c r="I9">
        <v>1.616120276</v>
      </c>
      <c r="J9">
        <v>32.553082089999997</v>
      </c>
      <c r="K9">
        <v>32.553624839999998</v>
      </c>
      <c r="L9">
        <v>32.553624839999998</v>
      </c>
      <c r="M9">
        <v>32.553624839999998</v>
      </c>
      <c r="N9">
        <v>32.490516829999997</v>
      </c>
      <c r="O9">
        <v>32.553624839999998</v>
      </c>
      <c r="P9">
        <v>32.02751911</v>
      </c>
      <c r="Q9">
        <v>32.553624839999998</v>
      </c>
      <c r="R9">
        <v>4.6530489880000001</v>
      </c>
      <c r="S9">
        <v>0.58308500630000004</v>
      </c>
      <c r="T9">
        <v>3.320885396</v>
      </c>
      <c r="U9">
        <v>6.3547501740000003</v>
      </c>
      <c r="V9">
        <v>6.9150051269999997</v>
      </c>
      <c r="W9">
        <v>1.0379638449999999</v>
      </c>
      <c r="X9">
        <v>4.2812045840000001</v>
      </c>
      <c r="Y9">
        <v>9.0325187299999996</v>
      </c>
      <c r="Z9">
        <v>11.568054119999999</v>
      </c>
      <c r="AA9">
        <v>1.2298139779999999</v>
      </c>
      <c r="AB9">
        <v>8.0875710000000005</v>
      </c>
      <c r="AC9">
        <v>13.287718</v>
      </c>
      <c r="AD9">
        <v>3.207373466</v>
      </c>
      <c r="AE9">
        <v>0.4577334837</v>
      </c>
      <c r="AF9">
        <v>2.1900319879999999</v>
      </c>
      <c r="AG9">
        <v>4.4224270829999996</v>
      </c>
      <c r="AH9">
        <v>11.568054119999999</v>
      </c>
      <c r="AI9">
        <v>1.2298139779999999</v>
      </c>
      <c r="AJ9">
        <v>8.0875710000000005</v>
      </c>
      <c r="AK9">
        <v>13.287718</v>
      </c>
      <c r="AL9">
        <v>1.654415797</v>
      </c>
      <c r="AM9">
        <v>0.2675291145</v>
      </c>
      <c r="AN9">
        <v>1.062200501</v>
      </c>
      <c r="AO9">
        <v>2.4204583660000001</v>
      </c>
      <c r="AP9">
        <v>2.0466658889999998</v>
      </c>
      <c r="AQ9">
        <v>0.30595331199999998</v>
      </c>
      <c r="AR9">
        <v>1.307517018</v>
      </c>
      <c r="AS9">
        <v>2.801929989</v>
      </c>
      <c r="AT9">
        <v>-0.29434102699999998</v>
      </c>
      <c r="AU9">
        <v>0.3305235379</v>
      </c>
      <c r="AV9">
        <v>-1.621529142</v>
      </c>
      <c r="AW9">
        <v>0.3824705129</v>
      </c>
      <c r="AX9">
        <v>2.8814753940000002</v>
      </c>
      <c r="AY9">
        <v>0.61309722089999996</v>
      </c>
      <c r="AZ9">
        <v>1.8964363070000001</v>
      </c>
      <c r="BA9">
        <v>6.2431209799999996</v>
      </c>
      <c r="BB9">
        <v>0.12083204760000001</v>
      </c>
      <c r="BC9">
        <v>3.4097600550000003E-2</v>
      </c>
      <c r="BD9">
        <v>7.1347585960000001E-2</v>
      </c>
      <c r="BE9">
        <v>0.2663399991</v>
      </c>
      <c r="BF9">
        <v>12.06106333</v>
      </c>
      <c r="BG9">
        <v>1.6015530549999999</v>
      </c>
      <c r="BH9">
        <v>8.5170125100000007</v>
      </c>
      <c r="BI9">
        <v>21.088204099999999</v>
      </c>
      <c r="BJ9">
        <v>2.4276558920000002</v>
      </c>
      <c r="BK9">
        <v>1.718354844</v>
      </c>
      <c r="BL9">
        <v>0.24325519679999999</v>
      </c>
      <c r="BM9">
        <v>8.6583338170000008</v>
      </c>
      <c r="BN9">
        <v>3.5595664</v>
      </c>
      <c r="BO9">
        <v>0.67136475090000003</v>
      </c>
      <c r="BP9">
        <v>2.1340346490000002</v>
      </c>
      <c r="BQ9">
        <v>5.7713264869999996</v>
      </c>
      <c r="BR9">
        <v>88.618397389999998</v>
      </c>
      <c r="BS9">
        <v>22.140478730000002</v>
      </c>
      <c r="BT9">
        <v>37.545993969999998</v>
      </c>
      <c r="BU9">
        <v>140.1589117</v>
      </c>
      <c r="BV9">
        <v>4.1505045489999999</v>
      </c>
      <c r="BW9">
        <v>0.52813549569999996</v>
      </c>
      <c r="BX9">
        <v>3.0184741150000001</v>
      </c>
      <c r="BY9">
        <v>5.6590142910000001</v>
      </c>
      <c r="BZ9">
        <v>5.8662067770000004</v>
      </c>
      <c r="CA9">
        <v>0.5351722592</v>
      </c>
      <c r="CB9">
        <v>4.2812045840000001</v>
      </c>
      <c r="CC9">
        <v>7.1145289529999998</v>
      </c>
      <c r="CD9">
        <v>10.01671133</v>
      </c>
      <c r="CE9">
        <v>0.48454759660000002</v>
      </c>
      <c r="CF9">
        <v>8.0875710000000005</v>
      </c>
      <c r="CG9">
        <v>10.461262</v>
      </c>
      <c r="CH9">
        <v>3.0443906790000002</v>
      </c>
      <c r="CI9">
        <v>0.39196965820000002</v>
      </c>
      <c r="CJ9">
        <v>2.1900319879999999</v>
      </c>
      <c r="CK9">
        <v>3.9963630320000001</v>
      </c>
      <c r="CL9">
        <v>10.01671133</v>
      </c>
      <c r="CM9">
        <v>0.48454759660000002</v>
      </c>
      <c r="CN9">
        <v>8.0875710000000005</v>
      </c>
      <c r="CO9">
        <v>10.461262</v>
      </c>
      <c r="CP9">
        <v>1.6409648029999999</v>
      </c>
      <c r="CQ9">
        <v>0.26008791320000002</v>
      </c>
      <c r="CR9">
        <v>1.062200501</v>
      </c>
      <c r="CS9">
        <v>2.3812588479999999</v>
      </c>
      <c r="CT9">
        <v>2.0171345669999998</v>
      </c>
      <c r="CU9">
        <v>0.2878648586</v>
      </c>
      <c r="CV9">
        <v>1.307517018</v>
      </c>
      <c r="CW9">
        <v>2.734273833</v>
      </c>
      <c r="CX9">
        <v>-0.25628512739999998</v>
      </c>
      <c r="CY9">
        <v>0.30459637010000001</v>
      </c>
      <c r="CZ9">
        <v>-1.4809468969999999</v>
      </c>
      <c r="DA9">
        <v>0.39858046359999999</v>
      </c>
      <c r="DB9">
        <v>2.6960809170000002</v>
      </c>
      <c r="DC9">
        <v>0.48662833220000001</v>
      </c>
      <c r="DD9">
        <v>1.7701629210000001</v>
      </c>
      <c r="DE9">
        <v>5.39429611</v>
      </c>
      <c r="DF9">
        <v>0.1144583654</v>
      </c>
      <c r="DG9">
        <v>3.1820382510000002E-2</v>
      </c>
      <c r="DH9">
        <v>6.7715172180000005E-2</v>
      </c>
      <c r="DI9">
        <v>0.26640899909999999</v>
      </c>
      <c r="DJ9">
        <v>11.774273470000001</v>
      </c>
      <c r="DK9">
        <v>1.429551714</v>
      </c>
      <c r="DL9">
        <v>8.5170125100000007</v>
      </c>
      <c r="DM9">
        <v>19.853815180000002</v>
      </c>
      <c r="DN9">
        <v>5.847752378</v>
      </c>
      <c r="DO9">
        <v>2.7010814710000002</v>
      </c>
      <c r="DP9">
        <v>0.77399380799999995</v>
      </c>
      <c r="DQ9">
        <v>13.865546220000001</v>
      </c>
      <c r="DR9">
        <v>3.5570409490000001</v>
      </c>
      <c r="DS9">
        <v>0.66971908579999995</v>
      </c>
      <c r="DT9">
        <v>2.13396593</v>
      </c>
      <c r="DU9">
        <v>5.7489201860000003</v>
      </c>
      <c r="DV9">
        <v>93.264182629999993</v>
      </c>
      <c r="DW9">
        <v>22.621616370000002</v>
      </c>
      <c r="DX9">
        <v>37.53626955</v>
      </c>
      <c r="DY9">
        <v>147.67739159999999</v>
      </c>
      <c r="DZ9">
        <v>3.0589421030000001</v>
      </c>
      <c r="EA9">
        <v>0.45199491339999998</v>
      </c>
      <c r="EB9">
        <v>1.875288632</v>
      </c>
      <c r="EC9">
        <v>4.8810140830000002</v>
      </c>
      <c r="ED9">
        <v>3.6677056270000001</v>
      </c>
      <c r="EE9">
        <v>0.48503534809999999</v>
      </c>
      <c r="EF9">
        <v>2.5804204550000001</v>
      </c>
      <c r="EG9">
        <v>5.6216486750000003</v>
      </c>
      <c r="EH9">
        <v>6.7266477299999998</v>
      </c>
      <c r="EI9">
        <v>0.81266121599999996</v>
      </c>
      <c r="EJ9">
        <v>4.9488462860000002</v>
      </c>
      <c r="EK9">
        <v>9.2252322860000007</v>
      </c>
      <c r="EL9">
        <v>2.4700697840000001</v>
      </c>
      <c r="EM9">
        <v>0.29294047989999999</v>
      </c>
      <c r="EN9">
        <v>1.83719111</v>
      </c>
      <c r="EO9">
        <v>3.48315222</v>
      </c>
      <c r="EP9">
        <v>9.8961307420000004</v>
      </c>
      <c r="EQ9">
        <v>1.4835658860000001</v>
      </c>
      <c r="ER9">
        <v>6.408442</v>
      </c>
      <c r="ES9">
        <v>13.570634</v>
      </c>
      <c r="ET9">
        <v>0.92692430380000002</v>
      </c>
      <c r="EU9">
        <v>0.1112466179</v>
      </c>
      <c r="EV9">
        <v>0.66399769460000002</v>
      </c>
      <c r="EW9">
        <v>1.2863455269999999</v>
      </c>
      <c r="EX9">
        <v>1.1938267469999999</v>
      </c>
      <c r="EY9">
        <v>0.1444486173</v>
      </c>
      <c r="EZ9">
        <v>0.829106958</v>
      </c>
      <c r="FA9">
        <v>1.691988102</v>
      </c>
      <c r="FB9">
        <v>-0.1780235308</v>
      </c>
      <c r="FC9">
        <v>0.20633267</v>
      </c>
      <c r="FD9">
        <v>-0.69231136790000003</v>
      </c>
      <c r="FE9">
        <v>0.66986304090000004</v>
      </c>
      <c r="FF9">
        <v>3.6096055580000002</v>
      </c>
      <c r="FG9">
        <v>0.49029819720000001</v>
      </c>
      <c r="FH9">
        <v>2.7590403189999999</v>
      </c>
      <c r="FI9">
        <v>5.46322844</v>
      </c>
      <c r="FJ9">
        <v>4.4941874410000002</v>
      </c>
      <c r="FK9">
        <v>0.89191245770000005</v>
      </c>
      <c r="FL9">
        <v>2.2383880610000002</v>
      </c>
      <c r="FM9">
        <v>7.2267613390000003</v>
      </c>
      <c r="FN9">
        <v>5.4005307220000001</v>
      </c>
      <c r="FO9">
        <v>1.0068482910000001</v>
      </c>
      <c r="FP9">
        <v>3.4053938829999999</v>
      </c>
      <c r="FQ9">
        <v>8.8357281029999992</v>
      </c>
      <c r="FR9">
        <v>9.3491432109999995</v>
      </c>
      <c r="FS9">
        <v>1.42122986</v>
      </c>
      <c r="FT9">
        <v>6.1103269999999998</v>
      </c>
      <c r="FU9">
        <v>12.645657</v>
      </c>
      <c r="FV9">
        <v>7.4148198470000004</v>
      </c>
      <c r="FW9">
        <v>1.7914658320000001</v>
      </c>
      <c r="FX9">
        <v>3.5260660000000001</v>
      </c>
      <c r="FY9">
        <v>12.51577</v>
      </c>
      <c r="FZ9">
        <v>5.9817694880000001E-2</v>
      </c>
      <c r="GA9">
        <v>7.8335987740000002E-3</v>
      </c>
      <c r="GB9">
        <v>4.5528594880000002E-2</v>
      </c>
      <c r="GC9">
        <v>8.378272698E-2</v>
      </c>
      <c r="GD9">
        <v>11.62197868</v>
      </c>
      <c r="GE9">
        <v>1.4611466390000001</v>
      </c>
      <c r="GF9">
        <v>8.6277898509999993</v>
      </c>
      <c r="GG9">
        <v>18.237704950000001</v>
      </c>
      <c r="GH9">
        <v>0.93779702200000004</v>
      </c>
      <c r="GI9">
        <v>0.87914007329999999</v>
      </c>
      <c r="GJ9">
        <v>2.4624476730000001E-2</v>
      </c>
      <c r="GK9">
        <v>5.6636296479999997</v>
      </c>
      <c r="GL9">
        <v>1.796296967</v>
      </c>
      <c r="GM9">
        <v>0.22380688230000001</v>
      </c>
      <c r="GN9">
        <v>1.258756918</v>
      </c>
      <c r="GO9">
        <v>2.5109555860000001</v>
      </c>
      <c r="GP9">
        <v>7.4208302570000004</v>
      </c>
      <c r="GQ9">
        <v>1.5728524779999999</v>
      </c>
      <c r="GR9">
        <v>3.6652017240000001</v>
      </c>
      <c r="GS9">
        <v>12.280961250000001</v>
      </c>
      <c r="GT9">
        <v>169.9974216</v>
      </c>
      <c r="GU9">
        <v>21.814058960000001</v>
      </c>
      <c r="GV9">
        <v>119.3563442</v>
      </c>
      <c r="GW9">
        <v>219.6421837</v>
      </c>
      <c r="GX9">
        <v>2.9569341850000002</v>
      </c>
      <c r="GY9">
        <v>0.40927763960000002</v>
      </c>
      <c r="GZ9">
        <v>1.875288632</v>
      </c>
      <c r="HA9">
        <v>4.5046764550000002</v>
      </c>
      <c r="HB9">
        <v>3.496082597</v>
      </c>
      <c r="HC9">
        <v>0.38609735620000002</v>
      </c>
      <c r="HD9">
        <v>2.5804204550000001</v>
      </c>
      <c r="HE9">
        <v>4.6790168310000002</v>
      </c>
      <c r="HF9">
        <v>6.4530167809999996</v>
      </c>
      <c r="HG9">
        <v>0.66571549169999999</v>
      </c>
      <c r="HH9">
        <v>4.9488462860000002</v>
      </c>
      <c r="HI9">
        <v>8.2066864289999994</v>
      </c>
      <c r="HJ9">
        <v>2.3955928989999999</v>
      </c>
      <c r="HK9">
        <v>0.2625014255</v>
      </c>
      <c r="HL9">
        <v>1.779810991</v>
      </c>
      <c r="HM9">
        <v>3.2688251190000002</v>
      </c>
      <c r="HN9">
        <v>9.1913427950000006</v>
      </c>
      <c r="HO9">
        <v>1.1416233739999999</v>
      </c>
      <c r="HP9">
        <v>6.3620619999999999</v>
      </c>
      <c r="HQ9">
        <v>12.644601</v>
      </c>
      <c r="HR9">
        <v>0.91691846330000004</v>
      </c>
      <c r="HS9">
        <v>0.10602785150000001</v>
      </c>
      <c r="HT9">
        <v>0.66399769460000002</v>
      </c>
      <c r="HU9">
        <v>1.2393826029999999</v>
      </c>
      <c r="HV9">
        <v>1.1733447969999999</v>
      </c>
      <c r="HW9">
        <v>0.134015463</v>
      </c>
      <c r="HX9">
        <v>0.829106958</v>
      </c>
      <c r="HY9">
        <v>1.5887383799999999</v>
      </c>
      <c r="HZ9">
        <v>-0.1613589859</v>
      </c>
      <c r="IA9">
        <v>0.20103657359999999</v>
      </c>
      <c r="IB9">
        <v>-0.62491349249999995</v>
      </c>
      <c r="IC9">
        <v>0.72893900300000003</v>
      </c>
      <c r="ID9">
        <v>3.4651718389999999</v>
      </c>
      <c r="IE9">
        <v>0.4161998771</v>
      </c>
      <c r="IF9">
        <v>2.7590403189999999</v>
      </c>
      <c r="IG9">
        <v>4.9234371269999997</v>
      </c>
      <c r="IH9">
        <v>4.274356536</v>
      </c>
      <c r="II9">
        <v>0.82970184440000005</v>
      </c>
      <c r="IJ9">
        <v>2.2383880610000002</v>
      </c>
      <c r="IK9">
        <v>7.0548815029999998</v>
      </c>
      <c r="IL9">
        <v>4.9154470850000003</v>
      </c>
      <c r="IM9">
        <v>0.72708107399999999</v>
      </c>
      <c r="IN9">
        <v>3.4053937649999999</v>
      </c>
      <c r="IO9">
        <v>7.6836067180000001</v>
      </c>
      <c r="IP9">
        <v>8.6246044840000007</v>
      </c>
      <c r="IQ9">
        <v>0.98704449009999995</v>
      </c>
      <c r="IR9">
        <v>6.0960190000000001</v>
      </c>
      <c r="IS9">
        <v>11.245431</v>
      </c>
      <c r="IT9">
        <v>7.1053036580000004</v>
      </c>
      <c r="IU9">
        <v>1.497667064</v>
      </c>
      <c r="IV9">
        <v>3.5260660000000001</v>
      </c>
      <c r="IW9">
        <v>11.245431</v>
      </c>
      <c r="IX9">
        <v>5.8299227350000003E-2</v>
      </c>
      <c r="IY9">
        <v>7.3211956670000003E-3</v>
      </c>
      <c r="IZ9">
        <v>4.4324285560000003E-2</v>
      </c>
      <c r="JA9">
        <v>7.7859999730000004E-2</v>
      </c>
      <c r="JB9">
        <v>11.41996666</v>
      </c>
      <c r="JC9">
        <v>1.345053378</v>
      </c>
      <c r="JD9">
        <v>8.4791516409999996</v>
      </c>
      <c r="JE9">
        <v>17.212384329999999</v>
      </c>
      <c r="JF9">
        <v>1.1299369859999999</v>
      </c>
      <c r="JG9">
        <v>0.99524373779999997</v>
      </c>
      <c r="JH9">
        <v>2.4624476730000001E-2</v>
      </c>
      <c r="JI9">
        <v>5.8315055170000001</v>
      </c>
      <c r="JJ9">
        <v>1.7964033559999999</v>
      </c>
      <c r="JK9">
        <v>0.2241465014</v>
      </c>
      <c r="JL9">
        <v>1.2589570510000001</v>
      </c>
      <c r="JM9">
        <v>2.507868465</v>
      </c>
      <c r="JN9">
        <v>7.9216941140000001</v>
      </c>
      <c r="JO9">
        <v>1.5177751930000001</v>
      </c>
      <c r="JP9">
        <v>4.8756463930000002</v>
      </c>
      <c r="JQ9">
        <v>12.3861118</v>
      </c>
      <c r="JR9">
        <v>174.2154721</v>
      </c>
      <c r="JS9">
        <v>21.611696930000001</v>
      </c>
      <c r="JT9">
        <v>128.43565419999999</v>
      </c>
      <c r="JU9">
        <v>225.60995339999999</v>
      </c>
      <c r="JV9">
        <v>2.4450778899999999</v>
      </c>
      <c r="JW9">
        <v>0.54818573960000005</v>
      </c>
      <c r="JX9">
        <v>0.923821958</v>
      </c>
      <c r="JY9">
        <v>4.3210032030000001</v>
      </c>
      <c r="JZ9">
        <v>2.953765594</v>
      </c>
      <c r="KA9">
        <v>0.84365081980000001</v>
      </c>
      <c r="KB9">
        <v>1.2807935269999999</v>
      </c>
      <c r="KC9">
        <v>5.6160800550000003</v>
      </c>
      <c r="KD9">
        <v>5.3988434840000004</v>
      </c>
      <c r="KE9">
        <v>1.152826567</v>
      </c>
      <c r="KF9">
        <v>2.2641629999999999</v>
      </c>
      <c r="KG9">
        <v>8.973433</v>
      </c>
      <c r="KH9">
        <v>4.006903361</v>
      </c>
      <c r="KI9">
        <v>1.310347436</v>
      </c>
      <c r="KJ9">
        <v>1.6021574999999999</v>
      </c>
      <c r="KK9">
        <v>8.973433</v>
      </c>
      <c r="KL9">
        <v>5.3988434840000004</v>
      </c>
      <c r="KM9">
        <v>1.152826567</v>
      </c>
      <c r="KN9">
        <v>2.2641629999999999</v>
      </c>
      <c r="KO9">
        <v>8.973433</v>
      </c>
      <c r="KP9">
        <v>1.123534681</v>
      </c>
      <c r="KQ9">
        <v>0.26918909940000002</v>
      </c>
      <c r="KR9">
        <v>0.529840435</v>
      </c>
      <c r="KS9">
        <v>1.860380672</v>
      </c>
      <c r="KT9">
        <v>1.3671229570000001</v>
      </c>
      <c r="KU9">
        <v>0.31027780459999998</v>
      </c>
      <c r="KV9">
        <v>0.69170647860000001</v>
      </c>
      <c r="KW9">
        <v>2.2855592640000002</v>
      </c>
      <c r="KX9">
        <v>-0.23917556249999999</v>
      </c>
      <c r="KY9">
        <v>0.45023859939999999</v>
      </c>
      <c r="KZ9">
        <v>-1.948335892</v>
      </c>
      <c r="LA9">
        <v>0.92207825070000005</v>
      </c>
      <c r="LB9">
        <v>2.5383968289999999</v>
      </c>
      <c r="LC9">
        <v>0.69697937789999997</v>
      </c>
      <c r="LD9">
        <v>1.612920701</v>
      </c>
      <c r="LE9">
        <v>6.743578361</v>
      </c>
      <c r="LF9">
        <v>1.9703837989999999</v>
      </c>
      <c r="LG9">
        <v>0.70932574950000005</v>
      </c>
      <c r="LH9">
        <v>0.84731999710000006</v>
      </c>
      <c r="LI9">
        <v>4.5746999840000004</v>
      </c>
      <c r="LJ9">
        <v>0.2787164292</v>
      </c>
      <c r="LK9">
        <v>5.5411957720000002E-2</v>
      </c>
      <c r="LL9">
        <v>0.1243702374</v>
      </c>
      <c r="LM9">
        <v>0.43567034700000001</v>
      </c>
      <c r="LN9">
        <v>18.411443500000001</v>
      </c>
      <c r="LO9">
        <v>9.0960858120000001</v>
      </c>
      <c r="LP9">
        <v>3.3834586469999999</v>
      </c>
      <c r="LQ9">
        <v>63.843432110000002</v>
      </c>
      <c r="LR9">
        <v>2.4587659510000002</v>
      </c>
      <c r="LS9">
        <v>0.69030831000000004</v>
      </c>
      <c r="LT9">
        <v>0.91041608699999998</v>
      </c>
      <c r="LU9">
        <v>4.3977934269999999</v>
      </c>
      <c r="LV9">
        <v>17.76794426</v>
      </c>
      <c r="LW9">
        <v>5.7402588039999998</v>
      </c>
      <c r="LX9">
        <v>2.056612119</v>
      </c>
      <c r="LY9">
        <v>32.799832960000003</v>
      </c>
      <c r="LZ9">
        <v>5.640532543</v>
      </c>
      <c r="MA9">
        <v>1.7382372589999999</v>
      </c>
      <c r="MB9">
        <v>2.1859356970000001</v>
      </c>
      <c r="MC9">
        <v>11.801916670000001</v>
      </c>
      <c r="MD9">
        <v>2.4283803310000001</v>
      </c>
      <c r="ME9">
        <v>0.54151887970000001</v>
      </c>
      <c r="MF9">
        <v>0.923821958</v>
      </c>
      <c r="MG9">
        <v>4.2486112990000002</v>
      </c>
      <c r="MH9">
        <v>2.8954382839999999</v>
      </c>
      <c r="MI9">
        <v>0.77152922079999997</v>
      </c>
      <c r="MJ9">
        <v>1.2922447699999999</v>
      </c>
      <c r="MK9">
        <v>5.3369471869999998</v>
      </c>
      <c r="ML9">
        <v>5.3238186159999996</v>
      </c>
      <c r="MM9">
        <v>1.074748241</v>
      </c>
      <c r="MN9">
        <v>2.2641629999999999</v>
      </c>
      <c r="MO9">
        <v>8.2291810000000005</v>
      </c>
      <c r="MP9">
        <v>3.956461655</v>
      </c>
      <c r="MQ9">
        <v>1.258677528</v>
      </c>
      <c r="MR9">
        <v>1.6014634999999999</v>
      </c>
      <c r="MS9">
        <v>8.2291810000000005</v>
      </c>
      <c r="MT9">
        <v>5.3238186159999996</v>
      </c>
      <c r="MU9">
        <v>1.074748241</v>
      </c>
      <c r="MV9">
        <v>2.2641629999999999</v>
      </c>
      <c r="MW9">
        <v>8.2291810000000005</v>
      </c>
      <c r="MX9">
        <v>1.113698753</v>
      </c>
      <c r="MY9">
        <v>0.26267301580000002</v>
      </c>
      <c r="MZ9">
        <v>0.52946987560000003</v>
      </c>
      <c r="NA9">
        <v>1.7909844159999999</v>
      </c>
      <c r="NB9">
        <v>1.3528557219999999</v>
      </c>
      <c r="NC9">
        <v>0.29939673700000002</v>
      </c>
      <c r="ND9">
        <v>0.69113001470000002</v>
      </c>
      <c r="NE9">
        <v>2.1788946839999999</v>
      </c>
      <c r="NF9">
        <v>-0.22602763710000001</v>
      </c>
      <c r="NG9">
        <v>0.4410275495</v>
      </c>
      <c r="NH9">
        <v>-1.9416601099999999</v>
      </c>
      <c r="NI9">
        <v>0.92833863490000001</v>
      </c>
      <c r="NJ9">
        <v>2.5146809220000002</v>
      </c>
      <c r="NK9">
        <v>0.67512556270000001</v>
      </c>
      <c r="NL9">
        <v>1.6122226150000001</v>
      </c>
      <c r="NM9">
        <v>6.7493429960000002</v>
      </c>
      <c r="NN9">
        <v>1.981380608</v>
      </c>
      <c r="NO9">
        <v>0.71201733109999998</v>
      </c>
      <c r="NP9">
        <v>0.84731999710000006</v>
      </c>
      <c r="NQ9">
        <v>4.5719399840000001</v>
      </c>
      <c r="NR9">
        <v>0.27552121810000002</v>
      </c>
      <c r="NS9">
        <v>5.3345892220000003E-2</v>
      </c>
      <c r="NT9">
        <v>0.1243702374</v>
      </c>
      <c r="NU9">
        <v>0.42827681029999998</v>
      </c>
      <c r="NV9">
        <v>18.571621270000001</v>
      </c>
      <c r="NW9">
        <v>9.1702170649999992</v>
      </c>
      <c r="NX9">
        <v>3.361344538</v>
      </c>
      <c r="NY9">
        <v>63.843432110000002</v>
      </c>
      <c r="NZ9">
        <v>2.4425848509999999</v>
      </c>
      <c r="OA9">
        <v>0.68059107490000004</v>
      </c>
      <c r="OB9">
        <v>0.9101390426</v>
      </c>
      <c r="OC9">
        <v>4.3633648440000004</v>
      </c>
      <c r="OD9">
        <v>17.896521700000001</v>
      </c>
      <c r="OE9">
        <v>5.6739046980000003</v>
      </c>
      <c r="OF9">
        <v>2.056612119</v>
      </c>
      <c r="OG9">
        <v>32.795223350000001</v>
      </c>
      <c r="OH9">
        <v>5.612864385</v>
      </c>
      <c r="OI9">
        <v>1.7420149869999999</v>
      </c>
      <c r="OJ9">
        <v>2.1872553080000001</v>
      </c>
      <c r="OK9">
        <v>11.801916670000001</v>
      </c>
      <c r="OL9">
        <v>1.9295243849999999</v>
      </c>
      <c r="OM9">
        <v>-0.40253383050000002</v>
      </c>
      <c r="ON9">
        <v>3.1233702399999999</v>
      </c>
      <c r="OO9">
        <v>6.6062760000000003</v>
      </c>
      <c r="OP9">
        <v>9.0811460000000004</v>
      </c>
      <c r="OQ9">
        <v>15.687422</v>
      </c>
      <c r="OR9">
        <v>1.538372029</v>
      </c>
      <c r="OS9" s="2">
        <v>6.6068422400000006E-5</v>
      </c>
      <c r="OT9">
        <v>2.471821207E-3</v>
      </c>
      <c r="OU9" s="2">
        <v>6.6068422400000006E-5</v>
      </c>
      <c r="OV9">
        <v>1.764846887E-3</v>
      </c>
      <c r="OW9">
        <v>2.2181651129999998E-3</v>
      </c>
      <c r="OX9">
        <v>2.5365609459999998E-4</v>
      </c>
      <c r="OY9">
        <v>4.9136357549999996</v>
      </c>
      <c r="OZ9">
        <v>1.233114665</v>
      </c>
      <c r="PA9">
        <v>2.3023423589999998</v>
      </c>
      <c r="PB9">
        <v>8.1992683619999998</v>
      </c>
      <c r="PC9">
        <v>88.253399599999995</v>
      </c>
      <c r="PD9">
        <v>1.8997447679999999</v>
      </c>
      <c r="PE9">
        <v>-0.34295566669999999</v>
      </c>
      <c r="PF9">
        <v>2.8452667429999998</v>
      </c>
      <c r="PG9">
        <v>5.7279530000000003</v>
      </c>
      <c r="PH9">
        <v>7.257085</v>
      </c>
      <c r="PI9">
        <v>12.985037999999999</v>
      </c>
      <c r="PJ9">
        <v>1.5260517840000001</v>
      </c>
      <c r="PK9" s="2">
        <v>6.3032313990000005E-5</v>
      </c>
      <c r="PL9">
        <v>2.4607012729999998E-3</v>
      </c>
      <c r="PM9" s="2">
        <v>6.3032313990000005E-5</v>
      </c>
      <c r="PN9">
        <v>1.7638139309999999E-3</v>
      </c>
      <c r="PO9">
        <v>2.2152250690000001E-3</v>
      </c>
      <c r="PP9">
        <v>2.4547620420000001E-4</v>
      </c>
      <c r="PQ9">
        <v>4.9103494300000001</v>
      </c>
      <c r="PR9">
        <v>1.161433253</v>
      </c>
      <c r="PS9">
        <v>2.1665163550000002</v>
      </c>
      <c r="PT9">
        <v>8.1606985400000003</v>
      </c>
      <c r="PU9">
        <v>88.25813015</v>
      </c>
      <c r="PV9">
        <v>5.5771659749999998</v>
      </c>
      <c r="PW9">
        <v>1.088506298</v>
      </c>
      <c r="PX9">
        <v>2.4608622869999999</v>
      </c>
      <c r="PY9">
        <v>8.4350782009999996</v>
      </c>
      <c r="PZ9">
        <v>88.812810880000001</v>
      </c>
      <c r="QA9">
        <v>5.5744827939999997</v>
      </c>
      <c r="QB9">
        <v>1.0183977950000001</v>
      </c>
      <c r="QC9">
        <v>2.3048870140000002</v>
      </c>
      <c r="QD9">
        <v>8.4073278289999998</v>
      </c>
      <c r="QE9">
        <v>88.824483700000002</v>
      </c>
      <c r="QF9" s="2">
        <v>5.991619601E-5</v>
      </c>
      <c r="QG9">
        <v>1.9901325850000002E-3</v>
      </c>
      <c r="QH9">
        <v>2.5406474150000001E-3</v>
      </c>
      <c r="QI9">
        <v>2.7439760950000001E-4</v>
      </c>
      <c r="QJ9" s="2">
        <v>5.6947834829999999E-5</v>
      </c>
      <c r="QK9">
        <v>1.9889492249999998E-3</v>
      </c>
      <c r="QL9">
        <v>2.537848775E-3</v>
      </c>
      <c r="QM9">
        <v>2.6544203020000001E-4</v>
      </c>
      <c r="QN9">
        <v>14.369323509999999</v>
      </c>
      <c r="QO9">
        <v>2.1653871129999998E-2</v>
      </c>
      <c r="QP9">
        <v>4.9768572210000004</v>
      </c>
      <c r="QQ9">
        <v>174.778381</v>
      </c>
      <c r="QR9">
        <v>14.347118829999999</v>
      </c>
      <c r="QS9">
        <v>2.0525068149999999E-2</v>
      </c>
      <c r="QT9">
        <v>4.9763994230000002</v>
      </c>
      <c r="QU9">
        <v>174.7781568</v>
      </c>
    </row>
    <row r="10" spans="1:463" x14ac:dyDescent="0.2">
      <c r="A10" t="s">
        <v>281</v>
      </c>
      <c r="B10" s="2">
        <v>1.4429217349999999E-11</v>
      </c>
      <c r="C10" s="2">
        <v>7.2036586409999999E-12</v>
      </c>
      <c r="D10">
        <v>9.0649439369999999E-4</v>
      </c>
      <c r="E10">
        <v>4.2151989309999999E-2</v>
      </c>
      <c r="F10">
        <v>0.38611138410000001</v>
      </c>
      <c r="G10">
        <v>2.7792171769999998E-3</v>
      </c>
      <c r="H10">
        <v>0.12923359879999999</v>
      </c>
      <c r="I10">
        <v>1.1837771960000001</v>
      </c>
      <c r="J10">
        <v>32.61599013</v>
      </c>
      <c r="K10">
        <v>32.616896619999999</v>
      </c>
      <c r="L10">
        <v>32.616896619999999</v>
      </c>
      <c r="M10">
        <v>32.616896619999999</v>
      </c>
      <c r="N10">
        <v>32.574744639999999</v>
      </c>
      <c r="O10">
        <v>32.616896619999999</v>
      </c>
      <c r="P10">
        <v>32.230785240000003</v>
      </c>
      <c r="Q10">
        <v>32.616896619999999</v>
      </c>
      <c r="R10">
        <v>4.1899000529999997</v>
      </c>
      <c r="S10">
        <v>0.57764473839999997</v>
      </c>
      <c r="T10">
        <v>2.901950056</v>
      </c>
      <c r="U10">
        <v>6.185153938</v>
      </c>
      <c r="V10">
        <v>5.0712009829999998</v>
      </c>
      <c r="W10">
        <v>0.96141997739999996</v>
      </c>
      <c r="X10">
        <v>3.1565865670000002</v>
      </c>
      <c r="Y10">
        <v>7.4339671919999999</v>
      </c>
      <c r="Z10">
        <v>9.2611010369999995</v>
      </c>
      <c r="AA10">
        <v>1.182488057</v>
      </c>
      <c r="AB10">
        <v>6.5116009999999998</v>
      </c>
      <c r="AC10">
        <v>11.526085</v>
      </c>
      <c r="AD10">
        <v>2.8176206490000002</v>
      </c>
      <c r="AE10">
        <v>0.58034959610000003</v>
      </c>
      <c r="AF10">
        <v>1.774346937</v>
      </c>
      <c r="AG10">
        <v>5.0723927499999997</v>
      </c>
      <c r="AH10">
        <v>9.2611010369999995</v>
      </c>
      <c r="AI10">
        <v>1.182488057</v>
      </c>
      <c r="AJ10">
        <v>6.5116009999999998</v>
      </c>
      <c r="AK10">
        <v>11.526085</v>
      </c>
      <c r="AL10">
        <v>1.493444606</v>
      </c>
      <c r="AM10">
        <v>0.2620370474</v>
      </c>
      <c r="AN10">
        <v>0.92942948449999996</v>
      </c>
      <c r="AO10">
        <v>2.2296397539999999</v>
      </c>
      <c r="AP10">
        <v>1.840794907</v>
      </c>
      <c r="AQ10">
        <v>0.30006207569999999</v>
      </c>
      <c r="AR10">
        <v>1.156851785</v>
      </c>
      <c r="AS10">
        <v>2.661615061</v>
      </c>
      <c r="AT10">
        <v>-0.2157866863</v>
      </c>
      <c r="AU10">
        <v>0.38495230520000001</v>
      </c>
      <c r="AV10">
        <v>-2.0259943790000001</v>
      </c>
      <c r="AW10">
        <v>0.53131293609999997</v>
      </c>
      <c r="AX10">
        <v>2.7742620530000002</v>
      </c>
      <c r="AY10">
        <v>0.79403051660000001</v>
      </c>
      <c r="AZ10">
        <v>1.9217023769999999</v>
      </c>
      <c r="BA10">
        <v>8.59220483</v>
      </c>
      <c r="BB10">
        <v>0.26174719159999998</v>
      </c>
      <c r="BC10">
        <v>9.2069711619999994E-2</v>
      </c>
      <c r="BD10">
        <v>0.1294199996</v>
      </c>
      <c r="BE10">
        <v>0.71466749750000003</v>
      </c>
      <c r="BF10">
        <v>4.4422817710000002</v>
      </c>
      <c r="BG10">
        <v>0.40336591519999998</v>
      </c>
      <c r="BH10">
        <v>3.3916878530000001</v>
      </c>
      <c r="BI10">
        <v>5.7420850510000001</v>
      </c>
      <c r="BJ10">
        <v>3.53810124</v>
      </c>
      <c r="BK10">
        <v>1.8638836489999999</v>
      </c>
      <c r="BL10">
        <v>0.37560760050000003</v>
      </c>
      <c r="BM10">
        <v>10.31816173</v>
      </c>
      <c r="BN10">
        <v>3.2132683599999998</v>
      </c>
      <c r="BO10">
        <v>0.65111045069999995</v>
      </c>
      <c r="BP10">
        <v>1.594774299</v>
      </c>
      <c r="BQ10">
        <v>4.905650251</v>
      </c>
      <c r="BR10">
        <v>42.378796510000001</v>
      </c>
      <c r="BS10">
        <v>13.12385963</v>
      </c>
      <c r="BT10">
        <v>13.992521050000001</v>
      </c>
      <c r="BU10">
        <v>77.267810499999996</v>
      </c>
      <c r="BV10">
        <v>3.9298934760000002</v>
      </c>
      <c r="BW10">
        <v>0.52770906259999995</v>
      </c>
      <c r="BX10">
        <v>2.901950056</v>
      </c>
      <c r="BY10">
        <v>5.6089761520000003</v>
      </c>
      <c r="BZ10">
        <v>4.7626414500000003</v>
      </c>
      <c r="CA10">
        <v>0.67893232800000003</v>
      </c>
      <c r="CB10">
        <v>3.1565865670000002</v>
      </c>
      <c r="CC10">
        <v>6.232044396</v>
      </c>
      <c r="CD10">
        <v>8.6925349260000004</v>
      </c>
      <c r="CE10">
        <v>0.78431390400000001</v>
      </c>
      <c r="CF10">
        <v>6.5116009999999998</v>
      </c>
      <c r="CG10">
        <v>9.562595</v>
      </c>
      <c r="CH10">
        <v>2.7349609620000002</v>
      </c>
      <c r="CI10">
        <v>0.51177130739999999</v>
      </c>
      <c r="CJ10">
        <v>1.7701508669999999</v>
      </c>
      <c r="CK10">
        <v>4.8968569999999998</v>
      </c>
      <c r="CL10">
        <v>8.6925349260000004</v>
      </c>
      <c r="CM10">
        <v>0.78431390400000001</v>
      </c>
      <c r="CN10">
        <v>6.5116009999999998</v>
      </c>
      <c r="CO10">
        <v>9.562595</v>
      </c>
      <c r="CP10">
        <v>1.4878119439999999</v>
      </c>
      <c r="CQ10">
        <v>0.2576518928</v>
      </c>
      <c r="CR10">
        <v>0.92925671259999998</v>
      </c>
      <c r="CS10">
        <v>2.1817196160000001</v>
      </c>
      <c r="CT10">
        <v>1.8279546449999999</v>
      </c>
      <c r="CU10">
        <v>0.28864283639999999</v>
      </c>
      <c r="CV10">
        <v>1.1563423100000001</v>
      </c>
      <c r="CW10">
        <v>2.576520811</v>
      </c>
      <c r="CX10">
        <v>-0.20414575330000001</v>
      </c>
      <c r="CY10">
        <v>0.36155711480000002</v>
      </c>
      <c r="CZ10">
        <v>-1.8715903620000001</v>
      </c>
      <c r="DA10">
        <v>0.53351181999999997</v>
      </c>
      <c r="DB10">
        <v>2.6931732749999999</v>
      </c>
      <c r="DC10">
        <v>0.67397707009999996</v>
      </c>
      <c r="DD10">
        <v>1.8993532280000001</v>
      </c>
      <c r="DE10">
        <v>7.2191212980000001</v>
      </c>
      <c r="DF10">
        <v>0.25435088160000002</v>
      </c>
      <c r="DG10">
        <v>8.4904924980000004E-2</v>
      </c>
      <c r="DH10">
        <v>0.1266370208</v>
      </c>
      <c r="DI10">
        <v>0.59661999789999998</v>
      </c>
      <c r="DJ10">
        <v>4.4237827830000001</v>
      </c>
      <c r="DK10">
        <v>0.3932943076</v>
      </c>
      <c r="DL10">
        <v>3.3916878530000001</v>
      </c>
      <c r="DM10">
        <v>5.718012893</v>
      </c>
      <c r="DN10">
        <v>5.337235239</v>
      </c>
      <c r="DO10">
        <v>2.7815994499999999</v>
      </c>
      <c r="DP10">
        <v>0.90587715420000003</v>
      </c>
      <c r="DQ10">
        <v>14.790176219999999</v>
      </c>
      <c r="DR10">
        <v>3.2132522419999998</v>
      </c>
      <c r="DS10">
        <v>0.65113527230000001</v>
      </c>
      <c r="DT10">
        <v>1.594842734</v>
      </c>
      <c r="DU10">
        <v>4.9050649049999997</v>
      </c>
      <c r="DV10">
        <v>43.352472550000002</v>
      </c>
      <c r="DW10">
        <v>13.22380207</v>
      </c>
      <c r="DX10">
        <v>16.76108752</v>
      </c>
      <c r="DY10">
        <v>78.965850059999994</v>
      </c>
      <c r="DZ10">
        <v>2.3349764369999999</v>
      </c>
      <c r="EA10">
        <v>0.35231960010000002</v>
      </c>
      <c r="EB10">
        <v>1.597744356</v>
      </c>
      <c r="EC10">
        <v>3.6812822719999998</v>
      </c>
      <c r="ED10">
        <v>2.1692239089999998</v>
      </c>
      <c r="EE10">
        <v>0.27182656999999999</v>
      </c>
      <c r="EF10">
        <v>1.5865872000000001</v>
      </c>
      <c r="EG10">
        <v>3.2611585870000002</v>
      </c>
      <c r="EH10">
        <v>4.5042003470000003</v>
      </c>
      <c r="EI10">
        <v>0.55542736790000002</v>
      </c>
      <c r="EJ10">
        <v>3.2877485709999998</v>
      </c>
      <c r="EK10">
        <v>6.5958918569999998</v>
      </c>
      <c r="EL10">
        <v>1.8296066980000001</v>
      </c>
      <c r="EM10">
        <v>0.2130756936</v>
      </c>
      <c r="EN10">
        <v>1.3592378169999999</v>
      </c>
      <c r="EO10">
        <v>2.7269063099999999</v>
      </c>
      <c r="EP10">
        <v>7.0521157109999999</v>
      </c>
      <c r="EQ10">
        <v>1.285515892</v>
      </c>
      <c r="ER10">
        <v>4.0723890000000003</v>
      </c>
      <c r="ES10">
        <v>10.983722</v>
      </c>
      <c r="ET10">
        <v>0.72180660510000005</v>
      </c>
      <c r="EU10">
        <v>9.0140196330000005E-2</v>
      </c>
      <c r="EV10">
        <v>0.52115882579999995</v>
      </c>
      <c r="EW10">
        <v>1.009209169</v>
      </c>
      <c r="EX10">
        <v>0.9197346461</v>
      </c>
      <c r="EY10">
        <v>0.11852187290000001</v>
      </c>
      <c r="EZ10">
        <v>0.66353684940000002</v>
      </c>
      <c r="FA10">
        <v>1.30816636</v>
      </c>
      <c r="FB10">
        <v>0.12861160639999999</v>
      </c>
      <c r="FC10">
        <v>0.18908586890000001</v>
      </c>
      <c r="FD10">
        <v>-0.32749210950000002</v>
      </c>
      <c r="FE10">
        <v>0.67397723180000002</v>
      </c>
      <c r="FF10">
        <v>3.2143301740000001</v>
      </c>
      <c r="FG10">
        <v>0.39748301879999998</v>
      </c>
      <c r="FH10">
        <v>2.3279022020000002</v>
      </c>
      <c r="FI10">
        <v>4.7472367889999996</v>
      </c>
      <c r="FJ10">
        <v>3.636962778</v>
      </c>
      <c r="FK10">
        <v>0.80625713229999996</v>
      </c>
      <c r="FL10">
        <v>2.0222904869999998</v>
      </c>
      <c r="FM10">
        <v>6.5234678969999997</v>
      </c>
      <c r="FN10">
        <v>3.4151529329999999</v>
      </c>
      <c r="FO10">
        <v>0.72090282890000001</v>
      </c>
      <c r="FP10">
        <v>1.9126341490000001</v>
      </c>
      <c r="FQ10">
        <v>6.5037558110000004</v>
      </c>
      <c r="FR10">
        <v>6.7227012320000004</v>
      </c>
      <c r="FS10">
        <v>1.267245497</v>
      </c>
      <c r="FT10">
        <v>3.8411</v>
      </c>
      <c r="FU10">
        <v>10.983722</v>
      </c>
      <c r="FV10">
        <v>5.1120023840000002</v>
      </c>
      <c r="FW10">
        <v>1.351844195</v>
      </c>
      <c r="FX10">
        <v>2.4378359999999999</v>
      </c>
      <c r="FY10">
        <v>9.6795139999999993</v>
      </c>
      <c r="FZ10">
        <v>9.9133441820000001E-2</v>
      </c>
      <c r="GA10">
        <v>1.371217085E-2</v>
      </c>
      <c r="GB10">
        <v>7.0720519240000002E-2</v>
      </c>
      <c r="GC10">
        <v>0.14150594550000001</v>
      </c>
      <c r="GD10">
        <v>4.3671246720000001</v>
      </c>
      <c r="GE10">
        <v>0.41229089369999999</v>
      </c>
      <c r="GF10">
        <v>3.2933590800000001</v>
      </c>
      <c r="GG10">
        <v>5.674368426</v>
      </c>
      <c r="GH10">
        <v>1.7839322980000001</v>
      </c>
      <c r="GI10">
        <v>1.5029160960000001</v>
      </c>
      <c r="GJ10">
        <v>0.14774686040000001</v>
      </c>
      <c r="GK10">
        <v>9.0864319130000002</v>
      </c>
      <c r="GL10">
        <v>1.389417927</v>
      </c>
      <c r="GM10">
        <v>0.15902071609999999</v>
      </c>
      <c r="GN10">
        <v>1.0481297890000001</v>
      </c>
      <c r="GO10">
        <v>2.029884902</v>
      </c>
      <c r="GP10">
        <v>10.2348891</v>
      </c>
      <c r="GQ10">
        <v>1.5453752359999999</v>
      </c>
      <c r="GR10">
        <v>5.8060261559999997</v>
      </c>
      <c r="GS10">
        <v>14.94705738</v>
      </c>
      <c r="GT10">
        <v>102.75453899999999</v>
      </c>
      <c r="GU10">
        <v>13.81405953</v>
      </c>
      <c r="GV10">
        <v>70.668408790000001</v>
      </c>
      <c r="GW10">
        <v>141.4016767</v>
      </c>
      <c r="GX10">
        <v>2.297254267</v>
      </c>
      <c r="GY10">
        <v>0.3390340328</v>
      </c>
      <c r="GZ10">
        <v>1.597744356</v>
      </c>
      <c r="HA10">
        <v>3.6153498169999998</v>
      </c>
      <c r="HB10">
        <v>2.1441615879999998</v>
      </c>
      <c r="HC10">
        <v>0.25827846539999999</v>
      </c>
      <c r="HD10">
        <v>1.582355497</v>
      </c>
      <c r="HE10">
        <v>3.1108264220000001</v>
      </c>
      <c r="HF10">
        <v>4.4414158549999998</v>
      </c>
      <c r="HG10">
        <v>0.52620539840000002</v>
      </c>
      <c r="HH10">
        <v>3.282903857</v>
      </c>
      <c r="HI10">
        <v>6.3677014290000002</v>
      </c>
      <c r="HJ10">
        <v>1.8097808479999999</v>
      </c>
      <c r="HK10">
        <v>0.20158100740000001</v>
      </c>
      <c r="HL10">
        <v>1.3592378169999999</v>
      </c>
      <c r="HM10">
        <v>2.5543385330000001</v>
      </c>
      <c r="HN10">
        <v>6.8677424580000004</v>
      </c>
      <c r="HO10">
        <v>1.1660820199999999</v>
      </c>
      <c r="HP10">
        <v>4.0723890000000003</v>
      </c>
      <c r="HQ10">
        <v>10.094165</v>
      </c>
      <c r="HR10">
        <v>0.71821161850000004</v>
      </c>
      <c r="HS10">
        <v>8.7933140869999996E-2</v>
      </c>
      <c r="HT10">
        <v>0.52040069229999997</v>
      </c>
      <c r="HU10">
        <v>0.99590902309999996</v>
      </c>
      <c r="HV10">
        <v>0.91318093440000003</v>
      </c>
      <c r="HW10">
        <v>0.1147697015</v>
      </c>
      <c r="HX10">
        <v>0.66214406240000001</v>
      </c>
      <c r="HY10">
        <v>1.2745332170000001</v>
      </c>
      <c r="HZ10">
        <v>0.12650615730000001</v>
      </c>
      <c r="IA10">
        <v>0.1884876929</v>
      </c>
      <c r="IB10">
        <v>-0.33253014149999999</v>
      </c>
      <c r="IC10">
        <v>0.66828154039999998</v>
      </c>
      <c r="ID10">
        <v>3.184929007</v>
      </c>
      <c r="IE10">
        <v>0.39586017550000002</v>
      </c>
      <c r="IF10">
        <v>2.327322755</v>
      </c>
      <c r="IG10">
        <v>4.6425345790000003</v>
      </c>
      <c r="IH10">
        <v>3.541160095</v>
      </c>
      <c r="II10">
        <v>0.75127648599999997</v>
      </c>
      <c r="IJ10">
        <v>2.0222904869999998</v>
      </c>
      <c r="IK10">
        <v>5.8143039600000002</v>
      </c>
      <c r="IL10">
        <v>3.3265823619999999</v>
      </c>
      <c r="IM10">
        <v>0.65220709229999996</v>
      </c>
      <c r="IN10">
        <v>1.912591996</v>
      </c>
      <c r="IO10">
        <v>5.9245625850000003</v>
      </c>
      <c r="IP10">
        <v>6.5347437160000004</v>
      </c>
      <c r="IQ10">
        <v>1.1040988869999999</v>
      </c>
      <c r="IR10">
        <v>3.8411010000000001</v>
      </c>
      <c r="IS10">
        <v>9.9492379999999994</v>
      </c>
      <c r="IT10">
        <v>4.986121689</v>
      </c>
      <c r="IU10">
        <v>1.2438330129999999</v>
      </c>
      <c r="IV10">
        <v>2.4378359999999999</v>
      </c>
      <c r="IW10">
        <v>8.5254180000000002</v>
      </c>
      <c r="IX10">
        <v>9.8438855389999996E-2</v>
      </c>
      <c r="IY10">
        <v>1.321414598E-2</v>
      </c>
      <c r="IZ10">
        <v>6.9813845910000005E-2</v>
      </c>
      <c r="JA10">
        <v>0.14150594550000001</v>
      </c>
      <c r="JB10">
        <v>4.3501742950000004</v>
      </c>
      <c r="JC10">
        <v>0.40352078860000001</v>
      </c>
      <c r="JD10">
        <v>3.2933590800000001</v>
      </c>
      <c r="JE10">
        <v>5.6527996429999998</v>
      </c>
      <c r="JF10">
        <v>1.929072656</v>
      </c>
      <c r="JG10">
        <v>1.54910583</v>
      </c>
      <c r="JH10">
        <v>0.14774686040000001</v>
      </c>
      <c r="JI10">
        <v>9.3127222310000004</v>
      </c>
      <c r="JJ10">
        <v>1.389552071</v>
      </c>
      <c r="JK10">
        <v>0.15995707149999999</v>
      </c>
      <c r="JL10">
        <v>1.0481297890000001</v>
      </c>
      <c r="JM10">
        <v>2.0704178390000001</v>
      </c>
      <c r="JN10">
        <v>10.43933612</v>
      </c>
      <c r="JO10">
        <v>1.5450563859999999</v>
      </c>
      <c r="JP10">
        <v>5.8852499380000003</v>
      </c>
      <c r="JQ10">
        <v>14.95570118</v>
      </c>
      <c r="JR10">
        <v>103.390187</v>
      </c>
      <c r="JS10">
        <v>13.6447375</v>
      </c>
      <c r="JT10">
        <v>70.668408790000001</v>
      </c>
      <c r="JU10">
        <v>143.2380622</v>
      </c>
      <c r="JV10">
        <v>2.3180806500000002</v>
      </c>
      <c r="JW10">
        <v>0.51655135789999995</v>
      </c>
      <c r="JX10">
        <v>1.229114845</v>
      </c>
      <c r="JY10">
        <v>4.0607024320000003</v>
      </c>
      <c r="JZ10">
        <v>2.9265246390000001</v>
      </c>
      <c r="KA10">
        <v>0.82631394660000002</v>
      </c>
      <c r="KB10">
        <v>1.1942426390000001</v>
      </c>
      <c r="KC10">
        <v>5.6347351100000003</v>
      </c>
      <c r="KD10">
        <v>5.2446052889999999</v>
      </c>
      <c r="KE10">
        <v>1.1037519579999999</v>
      </c>
      <c r="KF10">
        <v>2.7255129999999999</v>
      </c>
      <c r="KG10">
        <v>8.0987869999999997</v>
      </c>
      <c r="KH10">
        <v>3.8675145199999998</v>
      </c>
      <c r="KI10">
        <v>1.2626214170000001</v>
      </c>
      <c r="KJ10">
        <v>1.59183425</v>
      </c>
      <c r="KK10">
        <v>7.725638</v>
      </c>
      <c r="KL10">
        <v>5.2446052889999999</v>
      </c>
      <c r="KM10">
        <v>1.1037519579999999</v>
      </c>
      <c r="KN10">
        <v>2.7255129999999999</v>
      </c>
      <c r="KO10">
        <v>8.0987869999999997</v>
      </c>
      <c r="KP10">
        <v>1.081479743</v>
      </c>
      <c r="KQ10">
        <v>0.2560795904</v>
      </c>
      <c r="KR10">
        <v>0.53778722830000003</v>
      </c>
      <c r="KS10">
        <v>1.8632642619999999</v>
      </c>
      <c r="KT10">
        <v>1.3214205020000001</v>
      </c>
      <c r="KU10">
        <v>0.29553236840000002</v>
      </c>
      <c r="KV10">
        <v>0.66591059689999998</v>
      </c>
      <c r="KW10">
        <v>2.272147479</v>
      </c>
      <c r="KX10">
        <v>-0.30268176540000002</v>
      </c>
      <c r="KY10">
        <v>0.4512284251</v>
      </c>
      <c r="KZ10">
        <v>-1.9443395919999999</v>
      </c>
      <c r="LA10">
        <v>0.69007879299999997</v>
      </c>
      <c r="LB10">
        <v>2.608003364</v>
      </c>
      <c r="LC10">
        <v>0.79095286389999997</v>
      </c>
      <c r="LD10">
        <v>1.633090317</v>
      </c>
      <c r="LE10">
        <v>6.5880166190000002</v>
      </c>
      <c r="LF10">
        <v>1.9926777840000001</v>
      </c>
      <c r="LG10">
        <v>0.74276214740000002</v>
      </c>
      <c r="LH10">
        <v>0.68861999760000003</v>
      </c>
      <c r="LI10">
        <v>4.6768199839999998</v>
      </c>
      <c r="LJ10">
        <v>0.2671673195</v>
      </c>
      <c r="LK10">
        <v>5.307762354E-2</v>
      </c>
      <c r="LL10">
        <v>0.14473869249999999</v>
      </c>
      <c r="LM10">
        <v>0.41458512040000001</v>
      </c>
      <c r="LN10">
        <v>19.860180079999999</v>
      </c>
      <c r="LO10">
        <v>9.1138349049999992</v>
      </c>
      <c r="LP10">
        <v>3.8886433939999998</v>
      </c>
      <c r="LQ10">
        <v>55.2322013</v>
      </c>
      <c r="LR10">
        <v>2.3572704510000002</v>
      </c>
      <c r="LS10">
        <v>0.64622776959999995</v>
      </c>
      <c r="LT10">
        <v>1.0745298670000001</v>
      </c>
      <c r="LU10">
        <v>4.4442903539999996</v>
      </c>
      <c r="LV10">
        <v>17.50553313</v>
      </c>
      <c r="LW10">
        <v>5.8954440630000002</v>
      </c>
      <c r="LX10">
        <v>0</v>
      </c>
      <c r="LY10">
        <v>32.302253649999997</v>
      </c>
      <c r="LZ10">
        <v>5.655388393</v>
      </c>
      <c r="MA10">
        <v>1.9496175600000001</v>
      </c>
      <c r="MB10">
        <v>2.1382050270000001</v>
      </c>
      <c r="MC10">
        <v>14.52179727</v>
      </c>
      <c r="MD10">
        <v>2.306111327</v>
      </c>
      <c r="ME10">
        <v>0.50887195610000002</v>
      </c>
      <c r="MF10">
        <v>1.2281932760000001</v>
      </c>
      <c r="MG10">
        <v>4.0135533189999997</v>
      </c>
      <c r="MH10">
        <v>2.8853845580000002</v>
      </c>
      <c r="MI10">
        <v>0.76798646650000002</v>
      </c>
      <c r="MJ10">
        <v>1.1940701469999999</v>
      </c>
      <c r="MK10">
        <v>5.449355003</v>
      </c>
      <c r="ML10">
        <v>5.1914958840000001</v>
      </c>
      <c r="MM10">
        <v>1.0404143889999999</v>
      </c>
      <c r="MN10">
        <v>2.723417</v>
      </c>
      <c r="MO10">
        <v>7.6235049999999998</v>
      </c>
      <c r="MP10">
        <v>3.8347187439999999</v>
      </c>
      <c r="MQ10">
        <v>1.22760479</v>
      </c>
      <c r="MR10">
        <v>1.5914092500000001</v>
      </c>
      <c r="MS10">
        <v>7.2411669999999999</v>
      </c>
      <c r="MT10">
        <v>5.1914958840000001</v>
      </c>
      <c r="MU10">
        <v>1.0404143889999999</v>
      </c>
      <c r="MV10">
        <v>2.723417</v>
      </c>
      <c r="MW10">
        <v>7.6235049999999998</v>
      </c>
      <c r="MX10">
        <v>1.076847535</v>
      </c>
      <c r="MY10">
        <v>0.25201603039999998</v>
      </c>
      <c r="MZ10">
        <v>0.53765296689999997</v>
      </c>
      <c r="NA10">
        <v>1.8057104909999999</v>
      </c>
      <c r="NB10">
        <v>1.3135286859999999</v>
      </c>
      <c r="NC10">
        <v>0.2873315481</v>
      </c>
      <c r="ND10">
        <v>0.66564927439999999</v>
      </c>
      <c r="NE10">
        <v>2.1927230350000002</v>
      </c>
      <c r="NF10">
        <v>-0.2939943277</v>
      </c>
      <c r="NG10">
        <v>0.44275999539999999</v>
      </c>
      <c r="NH10">
        <v>-1.8846487409999999</v>
      </c>
      <c r="NI10">
        <v>0.68956607380000001</v>
      </c>
      <c r="NJ10">
        <v>2.583223319</v>
      </c>
      <c r="NK10">
        <v>0.76665468749999999</v>
      </c>
      <c r="NL10">
        <v>1.633212138</v>
      </c>
      <c r="NM10">
        <v>6.330101043</v>
      </c>
      <c r="NN10">
        <v>1.992611438</v>
      </c>
      <c r="NO10">
        <v>0.74269366920000002</v>
      </c>
      <c r="NP10">
        <v>0.68585999760000005</v>
      </c>
      <c r="NQ10">
        <v>4.6768199839999998</v>
      </c>
      <c r="NR10">
        <v>0.26538368909999999</v>
      </c>
      <c r="NS10">
        <v>5.1659386469999999E-2</v>
      </c>
      <c r="NT10">
        <v>0.14468643410000001</v>
      </c>
      <c r="NU10">
        <v>0.40262780980000001</v>
      </c>
      <c r="NV10">
        <v>19.999216910000001</v>
      </c>
      <c r="NW10">
        <v>9.0835960769999993</v>
      </c>
      <c r="NX10">
        <v>3.8886433939999998</v>
      </c>
      <c r="NY10">
        <v>55.232720039999997</v>
      </c>
      <c r="NZ10">
        <v>2.3534070460000001</v>
      </c>
      <c r="OA10">
        <v>0.64477366010000003</v>
      </c>
      <c r="OB10">
        <v>1.0726443919999999</v>
      </c>
      <c r="OC10">
        <v>4.3999821460000001</v>
      </c>
      <c r="OD10">
        <v>17.657811850000002</v>
      </c>
      <c r="OE10">
        <v>5.8851354650000003</v>
      </c>
      <c r="OF10">
        <v>0</v>
      </c>
      <c r="OG10">
        <v>32.292660779999999</v>
      </c>
      <c r="OH10">
        <v>5.6561675620000003</v>
      </c>
      <c r="OI10">
        <v>1.9523919350000001</v>
      </c>
      <c r="OJ10">
        <v>2.1382050270000001</v>
      </c>
      <c r="OK10">
        <v>14.58023508</v>
      </c>
      <c r="OL10">
        <v>1.724496209</v>
      </c>
      <c r="OM10">
        <v>-0.3372527313</v>
      </c>
      <c r="ON10">
        <v>3.050825702</v>
      </c>
      <c r="OO10">
        <v>5.8903990000000004</v>
      </c>
      <c r="OP10">
        <v>7.3619339999999998</v>
      </c>
      <c r="OQ10">
        <v>13.252333</v>
      </c>
      <c r="OR10">
        <v>1.375347425</v>
      </c>
      <c r="OS10" s="2">
        <v>6.5335327849999993E-5</v>
      </c>
      <c r="OT10">
        <v>2.203339082E-3</v>
      </c>
      <c r="OU10" s="2">
        <v>6.5335327849999993E-5</v>
      </c>
      <c r="OV10">
        <v>1.5799881479999999E-3</v>
      </c>
      <c r="OW10">
        <v>1.9815028520000001E-3</v>
      </c>
      <c r="OX10">
        <v>2.2183623080000001E-4</v>
      </c>
      <c r="OY10">
        <v>4.3769391669999997</v>
      </c>
      <c r="OZ10">
        <v>1.2399827370000001</v>
      </c>
      <c r="PA10">
        <v>1.9918876299999999</v>
      </c>
      <c r="PB10">
        <v>8.3040971710000004</v>
      </c>
      <c r="PC10">
        <v>88.163798979999996</v>
      </c>
      <c r="PD10">
        <v>1.7106803310000001</v>
      </c>
      <c r="PE10">
        <v>-0.3087061707</v>
      </c>
      <c r="PF10">
        <v>2.8920809859999999</v>
      </c>
      <c r="PG10">
        <v>5.4798330000000002</v>
      </c>
      <c r="PH10">
        <v>6.2210979999999996</v>
      </c>
      <c r="PI10">
        <v>11.700931000000001</v>
      </c>
      <c r="PJ10">
        <v>1.370081128</v>
      </c>
      <c r="PK10" s="2">
        <v>6.3529422949999996E-5</v>
      </c>
      <c r="PL10">
        <v>2.1996973649999999E-3</v>
      </c>
      <c r="PM10" s="2">
        <v>6.3529422949999996E-5</v>
      </c>
      <c r="PN10">
        <v>1.5800066519999999E-3</v>
      </c>
      <c r="PO10">
        <v>1.9811943479999998E-3</v>
      </c>
      <c r="PP10">
        <v>2.1850301729999999E-4</v>
      </c>
      <c r="PQ10">
        <v>4.3760759560000002</v>
      </c>
      <c r="PR10">
        <v>1.1966224700000001</v>
      </c>
      <c r="PS10">
        <v>1.934854039</v>
      </c>
      <c r="PT10">
        <v>8.3051808640000004</v>
      </c>
      <c r="PU10">
        <v>88.156578359999997</v>
      </c>
      <c r="PV10">
        <v>5.0582470329999998</v>
      </c>
      <c r="PW10">
        <v>1.182996825</v>
      </c>
      <c r="PX10">
        <v>2.1654872329999999</v>
      </c>
      <c r="PY10">
        <v>8.0832656269999994</v>
      </c>
      <c r="PZ10">
        <v>88.578454719999996</v>
      </c>
      <c r="QA10">
        <v>5.0584346870000001</v>
      </c>
      <c r="QB10">
        <v>1.1385378669999999</v>
      </c>
      <c r="QC10">
        <v>2.1005509230000001</v>
      </c>
      <c r="QD10">
        <v>8.0731671810000005</v>
      </c>
      <c r="QE10">
        <v>88.571941539999997</v>
      </c>
      <c r="QF10" s="2">
        <v>6.4530319169999993E-5</v>
      </c>
      <c r="QG10">
        <v>1.8165439880000001E-3</v>
      </c>
      <c r="QH10">
        <v>2.2757930119999999E-3</v>
      </c>
      <c r="QI10">
        <v>2.4418472820000002E-4</v>
      </c>
      <c r="QJ10" s="2">
        <v>6.2736382620000005E-5</v>
      </c>
      <c r="QK10">
        <v>1.8165296540000001E-3</v>
      </c>
      <c r="QL10">
        <v>2.2757393460000001E-3</v>
      </c>
      <c r="QM10">
        <v>2.404882522E-4</v>
      </c>
      <c r="QN10">
        <v>14.4577007</v>
      </c>
      <c r="QO10">
        <v>4.206480932E-2</v>
      </c>
      <c r="QP10">
        <v>5.4643048719999996</v>
      </c>
      <c r="QQ10">
        <v>174.77968089999999</v>
      </c>
      <c r="QR10">
        <v>14.417007570000001</v>
      </c>
      <c r="QS10">
        <v>4.1961969760000002E-2</v>
      </c>
      <c r="QT10">
        <v>5.464355222</v>
      </c>
      <c r="QU10">
        <v>174.779404</v>
      </c>
    </row>
    <row r="11" spans="1:463" x14ac:dyDescent="0.2">
      <c r="A11" t="s">
        <v>282</v>
      </c>
      <c r="B11" s="2">
        <v>8.0847146219999997E-12</v>
      </c>
      <c r="C11" s="2">
        <v>8.2223325489999992E-12</v>
      </c>
      <c r="D11">
        <v>2.6661599819999997E-4</v>
      </c>
      <c r="E11">
        <v>3.9824812520000002E-2</v>
      </c>
      <c r="F11">
        <v>0.38146845699999998</v>
      </c>
      <c r="G11">
        <v>8.1741681689999996E-4</v>
      </c>
      <c r="H11">
        <v>0.1220987177</v>
      </c>
      <c r="I11">
        <v>1.169542466</v>
      </c>
      <c r="J11">
        <v>32.616630010000002</v>
      </c>
      <c r="K11">
        <v>32.616896619999999</v>
      </c>
      <c r="L11">
        <v>32.616896619999999</v>
      </c>
      <c r="M11">
        <v>32.616896619999999</v>
      </c>
      <c r="N11">
        <v>32.57707181</v>
      </c>
      <c r="O11">
        <v>32.616896619999999</v>
      </c>
      <c r="P11">
        <v>32.235428169999999</v>
      </c>
      <c r="Q11">
        <v>32.616896619999999</v>
      </c>
      <c r="R11">
        <v>3.6561586570000002</v>
      </c>
      <c r="S11">
        <v>0.55511708329999998</v>
      </c>
      <c r="T11">
        <v>2.407885786</v>
      </c>
      <c r="U11">
        <v>5.6524988479999996</v>
      </c>
      <c r="V11">
        <v>4.7920653910000004</v>
      </c>
      <c r="W11">
        <v>1.006383743</v>
      </c>
      <c r="X11">
        <v>2.3839071920000001</v>
      </c>
      <c r="Y11">
        <v>7.1505035499999998</v>
      </c>
      <c r="Z11">
        <v>8.4482240470000001</v>
      </c>
      <c r="AA11">
        <v>1.2377444719999999</v>
      </c>
      <c r="AB11">
        <v>5.3080610000000004</v>
      </c>
      <c r="AC11">
        <v>10.982810000000001</v>
      </c>
      <c r="AD11">
        <v>2.8139282460000001</v>
      </c>
      <c r="AE11">
        <v>0.71083227719999997</v>
      </c>
      <c r="AF11">
        <v>1.6479662580000001</v>
      </c>
      <c r="AG11">
        <v>5.7724954999999998</v>
      </c>
      <c r="AH11">
        <v>8.4482240470000001</v>
      </c>
      <c r="AI11">
        <v>1.2377444719999999</v>
      </c>
      <c r="AJ11">
        <v>5.3080610000000004</v>
      </c>
      <c r="AK11">
        <v>10.982810000000001</v>
      </c>
      <c r="AL11">
        <v>1.4427507580000001</v>
      </c>
      <c r="AM11">
        <v>0.2625111302</v>
      </c>
      <c r="AN11">
        <v>0.84508288519999997</v>
      </c>
      <c r="AO11">
        <v>2.2193009849999998</v>
      </c>
      <c r="AP11">
        <v>1.7678597110000001</v>
      </c>
      <c r="AQ11">
        <v>0.30035093930000001</v>
      </c>
      <c r="AR11">
        <v>1.0544339009999999</v>
      </c>
      <c r="AS11">
        <v>2.636912149</v>
      </c>
      <c r="AT11">
        <v>-0.31721197299999998</v>
      </c>
      <c r="AU11">
        <v>0.39574040869999999</v>
      </c>
      <c r="AV11">
        <v>-2.0660152100000002</v>
      </c>
      <c r="AW11">
        <v>0.51507343400000005</v>
      </c>
      <c r="AX11">
        <v>2.7160188289999998</v>
      </c>
      <c r="AY11">
        <v>0.82682432549999996</v>
      </c>
      <c r="AZ11">
        <v>1.807617282</v>
      </c>
      <c r="BA11">
        <v>8.1989939570000008</v>
      </c>
      <c r="BB11">
        <v>0.32592695319999998</v>
      </c>
      <c r="BC11">
        <v>0.1292105959</v>
      </c>
      <c r="BD11">
        <v>0.1315712191</v>
      </c>
      <c r="BE11">
        <v>0.89400999690000005</v>
      </c>
      <c r="BF11">
        <v>3.7054285519999999</v>
      </c>
      <c r="BG11">
        <v>0.34370877919999998</v>
      </c>
      <c r="BH11">
        <v>3.0360763550000001</v>
      </c>
      <c r="BI11">
        <v>4.9088882140000001</v>
      </c>
      <c r="BJ11">
        <v>6.0489603770000002</v>
      </c>
      <c r="BK11">
        <v>3.575936929</v>
      </c>
      <c r="BL11">
        <v>0.46398585949999999</v>
      </c>
      <c r="BM11">
        <v>19.23337278</v>
      </c>
      <c r="BN11">
        <v>3.1541835310000002</v>
      </c>
      <c r="BO11">
        <v>0.6645148367</v>
      </c>
      <c r="BP11">
        <v>1.4781463560000001</v>
      </c>
      <c r="BQ11">
        <v>5.1961083989999999</v>
      </c>
      <c r="BR11">
        <v>34.671805159999998</v>
      </c>
      <c r="BS11">
        <v>11.3279896</v>
      </c>
      <c r="BT11">
        <v>11.18555725</v>
      </c>
      <c r="BU11">
        <v>76.004464130000002</v>
      </c>
      <c r="BV11">
        <v>3.4048182919999999</v>
      </c>
      <c r="BW11">
        <v>0.52248207530000002</v>
      </c>
      <c r="BX11">
        <v>2.3757510380000002</v>
      </c>
      <c r="BY11">
        <v>5.0699340790000003</v>
      </c>
      <c r="BZ11">
        <v>4.5494644600000003</v>
      </c>
      <c r="CA11">
        <v>0.74837683249999998</v>
      </c>
      <c r="CB11">
        <v>2.3839071920000001</v>
      </c>
      <c r="CC11">
        <v>6.124213954</v>
      </c>
      <c r="CD11">
        <v>7.9542827530000002</v>
      </c>
      <c r="CE11">
        <v>0.88749225939999998</v>
      </c>
      <c r="CF11">
        <v>5.3080610000000004</v>
      </c>
      <c r="CG11">
        <v>8.9555810000000005</v>
      </c>
      <c r="CH11">
        <v>2.7333192500000001</v>
      </c>
      <c r="CI11">
        <v>0.65534409559999995</v>
      </c>
      <c r="CJ11">
        <v>1.622450111</v>
      </c>
      <c r="CK11">
        <v>5.6014565000000003</v>
      </c>
      <c r="CL11">
        <v>7.9542827530000002</v>
      </c>
      <c r="CM11">
        <v>0.88749225939999998</v>
      </c>
      <c r="CN11">
        <v>5.3080610000000004</v>
      </c>
      <c r="CO11">
        <v>8.9555810000000005</v>
      </c>
      <c r="CP11">
        <v>1.437119327</v>
      </c>
      <c r="CQ11">
        <v>0.25807007780000002</v>
      </c>
      <c r="CR11">
        <v>0.84450838669999995</v>
      </c>
      <c r="CS11">
        <v>2.1695135350000001</v>
      </c>
      <c r="CT11">
        <v>1.7553411910000001</v>
      </c>
      <c r="CU11">
        <v>0.28822970669999998</v>
      </c>
      <c r="CV11">
        <v>1.052821588</v>
      </c>
      <c r="CW11">
        <v>2.5548743690000002</v>
      </c>
      <c r="CX11">
        <v>-0.30306096179999997</v>
      </c>
      <c r="CY11">
        <v>0.37466226380000001</v>
      </c>
      <c r="CZ11">
        <v>-1.9289975699999999</v>
      </c>
      <c r="DA11">
        <v>0.51287881420000003</v>
      </c>
      <c r="DB11">
        <v>2.6393272520000002</v>
      </c>
      <c r="DC11">
        <v>0.71892250410000003</v>
      </c>
      <c r="DD11">
        <v>1.8041345470000001</v>
      </c>
      <c r="DE11">
        <v>7.3034735260000003</v>
      </c>
      <c r="DF11">
        <v>0.3185250711</v>
      </c>
      <c r="DG11">
        <v>0.1237373672</v>
      </c>
      <c r="DH11">
        <v>0.1315712191</v>
      </c>
      <c r="DI11">
        <v>0.89400999690000005</v>
      </c>
      <c r="DJ11">
        <v>3.688239727</v>
      </c>
      <c r="DK11">
        <v>0.32754687170000002</v>
      </c>
      <c r="DL11">
        <v>3.0360763550000001</v>
      </c>
      <c r="DM11">
        <v>4.8855748060000002</v>
      </c>
      <c r="DN11">
        <v>8.9851913450000005</v>
      </c>
      <c r="DO11">
        <v>4.2118981120000001</v>
      </c>
      <c r="DP11">
        <v>1.391957578</v>
      </c>
      <c r="DQ11">
        <v>21.166593020000001</v>
      </c>
      <c r="DR11">
        <v>3.1541532320000001</v>
      </c>
      <c r="DS11">
        <v>0.66449184390000005</v>
      </c>
      <c r="DT11">
        <v>1.478199324</v>
      </c>
      <c r="DU11">
        <v>5.1965328690000003</v>
      </c>
      <c r="DV11">
        <v>35.386446329999998</v>
      </c>
      <c r="DW11">
        <v>11.50014973</v>
      </c>
      <c r="DX11">
        <v>11.18555725</v>
      </c>
      <c r="DY11">
        <v>76.004464130000002</v>
      </c>
      <c r="DZ11">
        <v>2.1380069819999998</v>
      </c>
      <c r="EA11">
        <v>0.33566678579999998</v>
      </c>
      <c r="EB11">
        <v>1.286156225</v>
      </c>
      <c r="EC11">
        <v>3.455279322</v>
      </c>
      <c r="ED11">
        <v>1.9232653340000001</v>
      </c>
      <c r="EE11">
        <v>0.2539441489</v>
      </c>
      <c r="EF11">
        <v>1.287808359</v>
      </c>
      <c r="EG11">
        <v>2.653056689</v>
      </c>
      <c r="EH11">
        <v>4.0612723170000002</v>
      </c>
      <c r="EI11">
        <v>0.53039377629999995</v>
      </c>
      <c r="EJ11">
        <v>2.7885797139999999</v>
      </c>
      <c r="EK11">
        <v>5.7003677140000004</v>
      </c>
      <c r="EL11">
        <v>1.736257766</v>
      </c>
      <c r="EM11">
        <v>0.25489315350000002</v>
      </c>
      <c r="EN11">
        <v>1.276084167</v>
      </c>
      <c r="EO11">
        <v>2.7163641919999999</v>
      </c>
      <c r="EP11">
        <v>6.5080955530000004</v>
      </c>
      <c r="EQ11">
        <v>1.295748275</v>
      </c>
      <c r="ER11">
        <v>3.426933</v>
      </c>
      <c r="ES11">
        <v>10.926584</v>
      </c>
      <c r="ET11">
        <v>0.6766020881</v>
      </c>
      <c r="EU11">
        <v>9.0067703920000006E-2</v>
      </c>
      <c r="EV11">
        <v>0.48321601720000001</v>
      </c>
      <c r="EW11">
        <v>0.93865430660000004</v>
      </c>
      <c r="EX11">
        <v>0.85822315490000001</v>
      </c>
      <c r="EY11">
        <v>0.1172269925</v>
      </c>
      <c r="EZ11">
        <v>0.61105120140000002</v>
      </c>
      <c r="FA11">
        <v>1.235761106</v>
      </c>
      <c r="FB11">
        <v>0.14633425589999999</v>
      </c>
      <c r="FC11">
        <v>0.20045827159999999</v>
      </c>
      <c r="FD11">
        <v>-0.30543372359999998</v>
      </c>
      <c r="FE11">
        <v>0.92937909880000003</v>
      </c>
      <c r="FF11">
        <v>3.1458896319999998</v>
      </c>
      <c r="FG11">
        <v>0.4406398661</v>
      </c>
      <c r="FH11">
        <v>2.3700076370000001</v>
      </c>
      <c r="FI11">
        <v>4.8764962809999997</v>
      </c>
      <c r="FJ11">
        <v>3.3818735229999999</v>
      </c>
      <c r="FK11">
        <v>0.8210240338</v>
      </c>
      <c r="FL11">
        <v>1.8048337839999999</v>
      </c>
      <c r="FM11">
        <v>6.5102798130000004</v>
      </c>
      <c r="FN11">
        <v>3.1262220300000001</v>
      </c>
      <c r="FO11">
        <v>0.72063904310000004</v>
      </c>
      <c r="FP11">
        <v>1.6220992160000001</v>
      </c>
      <c r="FQ11">
        <v>6.4628716940000004</v>
      </c>
      <c r="FR11">
        <v>6.1850099739999997</v>
      </c>
      <c r="FS11">
        <v>1.2350130989999999</v>
      </c>
      <c r="FT11">
        <v>3.2608280000000001</v>
      </c>
      <c r="FU11">
        <v>10.286061</v>
      </c>
      <c r="FV11">
        <v>4.8057266529999998</v>
      </c>
      <c r="FW11">
        <v>1.30316908</v>
      </c>
      <c r="FX11">
        <v>2.4310839999999998</v>
      </c>
      <c r="FY11">
        <v>8.8521820000000009</v>
      </c>
      <c r="FZ11">
        <v>0.1226904087</v>
      </c>
      <c r="GA11">
        <v>2.11145425E-2</v>
      </c>
      <c r="GB11">
        <v>8.2931428279999997E-2</v>
      </c>
      <c r="GC11">
        <v>0.2203399992</v>
      </c>
      <c r="GD11">
        <v>3.6082462519999998</v>
      </c>
      <c r="GE11">
        <v>0.31939842870000001</v>
      </c>
      <c r="GF11">
        <v>3.0131943639999998</v>
      </c>
      <c r="GG11">
        <v>4.9060542649999999</v>
      </c>
      <c r="GH11">
        <v>2.1318237070000001</v>
      </c>
      <c r="GI11">
        <v>1.768841074</v>
      </c>
      <c r="GJ11">
        <v>0.14774686040000001</v>
      </c>
      <c r="GK11">
        <v>11.228761390000001</v>
      </c>
      <c r="GL11">
        <v>1.2945060239999999</v>
      </c>
      <c r="GM11">
        <v>0.1612064292</v>
      </c>
      <c r="GN11">
        <v>0.93381847610000002</v>
      </c>
      <c r="GO11">
        <v>1.9243284110000001</v>
      </c>
      <c r="GP11">
        <v>10.96031017</v>
      </c>
      <c r="GQ11">
        <v>1.6961381470000001</v>
      </c>
      <c r="GR11">
        <v>5.8852499380000003</v>
      </c>
      <c r="GS11">
        <v>15.08995927</v>
      </c>
      <c r="GT11">
        <v>83.747019890000004</v>
      </c>
      <c r="GU11">
        <v>13.420328319999999</v>
      </c>
      <c r="GV11">
        <v>45.384406069999997</v>
      </c>
      <c r="GW11">
        <v>120.581548</v>
      </c>
      <c r="GX11">
        <v>2.1037593800000001</v>
      </c>
      <c r="GY11">
        <v>0.32420033529999998</v>
      </c>
      <c r="GZ11">
        <v>1.280711022</v>
      </c>
      <c r="HA11">
        <v>3.3915247239999999</v>
      </c>
      <c r="HB11">
        <v>1.9062397149999999</v>
      </c>
      <c r="HC11">
        <v>0.24569557610000001</v>
      </c>
      <c r="HD11">
        <v>1.287808359</v>
      </c>
      <c r="HE11">
        <v>2.6530354219999999</v>
      </c>
      <c r="HF11">
        <v>4.0099990950000004</v>
      </c>
      <c r="HG11">
        <v>0.50894948529999995</v>
      </c>
      <c r="HH11">
        <v>2.7885797139999999</v>
      </c>
      <c r="HI11">
        <v>5.6068151430000004</v>
      </c>
      <c r="HJ11">
        <v>1.7173043429999999</v>
      </c>
      <c r="HK11">
        <v>0.24836959750000001</v>
      </c>
      <c r="HL11">
        <v>1.2673636500000001</v>
      </c>
      <c r="HM11">
        <v>2.7483149600000001</v>
      </c>
      <c r="HN11">
        <v>6.3498092049999997</v>
      </c>
      <c r="HO11">
        <v>1.188542883</v>
      </c>
      <c r="HP11">
        <v>3.426933</v>
      </c>
      <c r="HQ11">
        <v>9.7384389999999996</v>
      </c>
      <c r="HR11">
        <v>0.67308282620000004</v>
      </c>
      <c r="HS11">
        <v>8.8153332880000004E-2</v>
      </c>
      <c r="HT11">
        <v>0.48321601720000001</v>
      </c>
      <c r="HU11">
        <v>0.92174195290000005</v>
      </c>
      <c r="HV11">
        <v>0.85208605780000002</v>
      </c>
      <c r="HW11">
        <v>0.11398619290000001</v>
      </c>
      <c r="HX11">
        <v>0.60538189499999995</v>
      </c>
      <c r="HY11">
        <v>1.2055295859999999</v>
      </c>
      <c r="HZ11">
        <v>0.1421604598</v>
      </c>
      <c r="IA11">
        <v>0.20026031250000001</v>
      </c>
      <c r="IB11">
        <v>-0.31493827800000002</v>
      </c>
      <c r="IC11">
        <v>0.94661287530000005</v>
      </c>
      <c r="ID11">
        <v>3.1215030939999999</v>
      </c>
      <c r="IE11">
        <v>0.43868706969999999</v>
      </c>
      <c r="IF11">
        <v>2.3706977230000001</v>
      </c>
      <c r="IG11">
        <v>5.0481556059999999</v>
      </c>
      <c r="IH11">
        <v>3.2869700740000001</v>
      </c>
      <c r="II11">
        <v>0.77860244749999996</v>
      </c>
      <c r="IJ11">
        <v>1.8048337839999999</v>
      </c>
      <c r="IK11">
        <v>6.3362418150000002</v>
      </c>
      <c r="IL11">
        <v>3.062839131</v>
      </c>
      <c r="IM11">
        <v>0.65157320829999998</v>
      </c>
      <c r="IN11">
        <v>1.6220992160000001</v>
      </c>
      <c r="IO11">
        <v>5.3679089319999997</v>
      </c>
      <c r="IP11">
        <v>6.0198026159999998</v>
      </c>
      <c r="IQ11">
        <v>1.093019094</v>
      </c>
      <c r="IR11">
        <v>3.2608280000000001</v>
      </c>
      <c r="IS11">
        <v>9.3217610000000004</v>
      </c>
      <c r="IT11">
        <v>4.7033699630000001</v>
      </c>
      <c r="IU11">
        <v>1.2234284</v>
      </c>
      <c r="IV11">
        <v>2.4310839999999998</v>
      </c>
      <c r="IW11">
        <v>8.5198660000000004</v>
      </c>
      <c r="IX11">
        <v>0.1217767474</v>
      </c>
      <c r="IY11">
        <v>2.0827394030000002E-2</v>
      </c>
      <c r="IZ11">
        <v>8.2931428279999997E-2</v>
      </c>
      <c r="JA11">
        <v>0.2203399992</v>
      </c>
      <c r="JB11">
        <v>3.5940323099999998</v>
      </c>
      <c r="JC11">
        <v>0.31037221500000001</v>
      </c>
      <c r="JD11">
        <v>3.0013754260000001</v>
      </c>
      <c r="JE11">
        <v>4.8855948930000004</v>
      </c>
      <c r="JF11">
        <v>2.3263011360000001</v>
      </c>
      <c r="JG11">
        <v>1.847767282</v>
      </c>
      <c r="JH11">
        <v>0.14774686040000001</v>
      </c>
      <c r="JI11">
        <v>11.228761390000001</v>
      </c>
      <c r="JJ11">
        <v>1.2940501390000001</v>
      </c>
      <c r="JK11">
        <v>0.16088430549999999</v>
      </c>
      <c r="JL11">
        <v>0.93408440299999995</v>
      </c>
      <c r="JM11">
        <v>1.9263019880000001</v>
      </c>
      <c r="JN11">
        <v>11.12464013</v>
      </c>
      <c r="JO11">
        <v>1.6988063799999999</v>
      </c>
      <c r="JP11">
        <v>6.0478133700000001</v>
      </c>
      <c r="JQ11">
        <v>15.09480424</v>
      </c>
      <c r="JR11">
        <v>84.324788850000004</v>
      </c>
      <c r="JS11">
        <v>13.315325079999999</v>
      </c>
      <c r="JT11">
        <v>45.384406069999997</v>
      </c>
      <c r="JU11">
        <v>120.581548</v>
      </c>
      <c r="JV11">
        <v>2.1790976199999998</v>
      </c>
      <c r="JW11">
        <v>0.49630029320000002</v>
      </c>
      <c r="JX11">
        <v>1.0280465569999999</v>
      </c>
      <c r="JY11">
        <v>4.34727365</v>
      </c>
      <c r="JZ11">
        <v>2.8541769370000001</v>
      </c>
      <c r="KA11">
        <v>0.81450087540000005</v>
      </c>
      <c r="KB11">
        <v>1.18260506</v>
      </c>
      <c r="KC11">
        <v>5.269242524</v>
      </c>
      <c r="KD11">
        <v>5.0332745579999996</v>
      </c>
      <c r="KE11">
        <v>1.0837510699999999</v>
      </c>
      <c r="KF11">
        <v>2.3346</v>
      </c>
      <c r="KG11">
        <v>8.4967609999999993</v>
      </c>
      <c r="KH11">
        <v>3.7772349549999999</v>
      </c>
      <c r="KI11">
        <v>1.326654598</v>
      </c>
      <c r="KJ11">
        <v>1.2756563999999999</v>
      </c>
      <c r="KK11">
        <v>8.4967609999999993</v>
      </c>
      <c r="KL11">
        <v>5.0332745579999996</v>
      </c>
      <c r="KM11">
        <v>1.0837510699999999</v>
      </c>
      <c r="KN11">
        <v>2.3346</v>
      </c>
      <c r="KO11">
        <v>8.4967609999999993</v>
      </c>
      <c r="KP11">
        <v>1.0481870849999999</v>
      </c>
      <c r="KQ11">
        <v>0.25497600739999998</v>
      </c>
      <c r="KR11">
        <v>0.48717387839999998</v>
      </c>
      <c r="KS11">
        <v>1.8772746739999999</v>
      </c>
      <c r="KT11">
        <v>1.2779600330000001</v>
      </c>
      <c r="KU11">
        <v>0.2934327236</v>
      </c>
      <c r="KV11">
        <v>0.63066045780000002</v>
      </c>
      <c r="KW11">
        <v>2.2878789770000001</v>
      </c>
      <c r="KX11">
        <v>-0.34148620439999999</v>
      </c>
      <c r="KY11">
        <v>0.45290562049999999</v>
      </c>
      <c r="KZ11">
        <v>-1.8730061819999999</v>
      </c>
      <c r="LA11">
        <v>0.78852605539999998</v>
      </c>
      <c r="LB11">
        <v>2.609393887</v>
      </c>
      <c r="LC11">
        <v>0.79968433009999995</v>
      </c>
      <c r="LD11">
        <v>1.600567385</v>
      </c>
      <c r="LE11">
        <v>6.3338385449999999</v>
      </c>
      <c r="LF11">
        <v>1.9640243340000001</v>
      </c>
      <c r="LG11">
        <v>0.71868162769999999</v>
      </c>
      <c r="LH11">
        <v>0.68585999760000005</v>
      </c>
      <c r="LI11">
        <v>4.6160999839999999</v>
      </c>
      <c r="LJ11">
        <v>0.25870437969999999</v>
      </c>
      <c r="LK11">
        <v>5.2288169529999998E-2</v>
      </c>
      <c r="LL11">
        <v>0.13213238690000001</v>
      </c>
      <c r="LM11">
        <v>0.41336675610000001</v>
      </c>
      <c r="LN11">
        <v>22.233521920000001</v>
      </c>
      <c r="LO11">
        <v>9.9166143170000005</v>
      </c>
      <c r="LP11">
        <v>3.7560760050000002</v>
      </c>
      <c r="LQ11">
        <v>56.447951719999999</v>
      </c>
      <c r="LR11">
        <v>2.2882076489999998</v>
      </c>
      <c r="LS11">
        <v>0.65560080639999996</v>
      </c>
      <c r="LT11">
        <v>0.87030507450000005</v>
      </c>
      <c r="LU11">
        <v>4.4261327399999999</v>
      </c>
      <c r="LV11">
        <v>17.566332849999998</v>
      </c>
      <c r="LW11">
        <v>6.1485115300000004</v>
      </c>
      <c r="LX11">
        <v>0</v>
      </c>
      <c r="LY11">
        <v>32.695276870000001</v>
      </c>
      <c r="LZ11">
        <v>5.6858706559999996</v>
      </c>
      <c r="MA11">
        <v>1.8494253270000001</v>
      </c>
      <c r="MB11">
        <v>2.166330893</v>
      </c>
      <c r="MC11">
        <v>14.58023508</v>
      </c>
      <c r="MD11">
        <v>2.1688871779999999</v>
      </c>
      <c r="ME11">
        <v>0.49172551819999999</v>
      </c>
      <c r="MF11">
        <v>1.028069887</v>
      </c>
      <c r="MG11">
        <v>4.2378818740000002</v>
      </c>
      <c r="MH11">
        <v>2.8123436540000002</v>
      </c>
      <c r="MI11">
        <v>0.75703611800000004</v>
      </c>
      <c r="MJ11">
        <v>1.182018402</v>
      </c>
      <c r="MK11">
        <v>5.1900449589999997</v>
      </c>
      <c r="ML11">
        <v>4.9812308319999996</v>
      </c>
      <c r="MM11">
        <v>1.018045576</v>
      </c>
      <c r="MN11">
        <v>2.3346</v>
      </c>
      <c r="MO11">
        <v>7.8433809999999999</v>
      </c>
      <c r="MP11">
        <v>3.7443873160000001</v>
      </c>
      <c r="MQ11">
        <v>1.2788870480000001</v>
      </c>
      <c r="MR11">
        <v>1.2756563999999999</v>
      </c>
      <c r="MS11">
        <v>7.8433809999999999</v>
      </c>
      <c r="MT11">
        <v>4.9812308319999996</v>
      </c>
      <c r="MU11">
        <v>1.018045576</v>
      </c>
      <c r="MV11">
        <v>2.3346</v>
      </c>
      <c r="MW11">
        <v>7.8433809999999999</v>
      </c>
      <c r="MX11">
        <v>1.0436330949999999</v>
      </c>
      <c r="MY11">
        <v>0.25056467459999998</v>
      </c>
      <c r="MZ11">
        <v>0.48717387839999998</v>
      </c>
      <c r="NA11">
        <v>1.81832956</v>
      </c>
      <c r="NB11">
        <v>1.2703981740000001</v>
      </c>
      <c r="NC11">
        <v>0.28504638739999999</v>
      </c>
      <c r="ND11">
        <v>0.62946011410000002</v>
      </c>
      <c r="NE11">
        <v>2.2072170099999999</v>
      </c>
      <c r="NF11">
        <v>-0.33255266519999999</v>
      </c>
      <c r="NG11">
        <v>0.44604255500000001</v>
      </c>
      <c r="NH11">
        <v>-1.8209329080000001</v>
      </c>
      <c r="NI11">
        <v>0.78852605539999998</v>
      </c>
      <c r="NJ11">
        <v>2.5854699640000001</v>
      </c>
      <c r="NK11">
        <v>0.78050668280000002</v>
      </c>
      <c r="NL11">
        <v>1.599862267</v>
      </c>
      <c r="NM11">
        <v>6.3337873350000002</v>
      </c>
      <c r="NN11">
        <v>1.964090806</v>
      </c>
      <c r="NO11">
        <v>0.71851413419999999</v>
      </c>
      <c r="NP11">
        <v>0.68723999759999999</v>
      </c>
      <c r="NQ11">
        <v>4.6147199839999997</v>
      </c>
      <c r="NR11">
        <v>0.25693343070000002</v>
      </c>
      <c r="NS11">
        <v>5.0576833580000001E-2</v>
      </c>
      <c r="NT11">
        <v>0.13213238690000001</v>
      </c>
      <c r="NU11">
        <v>0.39314655129999998</v>
      </c>
      <c r="NV11">
        <v>22.383758029999999</v>
      </c>
      <c r="NW11">
        <v>9.9707992230000002</v>
      </c>
      <c r="NX11">
        <v>3.7560760050000002</v>
      </c>
      <c r="NY11">
        <v>59.201920579999999</v>
      </c>
      <c r="NZ11">
        <v>2.2840046030000001</v>
      </c>
      <c r="OA11">
        <v>0.65351979390000003</v>
      </c>
      <c r="OB11">
        <v>0.87030796980000003</v>
      </c>
      <c r="OC11">
        <v>4.4167647089999997</v>
      </c>
      <c r="OD11">
        <v>17.72688539</v>
      </c>
      <c r="OE11">
        <v>6.077391531</v>
      </c>
      <c r="OF11">
        <v>0</v>
      </c>
      <c r="OG11">
        <v>33.160782589999997</v>
      </c>
      <c r="OH11">
        <v>5.6853753149999999</v>
      </c>
      <c r="OI11">
        <v>1.848531787</v>
      </c>
      <c r="OJ11">
        <v>2.1669787189999998</v>
      </c>
      <c r="OK11">
        <v>14.550957500000001</v>
      </c>
      <c r="OL11">
        <v>1.669871761</v>
      </c>
      <c r="OM11">
        <v>-0.46416215729999999</v>
      </c>
      <c r="ON11">
        <v>3.0688158049999998</v>
      </c>
      <c r="OO11">
        <v>5.4911139999999996</v>
      </c>
      <c r="OP11">
        <v>7.1671250000000004</v>
      </c>
      <c r="OQ11">
        <v>12.658239</v>
      </c>
      <c r="OR11">
        <v>1.3382542049999999</v>
      </c>
      <c r="OS11" s="2">
        <v>5.310747661E-5</v>
      </c>
      <c r="OT11">
        <v>2.0942757889999999E-3</v>
      </c>
      <c r="OU11" s="2">
        <v>5.310747661E-5</v>
      </c>
      <c r="OV11">
        <v>1.5503641399999999E-3</v>
      </c>
      <c r="OW11">
        <v>1.87105786E-3</v>
      </c>
      <c r="OX11">
        <v>2.2321792819999999E-4</v>
      </c>
      <c r="OY11">
        <v>4.303961266</v>
      </c>
      <c r="OZ11">
        <v>0.95286886390000003</v>
      </c>
      <c r="PA11">
        <v>2.000011255</v>
      </c>
      <c r="PB11">
        <v>6.8042675470000002</v>
      </c>
      <c r="PC11">
        <v>87.757436279999993</v>
      </c>
      <c r="PD11">
        <v>1.655863418</v>
      </c>
      <c r="PE11">
        <v>-0.42798271409999999</v>
      </c>
      <c r="PF11">
        <v>2.8901596170000001</v>
      </c>
      <c r="PG11">
        <v>5.1576550000000001</v>
      </c>
      <c r="PH11">
        <v>5.9404620000000001</v>
      </c>
      <c r="PI11">
        <v>11.098117</v>
      </c>
      <c r="PJ11">
        <v>1.3328874900000001</v>
      </c>
      <c r="PK11" s="2">
        <v>5.1610230109999999E-5</v>
      </c>
      <c r="PL11">
        <v>2.0896305389999999E-3</v>
      </c>
      <c r="PM11" s="2">
        <v>5.1610230109999999E-5</v>
      </c>
      <c r="PN11">
        <v>1.550379696E-3</v>
      </c>
      <c r="PO11">
        <v>1.8700173039999999E-3</v>
      </c>
      <c r="PP11">
        <v>2.1961323520000001E-4</v>
      </c>
      <c r="PQ11">
        <v>4.3043408809999999</v>
      </c>
      <c r="PR11">
        <v>0.91185829730000001</v>
      </c>
      <c r="PS11">
        <v>1.9408443529999999</v>
      </c>
      <c r="PT11">
        <v>6.7585159040000002</v>
      </c>
      <c r="PU11">
        <v>87.754841420000005</v>
      </c>
      <c r="PV11">
        <v>4.9767353740000004</v>
      </c>
      <c r="PW11">
        <v>0.75251390029999998</v>
      </c>
      <c r="PX11">
        <v>2.1555322619999999</v>
      </c>
      <c r="PY11">
        <v>6.1957676040000003</v>
      </c>
      <c r="PZ11">
        <v>88.342001049999993</v>
      </c>
      <c r="QA11">
        <v>4.9772801490000003</v>
      </c>
      <c r="QB11">
        <v>0.70237083580000004</v>
      </c>
      <c r="QC11">
        <v>2.0876197510000001</v>
      </c>
      <c r="QD11">
        <v>6.1919999109999999</v>
      </c>
      <c r="QE11">
        <v>88.342588160000005</v>
      </c>
      <c r="QF11" s="2">
        <v>4.6651831580000001E-5</v>
      </c>
      <c r="QG11">
        <v>1.787082898E-3</v>
      </c>
      <c r="QH11">
        <v>2.151619102E-3</v>
      </c>
      <c r="QI11">
        <v>2.4238340100000001E-4</v>
      </c>
      <c r="QJ11" s="2">
        <v>4.5141273280000002E-5</v>
      </c>
      <c r="QK11">
        <v>1.7870551499999999E-3</v>
      </c>
      <c r="QL11">
        <v>2.1515028500000001E-3</v>
      </c>
      <c r="QM11">
        <v>2.3839188639999999E-4</v>
      </c>
      <c r="QN11">
        <v>13.861838199999999</v>
      </c>
      <c r="QO11">
        <v>3.5942457650000002E-2</v>
      </c>
      <c r="QP11">
        <v>5.4592414529999997</v>
      </c>
      <c r="QQ11">
        <v>174.78612949999999</v>
      </c>
      <c r="QR11">
        <v>13.81772224</v>
      </c>
      <c r="QS11">
        <v>3.5424332900000001E-2</v>
      </c>
      <c r="QT11">
        <v>5.4588061339999996</v>
      </c>
      <c r="QU11">
        <v>174.78587400000001</v>
      </c>
    </row>
    <row r="12" spans="1:463" x14ac:dyDescent="0.2">
      <c r="A12" t="s">
        <v>283</v>
      </c>
      <c r="B12" s="2">
        <v>6.6869800400000002E-12</v>
      </c>
      <c r="C12" s="2">
        <v>2.6737951719999999E-12</v>
      </c>
      <c r="D12">
        <v>4.34203197E-4</v>
      </c>
      <c r="E12">
        <v>4.171588171E-2</v>
      </c>
      <c r="F12">
        <v>0.39448693530000001</v>
      </c>
      <c r="G12">
        <v>1.331221673E-3</v>
      </c>
      <c r="H12">
        <v>0.12789653840000001</v>
      </c>
      <c r="I12">
        <v>1.2094557610000001</v>
      </c>
      <c r="J12">
        <v>32.616462419999998</v>
      </c>
      <c r="K12">
        <v>32.616896619999999</v>
      </c>
      <c r="L12">
        <v>32.616896619999999</v>
      </c>
      <c r="M12">
        <v>32.616896619999999</v>
      </c>
      <c r="N12">
        <v>32.57518074</v>
      </c>
      <c r="O12">
        <v>32.616896619999999</v>
      </c>
      <c r="P12">
        <v>32.222409689999999</v>
      </c>
      <c r="Q12">
        <v>32.616896619999999</v>
      </c>
      <c r="R12">
        <v>3.8574188270000001</v>
      </c>
      <c r="S12">
        <v>0.57514272990000004</v>
      </c>
      <c r="T12">
        <v>2.3671174160000001</v>
      </c>
      <c r="U12">
        <v>5.9364865199999999</v>
      </c>
      <c r="V12">
        <v>5.0027771840000002</v>
      </c>
      <c r="W12">
        <v>1.007222909</v>
      </c>
      <c r="X12">
        <v>2.7441140119999998</v>
      </c>
      <c r="Y12">
        <v>7.2616631380000003</v>
      </c>
      <c r="Z12">
        <v>8.8601960109999993</v>
      </c>
      <c r="AA12">
        <v>1.226863979</v>
      </c>
      <c r="AB12">
        <v>5.6651689999999997</v>
      </c>
      <c r="AC12">
        <v>11.297748</v>
      </c>
      <c r="AD12">
        <v>2.8552110970000002</v>
      </c>
      <c r="AE12">
        <v>0.57990108890000003</v>
      </c>
      <c r="AF12">
        <v>1.626726208</v>
      </c>
      <c r="AG12">
        <v>5.5125368750000003</v>
      </c>
      <c r="AH12">
        <v>8.8601960109999993</v>
      </c>
      <c r="AI12">
        <v>1.226863979</v>
      </c>
      <c r="AJ12">
        <v>5.6651689999999997</v>
      </c>
      <c r="AK12">
        <v>11.297748</v>
      </c>
      <c r="AL12">
        <v>1.45221852</v>
      </c>
      <c r="AM12">
        <v>0.2534031497</v>
      </c>
      <c r="AN12">
        <v>0.84602903750000003</v>
      </c>
      <c r="AO12">
        <v>2.22576646</v>
      </c>
      <c r="AP12">
        <v>1.779040121</v>
      </c>
      <c r="AQ12">
        <v>0.29117590310000002</v>
      </c>
      <c r="AR12">
        <v>1.07173366</v>
      </c>
      <c r="AS12">
        <v>2.629353091</v>
      </c>
      <c r="AT12">
        <v>-0.38255810330000001</v>
      </c>
      <c r="AU12">
        <v>0.3813019372</v>
      </c>
      <c r="AV12">
        <v>-1.988372859</v>
      </c>
      <c r="AW12">
        <v>0.42306035479999998</v>
      </c>
      <c r="AX12">
        <v>2.7595101130000002</v>
      </c>
      <c r="AY12">
        <v>0.80854956229999997</v>
      </c>
      <c r="AZ12">
        <v>1.8154668039999999</v>
      </c>
      <c r="BA12">
        <v>7.9571703940000003</v>
      </c>
      <c r="BB12">
        <v>0.26781978000000001</v>
      </c>
      <c r="BC12">
        <v>9.6262750650000006E-2</v>
      </c>
      <c r="BD12">
        <v>0.1122974996</v>
      </c>
      <c r="BE12">
        <v>0.67464749769999999</v>
      </c>
      <c r="BF12">
        <v>4.3269895009999999</v>
      </c>
      <c r="BG12">
        <v>0.482972285</v>
      </c>
      <c r="BH12">
        <v>3.472204756</v>
      </c>
      <c r="BI12">
        <v>6.6089283050000001</v>
      </c>
      <c r="BJ12">
        <v>3.498234434</v>
      </c>
      <c r="BK12">
        <v>2.6863545339999999</v>
      </c>
      <c r="BL12">
        <v>0.13256738840000001</v>
      </c>
      <c r="BM12">
        <v>14.626601859999999</v>
      </c>
      <c r="BN12">
        <v>3.1811998199999998</v>
      </c>
      <c r="BO12">
        <v>0.63820863549999995</v>
      </c>
      <c r="BP12">
        <v>1.677341711</v>
      </c>
      <c r="BQ12">
        <v>5.1310982090000001</v>
      </c>
      <c r="BR12">
        <v>41.466073659999999</v>
      </c>
      <c r="BS12">
        <v>12.74281614</v>
      </c>
      <c r="BT12">
        <v>14.822555530000001</v>
      </c>
      <c r="BU12">
        <v>89.049177720000003</v>
      </c>
      <c r="BV12">
        <v>3.4165649340000002</v>
      </c>
      <c r="BW12">
        <v>0.51742837500000005</v>
      </c>
      <c r="BX12">
        <v>2.3671174160000001</v>
      </c>
      <c r="BY12">
        <v>5.030375544</v>
      </c>
      <c r="BZ12">
        <v>4.727093097</v>
      </c>
      <c r="CA12">
        <v>0.73411814369999995</v>
      </c>
      <c r="CB12">
        <v>2.743191929</v>
      </c>
      <c r="CC12">
        <v>6.3120888559999999</v>
      </c>
      <c r="CD12">
        <v>8.1436580319999994</v>
      </c>
      <c r="CE12">
        <v>0.85380336499999998</v>
      </c>
      <c r="CF12">
        <v>5.5589639999999996</v>
      </c>
      <c r="CG12">
        <v>9.0577059999999996</v>
      </c>
      <c r="CH12">
        <v>2.7533059550000001</v>
      </c>
      <c r="CI12">
        <v>0.5194165114</v>
      </c>
      <c r="CJ12">
        <v>1.5881861799999999</v>
      </c>
      <c r="CK12">
        <v>4.8710371109999997</v>
      </c>
      <c r="CL12">
        <v>8.1436580319999994</v>
      </c>
      <c r="CM12">
        <v>0.85380336499999998</v>
      </c>
      <c r="CN12">
        <v>5.5589639999999996</v>
      </c>
      <c r="CO12">
        <v>9.0577059999999996</v>
      </c>
      <c r="CP12">
        <v>1.4456262870000001</v>
      </c>
      <c r="CQ12">
        <v>0.2488469925</v>
      </c>
      <c r="CR12">
        <v>0.84479394269999997</v>
      </c>
      <c r="CS12">
        <v>2.1740855699999999</v>
      </c>
      <c r="CT12">
        <v>1.764369278</v>
      </c>
      <c r="CU12">
        <v>0.27887986570000001</v>
      </c>
      <c r="CV12">
        <v>1.0684516120000001</v>
      </c>
      <c r="CW12">
        <v>2.5424710290000001</v>
      </c>
      <c r="CX12">
        <v>-0.37141853969999999</v>
      </c>
      <c r="CY12">
        <v>0.36133956960000002</v>
      </c>
      <c r="CZ12">
        <v>-1.8949678240000001</v>
      </c>
      <c r="DA12">
        <v>0.42306035479999998</v>
      </c>
      <c r="DB12">
        <v>2.6686124969999998</v>
      </c>
      <c r="DC12">
        <v>0.71427838509999997</v>
      </c>
      <c r="DD12">
        <v>1.7974422370000001</v>
      </c>
      <c r="DE12">
        <v>7.3325778120000003</v>
      </c>
      <c r="DF12">
        <v>0.25914570939999998</v>
      </c>
      <c r="DG12">
        <v>9.028887645E-2</v>
      </c>
      <c r="DH12">
        <v>0.11856959960000001</v>
      </c>
      <c r="DI12">
        <v>0.65135999769999997</v>
      </c>
      <c r="DJ12">
        <v>4.294832532</v>
      </c>
      <c r="DK12">
        <v>0.46452036289999998</v>
      </c>
      <c r="DL12">
        <v>3.472204756</v>
      </c>
      <c r="DM12">
        <v>6.5213854480000002</v>
      </c>
      <c r="DN12">
        <v>8.1737159720000001</v>
      </c>
      <c r="DO12">
        <v>4.1857841440000003</v>
      </c>
      <c r="DP12">
        <v>1.325673884</v>
      </c>
      <c r="DQ12">
        <v>20.104528909999999</v>
      </c>
      <c r="DR12">
        <v>3.1811285809999998</v>
      </c>
      <c r="DS12">
        <v>0.63828976309999996</v>
      </c>
      <c r="DT12">
        <v>1.677081402</v>
      </c>
      <c r="DU12">
        <v>5.1312057529999997</v>
      </c>
      <c r="DV12">
        <v>42.642091890000003</v>
      </c>
      <c r="DW12">
        <v>12.808666629999999</v>
      </c>
      <c r="DX12">
        <v>15.352493300000001</v>
      </c>
      <c r="DY12">
        <v>84.338650329999993</v>
      </c>
      <c r="DZ12">
        <v>2.3345482710000001</v>
      </c>
      <c r="EA12">
        <v>0.35102047489999999</v>
      </c>
      <c r="EB12">
        <v>1.405833383</v>
      </c>
      <c r="EC12">
        <v>3.3781924239999999</v>
      </c>
      <c r="ED12">
        <v>2.1007508549999998</v>
      </c>
      <c r="EE12">
        <v>0.27310256230000002</v>
      </c>
      <c r="EF12">
        <v>1.5415038839999999</v>
      </c>
      <c r="EG12">
        <v>3.1025877849999999</v>
      </c>
      <c r="EH12">
        <v>4.4352991260000003</v>
      </c>
      <c r="EI12">
        <v>0.55372240439999998</v>
      </c>
      <c r="EJ12">
        <v>2.9531125710000001</v>
      </c>
      <c r="EK12">
        <v>6.0198427140000002</v>
      </c>
      <c r="EL12">
        <v>1.937331632</v>
      </c>
      <c r="EM12">
        <v>0.24548905039999999</v>
      </c>
      <c r="EN12">
        <v>1.3880528830000001</v>
      </c>
      <c r="EO12">
        <v>2.6344918000000002</v>
      </c>
      <c r="EP12">
        <v>6.8720570260000002</v>
      </c>
      <c r="EQ12">
        <v>1.3184787440000001</v>
      </c>
      <c r="ER12">
        <v>4.0156599999999996</v>
      </c>
      <c r="ES12">
        <v>11.143483</v>
      </c>
      <c r="ET12">
        <v>0.73129218330000001</v>
      </c>
      <c r="EU12">
        <v>9.2113173950000002E-2</v>
      </c>
      <c r="EV12">
        <v>0.5203070501</v>
      </c>
      <c r="EW12">
        <v>0.99663115290000004</v>
      </c>
      <c r="EX12">
        <v>0.92191306309999999</v>
      </c>
      <c r="EY12">
        <v>0.11730541009999999</v>
      </c>
      <c r="EZ12">
        <v>0.65067079589999999</v>
      </c>
      <c r="FA12">
        <v>1.2794152379999999</v>
      </c>
      <c r="FB12">
        <v>0.1109441151</v>
      </c>
      <c r="FC12">
        <v>0.19868847349999999</v>
      </c>
      <c r="FD12">
        <v>-0.3845859552</v>
      </c>
      <c r="FE12">
        <v>0.84025620339999996</v>
      </c>
      <c r="FF12">
        <v>3.0877811240000002</v>
      </c>
      <c r="FG12">
        <v>0.39686943460000002</v>
      </c>
      <c r="FH12">
        <v>2.3688090060000002</v>
      </c>
      <c r="FI12">
        <v>4.7726950659999998</v>
      </c>
      <c r="FJ12">
        <v>3.5911101749999998</v>
      </c>
      <c r="FK12">
        <v>0.84524952409999998</v>
      </c>
      <c r="FL12">
        <v>2.1677518999999998</v>
      </c>
      <c r="FM12">
        <v>7.1145835120000003</v>
      </c>
      <c r="FN12">
        <v>3.2809468509999999</v>
      </c>
      <c r="FO12">
        <v>0.76468615009999996</v>
      </c>
      <c r="FP12">
        <v>1.765378313</v>
      </c>
      <c r="FQ12">
        <v>6.4979194400000004</v>
      </c>
      <c r="FR12">
        <v>6.5184320629999997</v>
      </c>
      <c r="FS12">
        <v>1.2565648629999999</v>
      </c>
      <c r="FT12">
        <v>3.8935179999999998</v>
      </c>
      <c r="FU12">
        <v>10.21921</v>
      </c>
      <c r="FV12">
        <v>5.4948105370000002</v>
      </c>
      <c r="FW12">
        <v>1.4567063499999999</v>
      </c>
      <c r="FX12">
        <v>2.4509479999999999</v>
      </c>
      <c r="FY12">
        <v>9.9048809999999996</v>
      </c>
      <c r="FZ12">
        <v>0.1116361079</v>
      </c>
      <c r="GA12">
        <v>1.6400938680000001E-2</v>
      </c>
      <c r="GB12">
        <v>7.5286666409999994E-2</v>
      </c>
      <c r="GC12">
        <v>0.20291307619999999</v>
      </c>
      <c r="GD12">
        <v>4.2470331620000001</v>
      </c>
      <c r="GE12">
        <v>0.47228692760000002</v>
      </c>
      <c r="GF12">
        <v>3.3460961359999999</v>
      </c>
      <c r="GG12">
        <v>6.6637254810000002</v>
      </c>
      <c r="GH12">
        <v>1.675205874</v>
      </c>
      <c r="GI12">
        <v>1.509243471</v>
      </c>
      <c r="GJ12">
        <v>2.4624476730000001E-2</v>
      </c>
      <c r="GK12">
        <v>9.3080522040000009</v>
      </c>
      <c r="GL12">
        <v>1.436506616</v>
      </c>
      <c r="GM12">
        <v>0.179253145</v>
      </c>
      <c r="GN12">
        <v>0.99138165860000005</v>
      </c>
      <c r="GO12">
        <v>2.0789777470000002</v>
      </c>
      <c r="GP12">
        <v>10.872481929999999</v>
      </c>
      <c r="GQ12">
        <v>1.752432835</v>
      </c>
      <c r="GR12">
        <v>5.6636296479999997</v>
      </c>
      <c r="GS12">
        <v>15.564957550000001</v>
      </c>
      <c r="GT12">
        <v>91.396309430000002</v>
      </c>
      <c r="GU12">
        <v>12.75709477</v>
      </c>
      <c r="GV12">
        <v>49.282186179999997</v>
      </c>
      <c r="GW12">
        <v>132.8256447</v>
      </c>
      <c r="GX12">
        <v>2.2698241260000001</v>
      </c>
      <c r="GY12">
        <v>0.33298352739999998</v>
      </c>
      <c r="GZ12">
        <v>1.405833383</v>
      </c>
      <c r="HA12">
        <v>3.2895498139999999</v>
      </c>
      <c r="HB12">
        <v>2.079620153</v>
      </c>
      <c r="HC12">
        <v>0.26388508360000001</v>
      </c>
      <c r="HD12">
        <v>1.5415038839999999</v>
      </c>
      <c r="HE12">
        <v>3.0830840149999998</v>
      </c>
      <c r="HF12">
        <v>4.3494442790000001</v>
      </c>
      <c r="HG12">
        <v>0.52728667640000004</v>
      </c>
      <c r="HH12">
        <v>2.9531125710000001</v>
      </c>
      <c r="HI12">
        <v>5.7297012860000001</v>
      </c>
      <c r="HJ12">
        <v>1.9058232479999999</v>
      </c>
      <c r="HK12">
        <v>0.23397620299999999</v>
      </c>
      <c r="HL12">
        <v>1.3880528830000001</v>
      </c>
      <c r="HM12">
        <v>2.5533824799999998</v>
      </c>
      <c r="HN12">
        <v>6.6210660260000003</v>
      </c>
      <c r="HO12">
        <v>1.1598056720000001</v>
      </c>
      <c r="HP12">
        <v>4.0156599999999996</v>
      </c>
      <c r="HQ12">
        <v>10.097414000000001</v>
      </c>
      <c r="HR12">
        <v>0.72684953299999999</v>
      </c>
      <c r="HS12">
        <v>9.0201687599999997E-2</v>
      </c>
      <c r="HT12">
        <v>0.51937201529999999</v>
      </c>
      <c r="HU12">
        <v>0.97872953819999997</v>
      </c>
      <c r="HV12">
        <v>0.91384816040000005</v>
      </c>
      <c r="HW12">
        <v>0.1138887148</v>
      </c>
      <c r="HX12">
        <v>0.65067079589999999</v>
      </c>
      <c r="HY12">
        <v>1.243832687</v>
      </c>
      <c r="HZ12">
        <v>9.7652802060000002E-2</v>
      </c>
      <c r="IA12">
        <v>0.1982269307</v>
      </c>
      <c r="IB12">
        <v>-0.3845859552</v>
      </c>
      <c r="IC12">
        <v>0.8666975844</v>
      </c>
      <c r="ID12">
        <v>3.039352321</v>
      </c>
      <c r="IE12">
        <v>0.38173939810000002</v>
      </c>
      <c r="IF12">
        <v>2.3633744879999998</v>
      </c>
      <c r="IG12">
        <v>4.6022420510000002</v>
      </c>
      <c r="IH12">
        <v>3.4205554299999998</v>
      </c>
      <c r="II12">
        <v>0.74895513069999997</v>
      </c>
      <c r="IJ12">
        <v>2.1677518949999999</v>
      </c>
      <c r="IK12">
        <v>6.0127285009999998</v>
      </c>
      <c r="IL12">
        <v>3.200510596</v>
      </c>
      <c r="IM12">
        <v>0.68684601729999994</v>
      </c>
      <c r="IN12">
        <v>1.765378313</v>
      </c>
      <c r="IO12">
        <v>5.8493454319999998</v>
      </c>
      <c r="IP12">
        <v>6.2908698369999998</v>
      </c>
      <c r="IQ12">
        <v>1.0781784830000001</v>
      </c>
      <c r="IR12">
        <v>3.8935179999999998</v>
      </c>
      <c r="IS12">
        <v>9.2860379999999996</v>
      </c>
      <c r="IT12">
        <v>5.2518734629999999</v>
      </c>
      <c r="IU12">
        <v>1.3368239209999999</v>
      </c>
      <c r="IV12">
        <v>2.4509479999999999</v>
      </c>
      <c r="IW12">
        <v>8.853612</v>
      </c>
      <c r="IX12">
        <v>0.11056543200000001</v>
      </c>
      <c r="IY12">
        <v>1.6328825639999999E-2</v>
      </c>
      <c r="IZ12">
        <v>7.4255342210000005E-2</v>
      </c>
      <c r="JA12">
        <v>0.21102959930000001</v>
      </c>
      <c r="JB12">
        <v>4.218585139</v>
      </c>
      <c r="JC12">
        <v>0.4611010317</v>
      </c>
      <c r="JD12">
        <v>3.3460961359999999</v>
      </c>
      <c r="JE12">
        <v>6.5844664399999999</v>
      </c>
      <c r="JF12">
        <v>1.9550004599999999</v>
      </c>
      <c r="JG12">
        <v>1.6142181010000001</v>
      </c>
      <c r="JH12">
        <v>2.4624476730000001E-2</v>
      </c>
      <c r="JI12">
        <v>9.3080522040000009</v>
      </c>
      <c r="JJ12">
        <v>1.4354542560000001</v>
      </c>
      <c r="JK12">
        <v>0.17799039280000001</v>
      </c>
      <c r="JL12">
        <v>0.99239763800000003</v>
      </c>
      <c r="JM12">
        <v>2.076807632</v>
      </c>
      <c r="JN12">
        <v>11.16737674</v>
      </c>
      <c r="JO12">
        <v>1.7844031309999999</v>
      </c>
      <c r="JP12">
        <v>5.9242512100000004</v>
      </c>
      <c r="JQ12">
        <v>15.833538539999999</v>
      </c>
      <c r="JR12">
        <v>92.261089949999999</v>
      </c>
      <c r="JS12">
        <v>12.7529219</v>
      </c>
      <c r="JT12">
        <v>47.386717480000002</v>
      </c>
      <c r="JU12">
        <v>134.67044530000001</v>
      </c>
      <c r="JV12">
        <v>2.1107461189999999</v>
      </c>
      <c r="JW12">
        <v>0.48536176069999998</v>
      </c>
      <c r="JX12">
        <v>1.0914017389999999</v>
      </c>
      <c r="JY12">
        <v>4.3171984769999998</v>
      </c>
      <c r="JZ12">
        <v>2.852264618</v>
      </c>
      <c r="KA12">
        <v>0.81309774810000002</v>
      </c>
      <c r="KB12">
        <v>1.179989596</v>
      </c>
      <c r="KC12">
        <v>5.2392084949999997</v>
      </c>
      <c r="KD12">
        <v>4.9630107370000003</v>
      </c>
      <c r="KE12">
        <v>1.0645449950000001</v>
      </c>
      <c r="KF12">
        <v>2.3276460000000001</v>
      </c>
      <c r="KG12">
        <v>8.5423240000000007</v>
      </c>
      <c r="KH12">
        <v>3.6934895390000002</v>
      </c>
      <c r="KI12">
        <v>1.277214882</v>
      </c>
      <c r="KJ12">
        <v>1.227764667</v>
      </c>
      <c r="KK12">
        <v>8.5423240000000007</v>
      </c>
      <c r="KL12">
        <v>4.9630107370000003</v>
      </c>
      <c r="KM12">
        <v>1.0645449950000001</v>
      </c>
      <c r="KN12">
        <v>2.3276460000000001</v>
      </c>
      <c r="KO12">
        <v>8.5423240000000007</v>
      </c>
      <c r="KP12">
        <v>1.031114936</v>
      </c>
      <c r="KQ12">
        <v>0.25018961299999998</v>
      </c>
      <c r="KR12">
        <v>0.489685009</v>
      </c>
      <c r="KS12">
        <v>1.8858592670000001</v>
      </c>
      <c r="KT12">
        <v>1.2581324819999999</v>
      </c>
      <c r="KU12">
        <v>0.28764287620000001</v>
      </c>
      <c r="KV12">
        <v>0.63390419689999999</v>
      </c>
      <c r="KW12">
        <v>2.2776813589999998</v>
      </c>
      <c r="KX12">
        <v>-0.37691811720000001</v>
      </c>
      <c r="KY12">
        <v>0.45814322709999999</v>
      </c>
      <c r="KZ12">
        <v>-1.9178103879999999</v>
      </c>
      <c r="LA12">
        <v>0.74491511700000002</v>
      </c>
      <c r="LB12">
        <v>2.6379307999999999</v>
      </c>
      <c r="LC12">
        <v>0.83514897430000001</v>
      </c>
      <c r="LD12">
        <v>1.597298184</v>
      </c>
      <c r="LE12">
        <v>6.7850837310000003</v>
      </c>
      <c r="LF12">
        <v>1.9461095509999999</v>
      </c>
      <c r="LG12">
        <v>0.71168580120000002</v>
      </c>
      <c r="LH12">
        <v>0.68585999760000005</v>
      </c>
      <c r="LI12">
        <v>4.6271399840000003</v>
      </c>
      <c r="LJ12">
        <v>0.25653472329999999</v>
      </c>
      <c r="LK12">
        <v>5.1541162559999999E-2</v>
      </c>
      <c r="LL12">
        <v>0.13035755439999999</v>
      </c>
      <c r="LM12">
        <v>0.40742474280000002</v>
      </c>
      <c r="LN12">
        <v>23.389190200000002</v>
      </c>
      <c r="LO12">
        <v>10.28954588</v>
      </c>
      <c r="LP12">
        <v>6.2969509500000003</v>
      </c>
      <c r="LQ12">
        <v>61.692377720000003</v>
      </c>
      <c r="LR12">
        <v>2.2536009670000001</v>
      </c>
      <c r="LS12">
        <v>0.63274871210000005</v>
      </c>
      <c r="LT12">
        <v>0.8295201915</v>
      </c>
      <c r="LU12">
        <v>4.3593956650000001</v>
      </c>
      <c r="LV12">
        <v>17.503753830000001</v>
      </c>
      <c r="LW12">
        <v>6.2492912560000002</v>
      </c>
      <c r="LX12">
        <v>0</v>
      </c>
      <c r="LY12">
        <v>32.82774723</v>
      </c>
      <c r="LZ12">
        <v>5.7108646749999998</v>
      </c>
      <c r="MA12">
        <v>1.7812845260000001</v>
      </c>
      <c r="MB12">
        <v>2.1611621940000001</v>
      </c>
      <c r="MC12">
        <v>14.58023508</v>
      </c>
      <c r="MD12">
        <v>2.095341785</v>
      </c>
      <c r="ME12">
        <v>0.47834841439999998</v>
      </c>
      <c r="MF12">
        <v>1.0914017389999999</v>
      </c>
      <c r="MG12">
        <v>4.1806354690000003</v>
      </c>
      <c r="MH12">
        <v>2.808291052</v>
      </c>
      <c r="MI12">
        <v>0.75715815610000003</v>
      </c>
      <c r="MJ12">
        <v>1.179068429</v>
      </c>
      <c r="MK12">
        <v>5.1052154080000003</v>
      </c>
      <c r="ML12">
        <v>4.903632837</v>
      </c>
      <c r="MM12">
        <v>0.99681520069999996</v>
      </c>
      <c r="MN12">
        <v>2.3137159999999999</v>
      </c>
      <c r="MO12">
        <v>7.8383240000000001</v>
      </c>
      <c r="MP12">
        <v>3.622392703</v>
      </c>
      <c r="MQ12">
        <v>1.197826045</v>
      </c>
      <c r="MR12">
        <v>1.227764667</v>
      </c>
      <c r="MS12">
        <v>7.8383240000000001</v>
      </c>
      <c r="MT12">
        <v>4.903632837</v>
      </c>
      <c r="MU12">
        <v>0.99681520069999996</v>
      </c>
      <c r="MV12">
        <v>2.3137159999999999</v>
      </c>
      <c r="MW12">
        <v>7.8383240000000001</v>
      </c>
      <c r="MX12">
        <v>1.025664446</v>
      </c>
      <c r="MY12">
        <v>0.24560056459999999</v>
      </c>
      <c r="MZ12">
        <v>0.48837790609999998</v>
      </c>
      <c r="NA12">
        <v>1.8251639630000001</v>
      </c>
      <c r="NB12">
        <v>1.2493511129999999</v>
      </c>
      <c r="NC12">
        <v>0.27904938419999997</v>
      </c>
      <c r="ND12">
        <v>0.63147255290000004</v>
      </c>
      <c r="NE12">
        <v>2.193181262</v>
      </c>
      <c r="NF12">
        <v>-0.36958719089999997</v>
      </c>
      <c r="NG12">
        <v>0.4521938277</v>
      </c>
      <c r="NH12">
        <v>-1.880307121</v>
      </c>
      <c r="NI12">
        <v>0.74873166950000003</v>
      </c>
      <c r="NJ12">
        <v>2.6133935159999999</v>
      </c>
      <c r="NK12">
        <v>0.82166263660000005</v>
      </c>
      <c r="NL12">
        <v>1.5929419119999999</v>
      </c>
      <c r="NM12">
        <v>6.7850837310000003</v>
      </c>
      <c r="NN12">
        <v>1.935991687</v>
      </c>
      <c r="NO12">
        <v>0.7124406673</v>
      </c>
      <c r="NP12">
        <v>0.68723999759999999</v>
      </c>
      <c r="NQ12">
        <v>4.6257599840000001</v>
      </c>
      <c r="NR12">
        <v>0.25453558720000002</v>
      </c>
      <c r="NS12">
        <v>4.984169083E-2</v>
      </c>
      <c r="NT12">
        <v>0.1300430323</v>
      </c>
      <c r="NU12">
        <v>0.39025907170000002</v>
      </c>
      <c r="NV12">
        <v>23.708913119999998</v>
      </c>
      <c r="NW12">
        <v>10.203715949999999</v>
      </c>
      <c r="NX12">
        <v>6.3411400799999997</v>
      </c>
      <c r="NY12">
        <v>61.702323479999997</v>
      </c>
      <c r="NZ12">
        <v>2.2476618770000001</v>
      </c>
      <c r="OA12">
        <v>0.63058522969999997</v>
      </c>
      <c r="OB12">
        <v>0.82952281439999997</v>
      </c>
      <c r="OC12">
        <v>4.346922395</v>
      </c>
      <c r="OD12">
        <v>17.69693037</v>
      </c>
      <c r="OE12">
        <v>6.2232900219999996</v>
      </c>
      <c r="OF12">
        <v>0</v>
      </c>
      <c r="OG12">
        <v>32.849916700000001</v>
      </c>
      <c r="OH12">
        <v>5.7510489800000002</v>
      </c>
      <c r="OI12">
        <v>1.8148418630000001</v>
      </c>
      <c r="OJ12">
        <v>2.1618069320000002</v>
      </c>
      <c r="OK12">
        <v>14.550957500000001</v>
      </c>
      <c r="OL12">
        <v>1.6823465120000001</v>
      </c>
      <c r="OM12">
        <v>-0.51640000630000005</v>
      </c>
      <c r="ON12">
        <v>3.1147659879999998</v>
      </c>
      <c r="OO12">
        <v>6.2218669999999996</v>
      </c>
      <c r="OP12">
        <v>7.225638</v>
      </c>
      <c r="OQ12">
        <v>13.447505</v>
      </c>
      <c r="OR12">
        <v>1.349901051</v>
      </c>
      <c r="OS12" s="2">
        <v>5.0872109089999997E-5</v>
      </c>
      <c r="OT12">
        <v>2.082030959E-3</v>
      </c>
      <c r="OU12" s="2">
        <v>5.0872109089999997E-5</v>
      </c>
      <c r="OV12">
        <v>1.5712799129999999E-3</v>
      </c>
      <c r="OW12">
        <v>1.8544880869999999E-3</v>
      </c>
      <c r="OX12">
        <v>2.2754287230000001E-4</v>
      </c>
      <c r="OY12">
        <v>4.3566161470000004</v>
      </c>
      <c r="OZ12">
        <v>0.89088096880000001</v>
      </c>
      <c r="PA12">
        <v>2.0521103969999999</v>
      </c>
      <c r="PB12">
        <v>6.0027604349999999</v>
      </c>
      <c r="PC12">
        <v>87.571811389999993</v>
      </c>
      <c r="PD12">
        <v>1.6666060739999999</v>
      </c>
      <c r="PE12">
        <v>-0.48152536600000001</v>
      </c>
      <c r="PF12">
        <v>2.919973095</v>
      </c>
      <c r="PG12">
        <v>5.2265430000000004</v>
      </c>
      <c r="PH12">
        <v>6.0405610000000003</v>
      </c>
      <c r="PI12">
        <v>11.267104</v>
      </c>
      <c r="PJ12">
        <v>1.3438244850000001</v>
      </c>
      <c r="PK12" s="2">
        <v>4.8849135299999997E-5</v>
      </c>
      <c r="PL12">
        <v>2.0765261199999999E-3</v>
      </c>
      <c r="PM12" s="2">
        <v>4.8849135299999997E-5</v>
      </c>
      <c r="PN12">
        <v>1.5713655590000001E-3</v>
      </c>
      <c r="PO12">
        <v>1.852811441E-3</v>
      </c>
      <c r="PP12">
        <v>2.237146782E-4</v>
      </c>
      <c r="PQ12">
        <v>4.3580002929999999</v>
      </c>
      <c r="PR12">
        <v>0.82990826490000003</v>
      </c>
      <c r="PS12">
        <v>1.989029586</v>
      </c>
      <c r="PT12">
        <v>5.9237664780000001</v>
      </c>
      <c r="PU12">
        <v>87.564576979999998</v>
      </c>
      <c r="PV12">
        <v>5.0575695029999999</v>
      </c>
      <c r="PW12">
        <v>0.69732375059999996</v>
      </c>
      <c r="PX12">
        <v>2.2123151189999999</v>
      </c>
      <c r="PY12">
        <v>4.5575760919999997</v>
      </c>
      <c r="PZ12">
        <v>88.201261180000003</v>
      </c>
      <c r="QA12">
        <v>5.0560561780000004</v>
      </c>
      <c r="QB12">
        <v>0.60871748560000005</v>
      </c>
      <c r="QC12">
        <v>2.141101591</v>
      </c>
      <c r="QD12">
        <v>4.5506864560000002</v>
      </c>
      <c r="QE12">
        <v>88.194272670000004</v>
      </c>
      <c r="QF12" s="2">
        <v>4.4986204440000003E-5</v>
      </c>
      <c r="QG12">
        <v>1.8001208250000001E-3</v>
      </c>
      <c r="QH12">
        <v>2.0984501750000001E-3</v>
      </c>
      <c r="QI12">
        <v>2.481340933E-4</v>
      </c>
      <c r="QJ12" s="2">
        <v>4.2910662710000003E-5</v>
      </c>
      <c r="QK12">
        <v>1.800059527E-3</v>
      </c>
      <c r="QL12">
        <v>2.098233473E-3</v>
      </c>
      <c r="QM12">
        <v>2.439190282E-4</v>
      </c>
      <c r="QN12">
        <v>13.868334949999999</v>
      </c>
      <c r="QO12">
        <v>2.9109038680000001E-2</v>
      </c>
      <c r="QP12">
        <v>5.4588414009999999</v>
      </c>
      <c r="QQ12">
        <v>174.7918683</v>
      </c>
      <c r="QR12">
        <v>13.83125684</v>
      </c>
      <c r="QS12">
        <v>2.931853156E-2</v>
      </c>
      <c r="QT12">
        <v>5.4587138670000002</v>
      </c>
      <c r="QU12">
        <v>174.79124200000001</v>
      </c>
    </row>
    <row r="13" spans="1:463" x14ac:dyDescent="0.2">
      <c r="A13" t="s">
        <v>284</v>
      </c>
      <c r="B13" s="2">
        <v>1.3579582709999999E-11</v>
      </c>
      <c r="C13" s="2">
        <v>1.884870287E-11</v>
      </c>
      <c r="D13">
        <v>5.6488312409999998E-2</v>
      </c>
      <c r="E13">
        <v>0.1007103845</v>
      </c>
      <c r="F13">
        <v>0.46073720200000001</v>
      </c>
      <c r="G13">
        <v>0.17318726870000001</v>
      </c>
      <c r="H13">
        <v>0.3087675252</v>
      </c>
      <c r="I13">
        <v>1.4125721630000001</v>
      </c>
      <c r="J13">
        <v>32.56040831</v>
      </c>
      <c r="K13">
        <v>32.616896619999999</v>
      </c>
      <c r="L13">
        <v>32.616896619999999</v>
      </c>
      <c r="M13">
        <v>32.616896619999999</v>
      </c>
      <c r="N13">
        <v>32.516186240000003</v>
      </c>
      <c r="O13">
        <v>32.616896619999999</v>
      </c>
      <c r="P13">
        <v>32.156159420000002</v>
      </c>
      <c r="Q13">
        <v>32.616896619999999</v>
      </c>
      <c r="R13">
        <v>4.0494063699999998</v>
      </c>
      <c r="S13">
        <v>0.55622931330000003</v>
      </c>
      <c r="T13">
        <v>2.898944422</v>
      </c>
      <c r="U13">
        <v>5.9303173500000002</v>
      </c>
      <c r="V13">
        <v>5.1105728150000003</v>
      </c>
      <c r="W13">
        <v>1.028334042</v>
      </c>
      <c r="X13">
        <v>3.0547872690000002</v>
      </c>
      <c r="Y13">
        <v>7.4711688770000002</v>
      </c>
      <c r="Z13">
        <v>9.1599791840000009</v>
      </c>
      <c r="AA13">
        <v>1.2322458000000001</v>
      </c>
      <c r="AB13">
        <v>6.5688959999999996</v>
      </c>
      <c r="AC13">
        <v>11.543065</v>
      </c>
      <c r="AD13">
        <v>2.9937221730000001</v>
      </c>
      <c r="AE13">
        <v>0.53247749550000001</v>
      </c>
      <c r="AF13">
        <v>1.7593423669999999</v>
      </c>
      <c r="AG13">
        <v>4.780454625</v>
      </c>
      <c r="AH13">
        <v>9.1599791840000009</v>
      </c>
      <c r="AI13">
        <v>1.2322458000000001</v>
      </c>
      <c r="AJ13">
        <v>6.5688959999999996</v>
      </c>
      <c r="AK13">
        <v>11.543065</v>
      </c>
      <c r="AL13">
        <v>1.538417771</v>
      </c>
      <c r="AM13">
        <v>0.27803077469999998</v>
      </c>
      <c r="AN13">
        <v>0.93573489799999998</v>
      </c>
      <c r="AO13">
        <v>2.291015078</v>
      </c>
      <c r="AP13">
        <v>1.887862009</v>
      </c>
      <c r="AQ13">
        <v>0.31499670699999999</v>
      </c>
      <c r="AR13">
        <v>1.1864713950000001</v>
      </c>
      <c r="AS13">
        <v>2.7457681790000001</v>
      </c>
      <c r="AT13">
        <v>-0.19649495019999999</v>
      </c>
      <c r="AU13">
        <v>0.37806613589999999</v>
      </c>
      <c r="AV13">
        <v>-1.7017402109999999</v>
      </c>
      <c r="AW13">
        <v>0.5855422576</v>
      </c>
      <c r="AX13">
        <v>2.6605687159999998</v>
      </c>
      <c r="AY13">
        <v>0.66365582469999995</v>
      </c>
      <c r="AZ13">
        <v>1.7140559689999999</v>
      </c>
      <c r="BA13">
        <v>6.8801963300000004</v>
      </c>
      <c r="BB13">
        <v>0.2053539342</v>
      </c>
      <c r="BC13">
        <v>6.4423839420000004E-2</v>
      </c>
      <c r="BD13">
        <v>9.3489152219999996E-2</v>
      </c>
      <c r="BE13">
        <v>0.4620876907</v>
      </c>
      <c r="BF13">
        <v>11.00480997</v>
      </c>
      <c r="BG13">
        <v>1.2616236350000001</v>
      </c>
      <c r="BH13">
        <v>7.9963503439999997</v>
      </c>
      <c r="BI13">
        <v>14.890063720000001</v>
      </c>
      <c r="BJ13">
        <v>4.9687647180000001</v>
      </c>
      <c r="BK13">
        <v>2.492955823</v>
      </c>
      <c r="BL13">
        <v>0.68493150680000003</v>
      </c>
      <c r="BM13">
        <v>13.448492359999999</v>
      </c>
      <c r="BN13">
        <v>3.3494943730000002</v>
      </c>
      <c r="BO13">
        <v>0.71162789059999998</v>
      </c>
      <c r="BP13">
        <v>1.8581267130000001</v>
      </c>
      <c r="BQ13">
        <v>5.5777810780000001</v>
      </c>
      <c r="BR13">
        <v>53.045535460000004</v>
      </c>
      <c r="BS13">
        <v>14.984033459999999</v>
      </c>
      <c r="BT13">
        <v>21.640914049999999</v>
      </c>
      <c r="BU13">
        <v>106.96428160000001</v>
      </c>
      <c r="BV13">
        <v>3.762449079</v>
      </c>
      <c r="BW13">
        <v>0.5263195839</v>
      </c>
      <c r="BX13">
        <v>2.6432671619999999</v>
      </c>
      <c r="BY13">
        <v>5.3023365059999996</v>
      </c>
      <c r="BZ13">
        <v>4.7780861569999997</v>
      </c>
      <c r="CA13">
        <v>0.70592921019999999</v>
      </c>
      <c r="CB13">
        <v>3.0547872690000002</v>
      </c>
      <c r="CC13">
        <v>6.2942065620000003</v>
      </c>
      <c r="CD13">
        <v>8.5405352370000003</v>
      </c>
      <c r="CE13">
        <v>0.80560701369999999</v>
      </c>
      <c r="CF13">
        <v>6.4616670000000003</v>
      </c>
      <c r="CG13">
        <v>9.4200700000000008</v>
      </c>
      <c r="CH13">
        <v>2.9085473419999999</v>
      </c>
      <c r="CI13">
        <v>0.49923027250000002</v>
      </c>
      <c r="CJ13">
        <v>1.7593423669999999</v>
      </c>
      <c r="CK13">
        <v>4.6738819380000001</v>
      </c>
      <c r="CL13">
        <v>8.5405352370000003</v>
      </c>
      <c r="CM13">
        <v>0.80560701369999999</v>
      </c>
      <c r="CN13">
        <v>6.4616670000000003</v>
      </c>
      <c r="CO13">
        <v>9.4200700000000008</v>
      </c>
      <c r="CP13">
        <v>1.524937164</v>
      </c>
      <c r="CQ13">
        <v>0.26983199990000001</v>
      </c>
      <c r="CR13">
        <v>0.93573489799999998</v>
      </c>
      <c r="CS13">
        <v>2.2525435909999998</v>
      </c>
      <c r="CT13">
        <v>1.862875053</v>
      </c>
      <c r="CU13">
        <v>0.29499989450000003</v>
      </c>
      <c r="CV13">
        <v>1.1864713950000001</v>
      </c>
      <c r="CW13">
        <v>2.5988877879999999</v>
      </c>
      <c r="CX13">
        <v>-0.17767661030000001</v>
      </c>
      <c r="CY13">
        <v>0.35458337080000002</v>
      </c>
      <c r="CZ13">
        <v>-1.406743208</v>
      </c>
      <c r="DA13">
        <v>0.57636455230000005</v>
      </c>
      <c r="DB13">
        <v>2.5747237639999998</v>
      </c>
      <c r="DC13">
        <v>0.56897353689999997</v>
      </c>
      <c r="DD13">
        <v>1.7140559689999999</v>
      </c>
      <c r="DE13">
        <v>5.6234738430000002</v>
      </c>
      <c r="DF13">
        <v>0.20010326589999999</v>
      </c>
      <c r="DG13">
        <v>6.2645849559999994E-2</v>
      </c>
      <c r="DH13">
        <v>9.3489152219999996E-2</v>
      </c>
      <c r="DI13">
        <v>0.4620876907</v>
      </c>
      <c r="DJ13">
        <v>10.697635269999999</v>
      </c>
      <c r="DK13">
        <v>1.1887264</v>
      </c>
      <c r="DL13">
        <v>7.9963503439999997</v>
      </c>
      <c r="DM13">
        <v>14.61353212</v>
      </c>
      <c r="DN13">
        <v>8.1510487610000002</v>
      </c>
      <c r="DO13">
        <v>3.5213164670000001</v>
      </c>
      <c r="DP13">
        <v>2.0547945209999998</v>
      </c>
      <c r="DQ13">
        <v>19.50950066</v>
      </c>
      <c r="DR13">
        <v>3.3403144070000002</v>
      </c>
      <c r="DS13">
        <v>0.70671071510000005</v>
      </c>
      <c r="DT13">
        <v>1.858741803</v>
      </c>
      <c r="DU13">
        <v>5.4870143020000004</v>
      </c>
      <c r="DV13">
        <v>54.306711909999997</v>
      </c>
      <c r="DW13">
        <v>15.01289261</v>
      </c>
      <c r="DX13">
        <v>21.640914049999999</v>
      </c>
      <c r="DY13">
        <v>106.96428160000001</v>
      </c>
      <c r="DZ13">
        <v>2.6212654369999999</v>
      </c>
      <c r="EA13">
        <v>0.38685168609999998</v>
      </c>
      <c r="EB13">
        <v>1.761205688</v>
      </c>
      <c r="EC13">
        <v>4.2014394189999997</v>
      </c>
      <c r="ED13">
        <v>2.3688710400000001</v>
      </c>
      <c r="EE13">
        <v>0.29892576900000001</v>
      </c>
      <c r="EF13">
        <v>1.539241026</v>
      </c>
      <c r="EG13">
        <v>3.6205616200000001</v>
      </c>
      <c r="EH13">
        <v>4.9901364770000001</v>
      </c>
      <c r="EI13">
        <v>0.59634204629999998</v>
      </c>
      <c r="EJ13">
        <v>3.300446714</v>
      </c>
      <c r="EK13">
        <v>7.212294</v>
      </c>
      <c r="EL13">
        <v>2.1065467419999999</v>
      </c>
      <c r="EM13">
        <v>0.28064007819999998</v>
      </c>
      <c r="EN13">
        <v>1.3430560220000001</v>
      </c>
      <c r="EO13">
        <v>3.0103765930000002</v>
      </c>
      <c r="EP13">
        <v>7.7883870530000001</v>
      </c>
      <c r="EQ13">
        <v>1.3248387450000001</v>
      </c>
      <c r="ER13">
        <v>4.1805339999999998</v>
      </c>
      <c r="ES13">
        <v>12.30306</v>
      </c>
      <c r="ET13">
        <v>0.77608377510000004</v>
      </c>
      <c r="EU13">
        <v>0.11064777319999999</v>
      </c>
      <c r="EV13">
        <v>0.49470881929999999</v>
      </c>
      <c r="EW13">
        <v>1.0908890040000001</v>
      </c>
      <c r="EX13">
        <v>0.99273254529999999</v>
      </c>
      <c r="EY13">
        <v>0.13869583390000001</v>
      </c>
      <c r="EZ13">
        <v>0.65819044709999996</v>
      </c>
      <c r="FA13">
        <v>1.456182852</v>
      </c>
      <c r="FB13">
        <v>0.21265633410000001</v>
      </c>
      <c r="FC13">
        <v>0.24121452269999999</v>
      </c>
      <c r="FD13">
        <v>-0.46917193499999998</v>
      </c>
      <c r="FE13">
        <v>0.90770518919999998</v>
      </c>
      <c r="FF13">
        <v>3.4657092180000002</v>
      </c>
      <c r="FG13">
        <v>0.57218438059999999</v>
      </c>
      <c r="FH13">
        <v>2.4381743170000001</v>
      </c>
      <c r="FI13">
        <v>6.2435336039999996</v>
      </c>
      <c r="FJ13">
        <v>4.0470558920000004</v>
      </c>
      <c r="FK13">
        <v>0.82462475000000002</v>
      </c>
      <c r="FL13">
        <v>2.238831545</v>
      </c>
      <c r="FM13">
        <v>6.5309097039999999</v>
      </c>
      <c r="FN13">
        <v>3.7413311610000002</v>
      </c>
      <c r="FO13">
        <v>0.82700180720000005</v>
      </c>
      <c r="FP13">
        <v>1.9417024549999999</v>
      </c>
      <c r="FQ13">
        <v>7.0028073119999998</v>
      </c>
      <c r="FR13">
        <v>7.3972516949999996</v>
      </c>
      <c r="FS13">
        <v>1.2592505039999999</v>
      </c>
      <c r="FT13">
        <v>4.1805339999999998</v>
      </c>
      <c r="FU13">
        <v>11.207341</v>
      </c>
      <c r="FV13">
        <v>5.4798960680000004</v>
      </c>
      <c r="FW13">
        <v>1.576864367</v>
      </c>
      <c r="FX13">
        <v>2.3925049999999999</v>
      </c>
      <c r="FY13">
        <v>11.001366000000001</v>
      </c>
      <c r="FZ13">
        <v>8.8752561430000002E-2</v>
      </c>
      <c r="GA13">
        <v>1.2897521590000001E-2</v>
      </c>
      <c r="GB13">
        <v>6.1030112150000003E-2</v>
      </c>
      <c r="GC13">
        <v>0.1335234142</v>
      </c>
      <c r="GD13">
        <v>10.576387889999999</v>
      </c>
      <c r="GE13">
        <v>1.219651957</v>
      </c>
      <c r="GF13">
        <v>7.8178298980000003</v>
      </c>
      <c r="GG13">
        <v>14.711967209999999</v>
      </c>
      <c r="GH13">
        <v>1.3297671120000001</v>
      </c>
      <c r="GI13">
        <v>1.053690236</v>
      </c>
      <c r="GJ13">
        <v>7.3873430190000006E-2</v>
      </c>
      <c r="GK13">
        <v>6.7555278789999997</v>
      </c>
      <c r="GL13">
        <v>1.46883769</v>
      </c>
      <c r="GM13">
        <v>0.22089927849999999</v>
      </c>
      <c r="GN13">
        <v>0.88960567479999997</v>
      </c>
      <c r="GO13">
        <v>2.1164922759999998</v>
      </c>
      <c r="GP13">
        <v>10.150127960000001</v>
      </c>
      <c r="GQ13">
        <v>1.940555998</v>
      </c>
      <c r="GR13">
        <v>5.2942624970000001</v>
      </c>
      <c r="GS13">
        <v>15.316424530000001</v>
      </c>
      <c r="GT13">
        <v>114.99702550000001</v>
      </c>
      <c r="GU13">
        <v>16.30647286</v>
      </c>
      <c r="GV13">
        <v>74.893231740000004</v>
      </c>
      <c r="GW13">
        <v>163.85354129999999</v>
      </c>
      <c r="GX13">
        <v>2.5604177039999998</v>
      </c>
      <c r="GY13">
        <v>0.36976030090000001</v>
      </c>
      <c r="GZ13">
        <v>1.761205688</v>
      </c>
      <c r="HA13">
        <v>3.9911928169999999</v>
      </c>
      <c r="HB13">
        <v>2.3326542909999999</v>
      </c>
      <c r="HC13">
        <v>0.27892912250000002</v>
      </c>
      <c r="HD13">
        <v>1.539241026</v>
      </c>
      <c r="HE13">
        <v>3.4919571469999999</v>
      </c>
      <c r="HF13">
        <v>4.8930719949999997</v>
      </c>
      <c r="HG13">
        <v>0.55444423239999996</v>
      </c>
      <c r="HH13">
        <v>3.300446714</v>
      </c>
      <c r="HI13">
        <v>6.9591334290000004</v>
      </c>
      <c r="HJ13">
        <v>2.0679044339999999</v>
      </c>
      <c r="HK13">
        <v>0.26004009820000001</v>
      </c>
      <c r="HL13">
        <v>1.3430560220000001</v>
      </c>
      <c r="HM13">
        <v>2.962051583</v>
      </c>
      <c r="HN13">
        <v>7.499465432</v>
      </c>
      <c r="HO13">
        <v>1.143153369</v>
      </c>
      <c r="HP13">
        <v>4.1805339999999998</v>
      </c>
      <c r="HQ13">
        <v>11.899304000000001</v>
      </c>
      <c r="HR13">
        <v>0.76795934359999996</v>
      </c>
      <c r="HS13">
        <v>0.10726739239999999</v>
      </c>
      <c r="HT13">
        <v>0.49470881929999999</v>
      </c>
      <c r="HU13">
        <v>1.074048179</v>
      </c>
      <c r="HV13">
        <v>0.98002594610000004</v>
      </c>
      <c r="HW13">
        <v>0.13314592880000001</v>
      </c>
      <c r="HX13">
        <v>0.65819044709999996</v>
      </c>
      <c r="HY13">
        <v>1.426101936</v>
      </c>
      <c r="HZ13">
        <v>0.2015602903</v>
      </c>
      <c r="IA13">
        <v>0.2410583708</v>
      </c>
      <c r="IB13">
        <v>-0.48378738560000001</v>
      </c>
      <c r="IC13">
        <v>0.94450835639999997</v>
      </c>
      <c r="ID13">
        <v>3.4253101410000002</v>
      </c>
      <c r="IE13">
        <v>0.57022990480000002</v>
      </c>
      <c r="IF13">
        <v>2.4377945059999999</v>
      </c>
      <c r="IG13">
        <v>6.2435336039999996</v>
      </c>
      <c r="IH13">
        <v>3.8827016639999998</v>
      </c>
      <c r="II13">
        <v>0.76816071070000003</v>
      </c>
      <c r="IJ13">
        <v>2.238831545</v>
      </c>
      <c r="IK13">
        <v>6.4426336739999996</v>
      </c>
      <c r="IL13">
        <v>3.6167637680000002</v>
      </c>
      <c r="IM13">
        <v>0.7010554819</v>
      </c>
      <c r="IN13">
        <v>1.9417024549999999</v>
      </c>
      <c r="IO13">
        <v>5.942529833</v>
      </c>
      <c r="IP13">
        <v>7.1056446370000002</v>
      </c>
      <c r="IQ13">
        <v>1.0312189359999999</v>
      </c>
      <c r="IR13">
        <v>4.1805339999999998</v>
      </c>
      <c r="IS13">
        <v>9.7749210000000009</v>
      </c>
      <c r="IT13">
        <v>5.3175057419999998</v>
      </c>
      <c r="IU13">
        <v>1.390689407</v>
      </c>
      <c r="IV13">
        <v>2.3925049999999999</v>
      </c>
      <c r="IW13">
        <v>9.0853370000000009</v>
      </c>
      <c r="IX13">
        <v>8.7527555810000005E-2</v>
      </c>
      <c r="IY13">
        <v>1.188754019E-2</v>
      </c>
      <c r="IZ13">
        <v>6.1030112150000003E-2</v>
      </c>
      <c r="JA13">
        <v>0.12734511579999999</v>
      </c>
      <c r="JB13">
        <v>10.306137590000001</v>
      </c>
      <c r="JC13">
        <v>1.160944255</v>
      </c>
      <c r="JD13">
        <v>7.4698892719999996</v>
      </c>
      <c r="JE13">
        <v>14.173602799999999</v>
      </c>
      <c r="JF13">
        <v>1.5150355980000001</v>
      </c>
      <c r="JG13">
        <v>1.2029613159999999</v>
      </c>
      <c r="JH13">
        <v>7.3873430190000006E-2</v>
      </c>
      <c r="JI13">
        <v>7.8798673140000002</v>
      </c>
      <c r="JJ13">
        <v>1.4628597189999999</v>
      </c>
      <c r="JK13">
        <v>0.2167537423</v>
      </c>
      <c r="JL13">
        <v>0.88960567479999997</v>
      </c>
      <c r="JM13">
        <v>2.0368804979999999</v>
      </c>
      <c r="JN13">
        <v>10.324430449999999</v>
      </c>
      <c r="JO13">
        <v>1.9648031610000001</v>
      </c>
      <c r="JP13">
        <v>5.7935183219999997</v>
      </c>
      <c r="JQ13">
        <v>15.316424530000001</v>
      </c>
      <c r="JR13">
        <v>116.3502555</v>
      </c>
      <c r="JS13">
        <v>15.70816793</v>
      </c>
      <c r="JT13">
        <v>78.526765109999999</v>
      </c>
      <c r="JU13">
        <v>163.85354129999999</v>
      </c>
      <c r="JV13">
        <v>2.3479450869999998</v>
      </c>
      <c r="JW13">
        <v>0.54245645850000002</v>
      </c>
      <c r="JX13">
        <v>1.062958464</v>
      </c>
      <c r="JY13">
        <v>4.6854746159999996</v>
      </c>
      <c r="JZ13">
        <v>2.8664721179999999</v>
      </c>
      <c r="KA13">
        <v>0.85606052269999999</v>
      </c>
      <c r="KB13">
        <v>1.258396536</v>
      </c>
      <c r="KC13">
        <v>5.3527236760000001</v>
      </c>
      <c r="KD13">
        <v>5.2144172050000002</v>
      </c>
      <c r="KE13">
        <v>1.159405236</v>
      </c>
      <c r="KF13">
        <v>2.3213550000000001</v>
      </c>
      <c r="KG13">
        <v>8.9857580000000006</v>
      </c>
      <c r="KH13">
        <v>3.9409969999999999</v>
      </c>
      <c r="KI13">
        <v>1.3299988819999999</v>
      </c>
      <c r="KJ13">
        <v>1.4295405000000001</v>
      </c>
      <c r="KK13">
        <v>8.9857580000000006</v>
      </c>
      <c r="KL13">
        <v>5.2144172050000002</v>
      </c>
      <c r="KM13">
        <v>1.159405236</v>
      </c>
      <c r="KN13">
        <v>2.3213550000000001</v>
      </c>
      <c r="KO13">
        <v>8.9857580000000006</v>
      </c>
      <c r="KP13">
        <v>1.0799912549999999</v>
      </c>
      <c r="KQ13">
        <v>0.26169218869999999</v>
      </c>
      <c r="KR13">
        <v>0.47884295380000003</v>
      </c>
      <c r="KS13">
        <v>1.892702712</v>
      </c>
      <c r="KT13">
        <v>1.317747835</v>
      </c>
      <c r="KU13">
        <v>0.30509039259999998</v>
      </c>
      <c r="KV13">
        <v>0.57954843889999996</v>
      </c>
      <c r="KW13">
        <v>2.3416305940000002</v>
      </c>
      <c r="KX13">
        <v>-0.26543257689999999</v>
      </c>
      <c r="KY13">
        <v>0.45035841999999998</v>
      </c>
      <c r="KZ13">
        <v>-1.6485065219999999</v>
      </c>
      <c r="LA13">
        <v>0.78528186069999995</v>
      </c>
      <c r="LB13">
        <v>2.5740462649999998</v>
      </c>
      <c r="LC13">
        <v>0.7229478439</v>
      </c>
      <c r="LD13">
        <v>1.4949233289999999</v>
      </c>
      <c r="LE13">
        <v>5.6542266550000004</v>
      </c>
      <c r="LF13">
        <v>2.0244686490000001</v>
      </c>
      <c r="LG13">
        <v>0.76156935079999999</v>
      </c>
      <c r="LH13">
        <v>0.94299999670000001</v>
      </c>
      <c r="LI13">
        <v>4.763759984</v>
      </c>
      <c r="LJ13">
        <v>0.26913199799999998</v>
      </c>
      <c r="LK13">
        <v>5.5017910070000002E-2</v>
      </c>
      <c r="LL13">
        <v>0.15354951680000001</v>
      </c>
      <c r="LM13">
        <v>0.42268741990000003</v>
      </c>
      <c r="LN13">
        <v>19.3149728</v>
      </c>
      <c r="LO13">
        <v>9.1017041840000008</v>
      </c>
      <c r="LP13">
        <v>3.3362792749999999</v>
      </c>
      <c r="LQ13">
        <v>50.223418109999997</v>
      </c>
      <c r="LR13">
        <v>2.3743032670000002</v>
      </c>
      <c r="LS13">
        <v>0.67074764570000001</v>
      </c>
      <c r="LT13">
        <v>0.97390178569999997</v>
      </c>
      <c r="LU13">
        <v>4.5550604449999996</v>
      </c>
      <c r="LV13">
        <v>17.701313639999999</v>
      </c>
      <c r="LW13">
        <v>6.003356138</v>
      </c>
      <c r="LX13">
        <v>3.8886433939999998</v>
      </c>
      <c r="LY13">
        <v>32.679889510000002</v>
      </c>
      <c r="LZ13">
        <v>5.5296380139999997</v>
      </c>
      <c r="MA13">
        <v>1.7322575019999999</v>
      </c>
      <c r="MB13">
        <v>2.0991821659999998</v>
      </c>
      <c r="MC13">
        <v>10.60445391</v>
      </c>
      <c r="MD13">
        <v>2.327060269</v>
      </c>
      <c r="ME13">
        <v>0.52742915180000005</v>
      </c>
      <c r="MF13">
        <v>1.062958464</v>
      </c>
      <c r="MG13">
        <v>4.4231515960000003</v>
      </c>
      <c r="MH13">
        <v>2.791780052</v>
      </c>
      <c r="MI13">
        <v>0.76419614089999999</v>
      </c>
      <c r="MJ13">
        <v>1.258396536</v>
      </c>
      <c r="MK13">
        <v>5.1844862689999998</v>
      </c>
      <c r="ML13">
        <v>5.1188403210000004</v>
      </c>
      <c r="MM13">
        <v>1.048325765</v>
      </c>
      <c r="MN13">
        <v>2.3213550000000001</v>
      </c>
      <c r="MO13">
        <v>7.9372429999999996</v>
      </c>
      <c r="MP13">
        <v>3.857505271</v>
      </c>
      <c r="MQ13">
        <v>1.2378091550000001</v>
      </c>
      <c r="MR13">
        <v>1.4295405000000001</v>
      </c>
      <c r="MS13">
        <v>7.9372429999999996</v>
      </c>
      <c r="MT13">
        <v>5.1188403210000004</v>
      </c>
      <c r="MU13">
        <v>1.048325765</v>
      </c>
      <c r="MV13">
        <v>2.3213550000000001</v>
      </c>
      <c r="MW13">
        <v>7.9372429999999996</v>
      </c>
      <c r="MX13">
        <v>1.070798921</v>
      </c>
      <c r="MY13">
        <v>0.2530419371</v>
      </c>
      <c r="MZ13">
        <v>0.47884295380000003</v>
      </c>
      <c r="NA13">
        <v>1.7873189469999999</v>
      </c>
      <c r="NB13">
        <v>1.3027227640000001</v>
      </c>
      <c r="NC13">
        <v>0.28923399950000001</v>
      </c>
      <c r="ND13">
        <v>0.57954843889999996</v>
      </c>
      <c r="NE13">
        <v>2.2029921670000001</v>
      </c>
      <c r="NF13">
        <v>-0.24864929969999999</v>
      </c>
      <c r="NG13">
        <v>0.44070814120000001</v>
      </c>
      <c r="NH13">
        <v>-1.4368495109999999</v>
      </c>
      <c r="NI13">
        <v>0.78283722079999996</v>
      </c>
      <c r="NJ13">
        <v>2.5388335870000001</v>
      </c>
      <c r="NK13">
        <v>0.69523871339999999</v>
      </c>
      <c r="NL13">
        <v>1.4949233289999999</v>
      </c>
      <c r="NM13">
        <v>5.0086199179999999</v>
      </c>
      <c r="NN13">
        <v>2.001545031</v>
      </c>
      <c r="NO13">
        <v>0.72747693290000004</v>
      </c>
      <c r="NP13">
        <v>0.95679999670000004</v>
      </c>
      <c r="NQ13">
        <v>4.7913599830000004</v>
      </c>
      <c r="NR13">
        <v>0.26577691279999999</v>
      </c>
      <c r="NS13">
        <v>5.2035969090000002E-2</v>
      </c>
      <c r="NT13">
        <v>0.15324067629999999</v>
      </c>
      <c r="NU13">
        <v>0.40515423919999999</v>
      </c>
      <c r="NV13">
        <v>19.5471921</v>
      </c>
      <c r="NW13">
        <v>9.1031089650000006</v>
      </c>
      <c r="NX13">
        <v>3.3362792749999999</v>
      </c>
      <c r="NY13">
        <v>50.281224700000003</v>
      </c>
      <c r="NZ13">
        <v>2.3641016769999998</v>
      </c>
      <c r="OA13">
        <v>0.66162406520000006</v>
      </c>
      <c r="OB13">
        <v>0.97257912899999999</v>
      </c>
      <c r="OC13">
        <v>4.4723189410000002</v>
      </c>
      <c r="OD13">
        <v>17.973406369999999</v>
      </c>
      <c r="OE13">
        <v>6.0011320939999999</v>
      </c>
      <c r="OF13">
        <v>4.7724259829999998</v>
      </c>
      <c r="OG13">
        <v>32.7342966</v>
      </c>
      <c r="OH13">
        <v>5.5576754859999999</v>
      </c>
      <c r="OI13">
        <v>1.7038486180000001</v>
      </c>
      <c r="OJ13">
        <v>2.087090103</v>
      </c>
      <c r="OK13">
        <v>10.45150505</v>
      </c>
      <c r="OL13">
        <v>1.7826244570000001</v>
      </c>
      <c r="OM13">
        <v>-0.34348735670000002</v>
      </c>
      <c r="ON13">
        <v>2.955040281</v>
      </c>
      <c r="OO13">
        <v>5.7824159999999996</v>
      </c>
      <c r="OP13">
        <v>7.3756490000000001</v>
      </c>
      <c r="OQ13">
        <v>13.158065000000001</v>
      </c>
      <c r="OR13">
        <v>1.4269930609999999</v>
      </c>
      <c r="OS13" s="2">
        <v>6.096327239E-5</v>
      </c>
      <c r="OT13">
        <v>2.3098551990000001E-3</v>
      </c>
      <c r="OU13" s="2">
        <v>6.096327239E-5</v>
      </c>
      <c r="OV13">
        <v>1.6452459620000001E-3</v>
      </c>
      <c r="OW13">
        <v>2.080689038E-3</v>
      </c>
      <c r="OX13">
        <v>2.2916616139999999E-4</v>
      </c>
      <c r="OY13">
        <v>4.5739806429999996</v>
      </c>
      <c r="OZ13">
        <v>1.142036316</v>
      </c>
      <c r="PA13">
        <v>2.0355474739999999</v>
      </c>
      <c r="PB13">
        <v>8.44730867</v>
      </c>
      <c r="PC13">
        <v>88.34112236</v>
      </c>
      <c r="PD13">
        <v>1.756396482</v>
      </c>
      <c r="PE13">
        <v>-0.300932741</v>
      </c>
      <c r="PF13">
        <v>2.7798941990000001</v>
      </c>
      <c r="PG13">
        <v>5.5860310000000002</v>
      </c>
      <c r="PH13">
        <v>6.3019920000000003</v>
      </c>
      <c r="PI13">
        <v>11.888023</v>
      </c>
      <c r="PJ13">
        <v>1.41409523</v>
      </c>
      <c r="PK13" s="2">
        <v>5.8727192130000002E-5</v>
      </c>
      <c r="PL13">
        <v>2.2934948099999999E-3</v>
      </c>
      <c r="PM13" s="2">
        <v>5.8727192130000002E-5</v>
      </c>
      <c r="PN13">
        <v>1.641285629E-3</v>
      </c>
      <c r="PO13">
        <v>2.0717523709999999E-3</v>
      </c>
      <c r="PP13">
        <v>2.2174243849999999E-4</v>
      </c>
      <c r="PQ13">
        <v>4.5635325279999996</v>
      </c>
      <c r="PR13">
        <v>1.0901000380000001</v>
      </c>
      <c r="PS13">
        <v>1.920229285</v>
      </c>
      <c r="PT13">
        <v>8.3730271829999996</v>
      </c>
      <c r="PU13">
        <v>88.372676100000007</v>
      </c>
      <c r="PV13">
        <v>5.2508004860000002</v>
      </c>
      <c r="PW13">
        <v>0.92925344050000003</v>
      </c>
      <c r="PX13">
        <v>2.187881564</v>
      </c>
      <c r="PY13">
        <v>8.7645799439999994</v>
      </c>
      <c r="PZ13">
        <v>89.050475199999994</v>
      </c>
      <c r="QA13">
        <v>5.24415882</v>
      </c>
      <c r="QB13">
        <v>0.86576812650000001</v>
      </c>
      <c r="QC13">
        <v>2.046594453</v>
      </c>
      <c r="QD13">
        <v>8.6864450719999997</v>
      </c>
      <c r="QE13">
        <v>89.090277040000004</v>
      </c>
      <c r="QF13" s="2">
        <v>5.0540744109999997E-5</v>
      </c>
      <c r="QG13">
        <v>1.889176758E-3</v>
      </c>
      <c r="QH13">
        <v>2.4249802420000001E-3</v>
      </c>
      <c r="QI13">
        <v>2.4613024640000002E-4</v>
      </c>
      <c r="QJ13" s="2">
        <v>4.794936556E-5</v>
      </c>
      <c r="QK13">
        <v>1.885326894E-3</v>
      </c>
      <c r="QL13">
        <v>2.416807106E-3</v>
      </c>
      <c r="QM13">
        <v>2.377481187E-4</v>
      </c>
      <c r="QN13">
        <v>14.68523858</v>
      </c>
      <c r="QO13">
        <v>2.4598453749999999E-2</v>
      </c>
      <c r="QP13">
        <v>4.9714147049999999</v>
      </c>
      <c r="QQ13">
        <v>175.04973720000001</v>
      </c>
      <c r="QR13">
        <v>14.39202216</v>
      </c>
      <c r="QS13">
        <v>2.3689642529999999E-2</v>
      </c>
      <c r="QT13">
        <v>4.9700640219999999</v>
      </c>
      <c r="QU13">
        <v>175.05061710000001</v>
      </c>
    </row>
    <row r="14" spans="1:463" x14ac:dyDescent="0.2">
      <c r="A14" t="s">
        <v>285</v>
      </c>
      <c r="B14" s="2">
        <v>1.6332981619999998E-11</v>
      </c>
      <c r="C14" s="2">
        <v>1.231064959E-11</v>
      </c>
      <c r="D14">
        <v>7.503335948E-4</v>
      </c>
      <c r="E14">
        <v>3.9040199730000003E-2</v>
      </c>
      <c r="F14">
        <v>0.36885752030000002</v>
      </c>
      <c r="G14">
        <v>2.3004444699999999E-3</v>
      </c>
      <c r="H14">
        <v>0.1196931768</v>
      </c>
      <c r="I14">
        <v>1.1308786500000001</v>
      </c>
      <c r="J14">
        <v>32.616146290000003</v>
      </c>
      <c r="K14">
        <v>32.616896619999999</v>
      </c>
      <c r="L14">
        <v>32.616896619999999</v>
      </c>
      <c r="M14">
        <v>32.616896619999999</v>
      </c>
      <c r="N14">
        <v>32.577856420000003</v>
      </c>
      <c r="O14">
        <v>32.616896619999999</v>
      </c>
      <c r="P14">
        <v>32.2480391</v>
      </c>
      <c r="Q14">
        <v>32.616896619999999</v>
      </c>
      <c r="R14">
        <v>3.7404131089999999</v>
      </c>
      <c r="S14">
        <v>0.59376420379999995</v>
      </c>
      <c r="T14">
        <v>2.5388851560000001</v>
      </c>
      <c r="U14">
        <v>5.63674622</v>
      </c>
      <c r="V14">
        <v>4.6088507910000001</v>
      </c>
      <c r="W14">
        <v>1.031133667</v>
      </c>
      <c r="X14">
        <v>2.5469175700000002</v>
      </c>
      <c r="Y14">
        <v>7.3967474649999998</v>
      </c>
      <c r="Z14">
        <v>8.3492639000000004</v>
      </c>
      <c r="AA14">
        <v>1.254217814</v>
      </c>
      <c r="AB14">
        <v>5.5723159999999998</v>
      </c>
      <c r="AC14">
        <v>11.106252</v>
      </c>
      <c r="AD14">
        <v>3.4873557069999999</v>
      </c>
      <c r="AE14">
        <v>0.85245950209999999</v>
      </c>
      <c r="AF14">
        <v>1.660120185</v>
      </c>
      <c r="AG14">
        <v>6.8842379999999999</v>
      </c>
      <c r="AH14">
        <v>8.3492639000000004</v>
      </c>
      <c r="AI14">
        <v>1.254217814</v>
      </c>
      <c r="AJ14">
        <v>5.5723159999999998</v>
      </c>
      <c r="AK14">
        <v>11.106252</v>
      </c>
      <c r="AL14">
        <v>1.4856527049999999</v>
      </c>
      <c r="AM14">
        <v>0.27878603829999998</v>
      </c>
      <c r="AN14">
        <v>0.9093829484</v>
      </c>
      <c r="AO14">
        <v>2.238293541</v>
      </c>
      <c r="AP14">
        <v>1.8247410230000001</v>
      </c>
      <c r="AQ14">
        <v>0.31736889629999998</v>
      </c>
      <c r="AR14">
        <v>1.115232507</v>
      </c>
      <c r="AS14">
        <v>2.6623155239999998</v>
      </c>
      <c r="AT14">
        <v>-0.21325554799999999</v>
      </c>
      <c r="AU14">
        <v>0.3911026058</v>
      </c>
      <c r="AV14">
        <v>-1.7342922160000001</v>
      </c>
      <c r="AW14">
        <v>0.58207633189999997</v>
      </c>
      <c r="AX14">
        <v>2.6809086369999999</v>
      </c>
      <c r="AY14">
        <v>0.69982565070000002</v>
      </c>
      <c r="AZ14">
        <v>1.6909337760000001</v>
      </c>
      <c r="BA14">
        <v>6.8655954789999996</v>
      </c>
      <c r="BB14">
        <v>0.46087167530000001</v>
      </c>
      <c r="BC14">
        <v>0.18434592150000001</v>
      </c>
      <c r="BD14">
        <v>0.19557359930000001</v>
      </c>
      <c r="BE14">
        <v>1.361714995</v>
      </c>
      <c r="BF14">
        <v>6.8405474589999997</v>
      </c>
      <c r="BG14">
        <v>1.20049626</v>
      </c>
      <c r="BH14">
        <v>4.5091363859999998</v>
      </c>
      <c r="BI14">
        <v>10.159414760000001</v>
      </c>
      <c r="BJ14">
        <v>7.7077363439999997</v>
      </c>
      <c r="BK14">
        <v>4.2486251560000001</v>
      </c>
      <c r="BL14">
        <v>0.53026955369999995</v>
      </c>
      <c r="BM14">
        <v>18.743381790000001</v>
      </c>
      <c r="BN14">
        <v>3.2271006610000001</v>
      </c>
      <c r="BO14">
        <v>0.71376925989999995</v>
      </c>
      <c r="BP14">
        <v>1.749369154</v>
      </c>
      <c r="BQ14">
        <v>5.3034631790000004</v>
      </c>
      <c r="BR14">
        <v>24.468870500000001</v>
      </c>
      <c r="BS14">
        <v>7.9021039660000003</v>
      </c>
      <c r="BT14">
        <v>7.3436806050000003</v>
      </c>
      <c r="BU14">
        <v>51.131645759999998</v>
      </c>
      <c r="BV14">
        <v>3.5719572799999999</v>
      </c>
      <c r="BW14">
        <v>0.54253975249999997</v>
      </c>
      <c r="BX14">
        <v>2.5165953129999998</v>
      </c>
      <c r="BY14">
        <v>5.1402952529999997</v>
      </c>
      <c r="BZ14">
        <v>4.3976837099999999</v>
      </c>
      <c r="CA14">
        <v>0.7762046614</v>
      </c>
      <c r="CB14">
        <v>2.5469175700000002</v>
      </c>
      <c r="CC14">
        <v>6.1178028910000002</v>
      </c>
      <c r="CD14">
        <v>7.9696409890000002</v>
      </c>
      <c r="CE14">
        <v>0.93303616540000001</v>
      </c>
      <c r="CF14">
        <v>5.5723159999999998</v>
      </c>
      <c r="CG14">
        <v>9.1825039999999998</v>
      </c>
      <c r="CH14">
        <v>3.4001476720000001</v>
      </c>
      <c r="CI14">
        <v>0.78684227849999999</v>
      </c>
      <c r="CJ14">
        <v>1.660120185</v>
      </c>
      <c r="CK14">
        <v>6.8842379999999999</v>
      </c>
      <c r="CL14">
        <v>7.9696409890000002</v>
      </c>
      <c r="CM14">
        <v>0.93303616540000001</v>
      </c>
      <c r="CN14">
        <v>5.5723159999999998</v>
      </c>
      <c r="CO14">
        <v>9.1825039999999998</v>
      </c>
      <c r="CP14">
        <v>1.4743947230000001</v>
      </c>
      <c r="CQ14">
        <v>0.27185415400000001</v>
      </c>
      <c r="CR14">
        <v>0.9093829484</v>
      </c>
      <c r="CS14">
        <v>2.2168965589999998</v>
      </c>
      <c r="CT14">
        <v>1.8041452360000001</v>
      </c>
      <c r="CU14">
        <v>0.3007670247</v>
      </c>
      <c r="CV14">
        <v>1.115232507</v>
      </c>
      <c r="CW14">
        <v>2.5415492070000001</v>
      </c>
      <c r="CX14">
        <v>-0.20193806010000001</v>
      </c>
      <c r="CY14">
        <v>0.36836772600000001</v>
      </c>
      <c r="CZ14">
        <v>-1.538975137</v>
      </c>
      <c r="DA14">
        <v>0.54518289149999999</v>
      </c>
      <c r="DB14">
        <v>2.6061924250000001</v>
      </c>
      <c r="DC14">
        <v>0.61408852979999995</v>
      </c>
      <c r="DD14">
        <v>1.6909337760000001</v>
      </c>
      <c r="DE14">
        <v>5.8005315609999997</v>
      </c>
      <c r="DF14">
        <v>0.44917485569999999</v>
      </c>
      <c r="DG14">
        <v>0.16872501719999999</v>
      </c>
      <c r="DH14">
        <v>0.19557359930000001</v>
      </c>
      <c r="DI14">
        <v>1.2127439959999999</v>
      </c>
      <c r="DJ14">
        <v>6.5468726239999997</v>
      </c>
      <c r="DK14">
        <v>1.1527514270000001</v>
      </c>
      <c r="DL14">
        <v>4.1457218749999996</v>
      </c>
      <c r="DM14">
        <v>10.03184929</v>
      </c>
      <c r="DN14">
        <v>9.3179510449999992</v>
      </c>
      <c r="DO14">
        <v>4.2571243509999999</v>
      </c>
      <c r="DP14">
        <v>1.4909241010000001</v>
      </c>
      <c r="DQ14">
        <v>19.906987399999998</v>
      </c>
      <c r="DR14">
        <v>3.2177024539999999</v>
      </c>
      <c r="DS14">
        <v>0.70931547169999998</v>
      </c>
      <c r="DT14">
        <v>1.749369154</v>
      </c>
      <c r="DU14">
        <v>5.2435758019999996</v>
      </c>
      <c r="DV14">
        <v>24.829112779999999</v>
      </c>
      <c r="DW14">
        <v>7.7356334540000002</v>
      </c>
      <c r="DX14">
        <v>8.2457633549999994</v>
      </c>
      <c r="DY14">
        <v>51.131645759999998</v>
      </c>
      <c r="DZ14">
        <v>2.2935638979999999</v>
      </c>
      <c r="EA14">
        <v>0.42244759399999998</v>
      </c>
      <c r="EB14">
        <v>1.3948547149999999</v>
      </c>
      <c r="EC14">
        <v>3.6164708299999999</v>
      </c>
      <c r="ED14">
        <v>1.8279272230000001</v>
      </c>
      <c r="EE14">
        <v>0.29160799910000001</v>
      </c>
      <c r="EF14">
        <v>1.1753838700000001</v>
      </c>
      <c r="EG14">
        <v>2.9087929940000001</v>
      </c>
      <c r="EH14">
        <v>4.121491121</v>
      </c>
      <c r="EI14">
        <v>0.63317808860000002</v>
      </c>
      <c r="EJ14">
        <v>2.571015429</v>
      </c>
      <c r="EK14">
        <v>6.1593507140000003</v>
      </c>
      <c r="EL14">
        <v>2.0790337490000002</v>
      </c>
      <c r="EM14">
        <v>0.37859149219999999</v>
      </c>
      <c r="EN14">
        <v>1.105686921</v>
      </c>
      <c r="EO14">
        <v>3.162182391</v>
      </c>
      <c r="EP14">
        <v>7.0054332419999996</v>
      </c>
      <c r="EQ14">
        <v>1.427079422</v>
      </c>
      <c r="ER14">
        <v>3.9469530000000002</v>
      </c>
      <c r="ES14">
        <v>11.296669</v>
      </c>
      <c r="ET14">
        <v>0.68765499320000001</v>
      </c>
      <c r="EU14">
        <v>0.1064262928</v>
      </c>
      <c r="EV14">
        <v>0.40897156280000002</v>
      </c>
      <c r="EW14">
        <v>0.98152093829999998</v>
      </c>
      <c r="EX14">
        <v>0.88546506160000005</v>
      </c>
      <c r="EY14">
        <v>0.13660238250000001</v>
      </c>
      <c r="EZ14">
        <v>0.54004990289999999</v>
      </c>
      <c r="FA14">
        <v>1.2491044929999999</v>
      </c>
      <c r="FB14">
        <v>0.32820360479999999</v>
      </c>
      <c r="FC14">
        <v>0.27456857060000001</v>
      </c>
      <c r="FD14">
        <v>-0.47748910649999998</v>
      </c>
      <c r="FE14">
        <v>1.204115107</v>
      </c>
      <c r="FF14">
        <v>3.5967531250000002</v>
      </c>
      <c r="FG14">
        <v>0.78518835279999999</v>
      </c>
      <c r="FH14">
        <v>2.3944794850000002</v>
      </c>
      <c r="FI14">
        <v>7.58464676</v>
      </c>
      <c r="FJ14">
        <v>3.8092277069999998</v>
      </c>
      <c r="FK14">
        <v>0.95145283000000003</v>
      </c>
      <c r="FL14">
        <v>2.1184108159999999</v>
      </c>
      <c r="FM14">
        <v>6.5406342520000003</v>
      </c>
      <c r="FN14">
        <v>3.1962055349999998</v>
      </c>
      <c r="FO14">
        <v>0.83465647539999999</v>
      </c>
      <c r="FP14">
        <v>1.530029173</v>
      </c>
      <c r="FQ14">
        <v>5.7719600800000004</v>
      </c>
      <c r="FR14">
        <v>6.6715858529999998</v>
      </c>
      <c r="FS14">
        <v>1.3878704660000001</v>
      </c>
      <c r="FT14">
        <v>3.6274839999999999</v>
      </c>
      <c r="FU14">
        <v>11.296669</v>
      </c>
      <c r="FV14">
        <v>4.6260114159999999</v>
      </c>
      <c r="FW14">
        <v>1.5474494080000001</v>
      </c>
      <c r="FX14">
        <v>1.931794</v>
      </c>
      <c r="FY14">
        <v>9.7872420000000009</v>
      </c>
      <c r="FZ14">
        <v>0.19110576330000001</v>
      </c>
      <c r="GA14">
        <v>3.4726799160000002E-2</v>
      </c>
      <c r="GB14">
        <v>0.1155970209</v>
      </c>
      <c r="GC14">
        <v>0.29961333229999998</v>
      </c>
      <c r="GD14">
        <v>6.2208162050000002</v>
      </c>
      <c r="GE14">
        <v>1.102167895</v>
      </c>
      <c r="GF14">
        <v>3.792216732</v>
      </c>
      <c r="GG14">
        <v>8.8784213059999999</v>
      </c>
      <c r="GH14">
        <v>1.7328631539999999</v>
      </c>
      <c r="GI14">
        <v>1.644952937</v>
      </c>
      <c r="GJ14">
        <v>4.9248953460000001E-2</v>
      </c>
      <c r="GK14">
        <v>10.31765575</v>
      </c>
      <c r="GL14">
        <v>1.2705954159999999</v>
      </c>
      <c r="GM14">
        <v>0.21368507710000001</v>
      </c>
      <c r="GN14">
        <v>0.68269219270000003</v>
      </c>
      <c r="GO14">
        <v>2.0067328940000002</v>
      </c>
      <c r="GP14">
        <v>11.203586789999999</v>
      </c>
      <c r="GQ14">
        <v>2.1449314529999999</v>
      </c>
      <c r="GR14">
        <v>6.4269884260000003</v>
      </c>
      <c r="GS14">
        <v>16.313776520000001</v>
      </c>
      <c r="GT14">
        <v>54.06957053</v>
      </c>
      <c r="GU14">
        <v>9.8500161720000001</v>
      </c>
      <c r="GV14">
        <v>33.37635186</v>
      </c>
      <c r="GW14">
        <v>86.507419690000006</v>
      </c>
      <c r="GX14">
        <v>2.2598265</v>
      </c>
      <c r="GY14">
        <v>0.41366474199999997</v>
      </c>
      <c r="GZ14">
        <v>1.3948547149999999</v>
      </c>
      <c r="HA14">
        <v>3.5934227010000002</v>
      </c>
      <c r="HB14">
        <v>1.8005477519999999</v>
      </c>
      <c r="HC14">
        <v>0.27836244249999997</v>
      </c>
      <c r="HD14">
        <v>1.1753713059999999</v>
      </c>
      <c r="HE14">
        <v>2.8607807159999998</v>
      </c>
      <c r="HF14">
        <v>4.060374253</v>
      </c>
      <c r="HG14">
        <v>0.60870606110000003</v>
      </c>
      <c r="HH14">
        <v>2.571015429</v>
      </c>
      <c r="HI14">
        <v>6.0643607140000002</v>
      </c>
      <c r="HJ14">
        <v>2.0447347790000001</v>
      </c>
      <c r="HK14">
        <v>0.36247475330000001</v>
      </c>
      <c r="HL14">
        <v>1.105685947</v>
      </c>
      <c r="HM14">
        <v>3.162182391</v>
      </c>
      <c r="HN14">
        <v>6.7813445840000002</v>
      </c>
      <c r="HO14">
        <v>1.2792446079999999</v>
      </c>
      <c r="HP14">
        <v>3.9469530000000002</v>
      </c>
      <c r="HQ14">
        <v>10.088758</v>
      </c>
      <c r="HR14">
        <v>0.67952126349999997</v>
      </c>
      <c r="HS14">
        <v>0.1024295704</v>
      </c>
      <c r="HT14">
        <v>0.40897137610000001</v>
      </c>
      <c r="HU14">
        <v>0.96480686130000004</v>
      </c>
      <c r="HV14">
        <v>0.87272930660000003</v>
      </c>
      <c r="HW14">
        <v>0.13010713839999999</v>
      </c>
      <c r="HX14">
        <v>0.54004922710000003</v>
      </c>
      <c r="HY14">
        <v>1.2118543390000001</v>
      </c>
      <c r="HZ14">
        <v>0.32424925500000001</v>
      </c>
      <c r="IA14">
        <v>0.2747429529</v>
      </c>
      <c r="IB14">
        <v>-0.47748910649999998</v>
      </c>
      <c r="IC14">
        <v>1.204115107</v>
      </c>
      <c r="ID14">
        <v>3.5781242930000001</v>
      </c>
      <c r="IE14">
        <v>0.79366188289999995</v>
      </c>
      <c r="IF14">
        <v>2.3944794850000002</v>
      </c>
      <c r="IG14">
        <v>7.8011131960000002</v>
      </c>
      <c r="IH14">
        <v>3.6960134359999999</v>
      </c>
      <c r="II14">
        <v>0.91259688839999997</v>
      </c>
      <c r="IJ14">
        <v>2.1184063590000002</v>
      </c>
      <c r="IK14">
        <v>6.4240658880000003</v>
      </c>
      <c r="IL14">
        <v>3.0853311479999999</v>
      </c>
      <c r="IM14">
        <v>0.740741592</v>
      </c>
      <c r="IN14">
        <v>1.530028173</v>
      </c>
      <c r="IO14">
        <v>5.0115724259999999</v>
      </c>
      <c r="IP14">
        <v>6.422735426</v>
      </c>
      <c r="IQ14">
        <v>1.1969973920000001</v>
      </c>
      <c r="IR14">
        <v>3.6274839999999999</v>
      </c>
      <c r="IS14">
        <v>9.1022309999999997</v>
      </c>
      <c r="IT14">
        <v>4.5523880419999996</v>
      </c>
      <c r="IU14">
        <v>1.4419504320000001</v>
      </c>
      <c r="IV14">
        <v>1.931794</v>
      </c>
      <c r="IW14">
        <v>8.8869450000000008</v>
      </c>
      <c r="IX14">
        <v>0.18826644710000001</v>
      </c>
      <c r="IY14">
        <v>3.4002842929999999E-2</v>
      </c>
      <c r="IZ14">
        <v>0.1155970209</v>
      </c>
      <c r="JA14">
        <v>0.28377157800000002</v>
      </c>
      <c r="JB14">
        <v>5.9941665530000003</v>
      </c>
      <c r="JC14">
        <v>1.0575301210000001</v>
      </c>
      <c r="JD14">
        <v>3.7922251990000002</v>
      </c>
      <c r="JE14">
        <v>8.9503557469999997</v>
      </c>
      <c r="JF14">
        <v>1.811071232</v>
      </c>
      <c r="JG14">
        <v>1.716858097</v>
      </c>
      <c r="JH14">
        <v>4.9248953460000001E-2</v>
      </c>
      <c r="JI14">
        <v>10.31765575</v>
      </c>
      <c r="JJ14">
        <v>1.2657861690000001</v>
      </c>
      <c r="JK14">
        <v>0.21208599389999999</v>
      </c>
      <c r="JL14">
        <v>0.68269219270000003</v>
      </c>
      <c r="JM14">
        <v>1.983567189</v>
      </c>
      <c r="JN14">
        <v>11.33836947</v>
      </c>
      <c r="JO14">
        <v>2.1516412580000002</v>
      </c>
      <c r="JP14">
        <v>6.4633248459999999</v>
      </c>
      <c r="JQ14">
        <v>16.399901499999999</v>
      </c>
      <c r="JR14">
        <v>54.864254760000001</v>
      </c>
      <c r="JS14">
        <v>9.9228496919999998</v>
      </c>
      <c r="JT14">
        <v>35.239610929999998</v>
      </c>
      <c r="JU14">
        <v>86.507419690000006</v>
      </c>
      <c r="JV14">
        <v>2.3135457700000002</v>
      </c>
      <c r="JW14">
        <v>0.53550706859999997</v>
      </c>
      <c r="JX14">
        <v>1.0487745479999999</v>
      </c>
      <c r="JY14">
        <v>4.2911041499999998</v>
      </c>
      <c r="JZ14">
        <v>2.8695995669999999</v>
      </c>
      <c r="KA14">
        <v>0.86605779009999995</v>
      </c>
      <c r="KB14">
        <v>1.0645272619999999</v>
      </c>
      <c r="KC14">
        <v>5.4216583050000002</v>
      </c>
      <c r="KD14">
        <v>5.183145337</v>
      </c>
      <c r="KE14">
        <v>1.1589073000000001</v>
      </c>
      <c r="KF14">
        <v>2.3869600000000002</v>
      </c>
      <c r="KG14">
        <v>8.5069040000000005</v>
      </c>
      <c r="KH14">
        <v>3.8761178319999998</v>
      </c>
      <c r="KI14">
        <v>1.3615718459999999</v>
      </c>
      <c r="KJ14">
        <v>1.4277930000000001</v>
      </c>
      <c r="KK14">
        <v>8.5069040000000005</v>
      </c>
      <c r="KL14">
        <v>5.183145337</v>
      </c>
      <c r="KM14">
        <v>1.1589073000000001</v>
      </c>
      <c r="KN14">
        <v>2.3869600000000002</v>
      </c>
      <c r="KO14">
        <v>8.5069040000000005</v>
      </c>
      <c r="KP14">
        <v>1.0684355210000001</v>
      </c>
      <c r="KQ14">
        <v>0.26271447930000003</v>
      </c>
      <c r="KR14">
        <v>0.48685653179999999</v>
      </c>
      <c r="KS14">
        <v>1.8606479220000001</v>
      </c>
      <c r="KT14">
        <v>1.306048565</v>
      </c>
      <c r="KU14">
        <v>0.30672102639999999</v>
      </c>
      <c r="KV14">
        <v>0.60452948849999999</v>
      </c>
      <c r="KW14">
        <v>2.2871182380000001</v>
      </c>
      <c r="KX14">
        <v>-0.28860374729999999</v>
      </c>
      <c r="KY14">
        <v>0.45041858759999998</v>
      </c>
      <c r="KZ14">
        <v>-1.61216655</v>
      </c>
      <c r="LA14">
        <v>0.76878760040000005</v>
      </c>
      <c r="LB14">
        <v>2.5973245669999998</v>
      </c>
      <c r="LC14">
        <v>0.73180638870000003</v>
      </c>
      <c r="LD14">
        <v>1.4991753000000001</v>
      </c>
      <c r="LE14">
        <v>5.5149665890000001</v>
      </c>
      <c r="LF14">
        <v>2.008327693</v>
      </c>
      <c r="LG14">
        <v>0.77523634129999996</v>
      </c>
      <c r="LH14">
        <v>0.91079999690000002</v>
      </c>
      <c r="LI14">
        <v>4.7747999840000004</v>
      </c>
      <c r="LJ14">
        <v>0.26738925870000002</v>
      </c>
      <c r="LK14">
        <v>5.4845050960000002E-2</v>
      </c>
      <c r="LL14">
        <v>0.14542570660000001</v>
      </c>
      <c r="LM14">
        <v>0.41677057270000001</v>
      </c>
      <c r="LN14">
        <v>20.0479251</v>
      </c>
      <c r="LO14">
        <v>9.6370370229999995</v>
      </c>
      <c r="LP14">
        <v>3.40256297</v>
      </c>
      <c r="LQ14">
        <v>52.245861560000002</v>
      </c>
      <c r="LR14">
        <v>2.348304712</v>
      </c>
      <c r="LS14">
        <v>0.67790562430000001</v>
      </c>
      <c r="LT14">
        <v>0.95532073439999998</v>
      </c>
      <c r="LU14">
        <v>4.6265648089999996</v>
      </c>
      <c r="LV14">
        <v>17.470339800000001</v>
      </c>
      <c r="LW14">
        <v>5.9603226210000004</v>
      </c>
      <c r="LX14">
        <v>2.1410013299999999</v>
      </c>
      <c r="LY14">
        <v>32.942996020000002</v>
      </c>
      <c r="LZ14">
        <v>5.6005654470000001</v>
      </c>
      <c r="MA14">
        <v>1.791338842</v>
      </c>
      <c r="MB14">
        <v>2.0943285660000002</v>
      </c>
      <c r="MC14">
        <v>10.97935884</v>
      </c>
      <c r="MD14">
        <v>2.3003146540000001</v>
      </c>
      <c r="ME14">
        <v>0.52724361119999996</v>
      </c>
      <c r="MF14">
        <v>1.0509824640000001</v>
      </c>
      <c r="MG14">
        <v>4.1571851610000001</v>
      </c>
      <c r="MH14">
        <v>2.8148313090000001</v>
      </c>
      <c r="MI14">
        <v>0.79132663140000004</v>
      </c>
      <c r="MJ14">
        <v>1.0645272619999999</v>
      </c>
      <c r="MK14">
        <v>5.2773088809999997</v>
      </c>
      <c r="ML14">
        <v>5.1151459629999998</v>
      </c>
      <c r="MM14">
        <v>1.073095739</v>
      </c>
      <c r="MN14">
        <v>2.3869600000000002</v>
      </c>
      <c r="MO14">
        <v>7.7843299999999997</v>
      </c>
      <c r="MP14">
        <v>3.8038406710000001</v>
      </c>
      <c r="MQ14">
        <v>1.2574800509999999</v>
      </c>
      <c r="MR14">
        <v>1.4277930000000001</v>
      </c>
      <c r="MS14">
        <v>7.6146719999999997</v>
      </c>
      <c r="MT14">
        <v>5.1151459629999998</v>
      </c>
      <c r="MU14">
        <v>1.073095739</v>
      </c>
      <c r="MV14">
        <v>2.3869600000000002</v>
      </c>
      <c r="MW14">
        <v>7.7843299999999997</v>
      </c>
      <c r="MX14">
        <v>1.0624937809999999</v>
      </c>
      <c r="MY14">
        <v>0.2567096338</v>
      </c>
      <c r="MZ14">
        <v>0.48685653179999999</v>
      </c>
      <c r="NA14">
        <v>1.7684860520000001</v>
      </c>
      <c r="NB14">
        <v>1.2961720130000001</v>
      </c>
      <c r="NC14">
        <v>0.29515328829999998</v>
      </c>
      <c r="ND14">
        <v>0.60424787999999996</v>
      </c>
      <c r="NE14">
        <v>2.1700178999999999</v>
      </c>
      <c r="NF14">
        <v>-0.27779344090000002</v>
      </c>
      <c r="NG14">
        <v>0.4422455689</v>
      </c>
      <c r="NH14">
        <v>-1.5187002810000001</v>
      </c>
      <c r="NI14">
        <v>0.75711750280000001</v>
      </c>
      <c r="NJ14">
        <v>2.569555088</v>
      </c>
      <c r="NK14">
        <v>0.71159317710000003</v>
      </c>
      <c r="NL14">
        <v>1.4991753000000001</v>
      </c>
      <c r="NM14">
        <v>5.1626416710000003</v>
      </c>
      <c r="NN14">
        <v>2.0119881180000001</v>
      </c>
      <c r="NO14">
        <v>0.76917961479999997</v>
      </c>
      <c r="NP14">
        <v>0.8990699969</v>
      </c>
      <c r="NQ14">
        <v>4.787219983</v>
      </c>
      <c r="NR14">
        <v>0.2649004344</v>
      </c>
      <c r="NS14">
        <v>5.2509184010000001E-2</v>
      </c>
      <c r="NT14">
        <v>0.14542570660000001</v>
      </c>
      <c r="NU14">
        <v>0.40107959189999998</v>
      </c>
      <c r="NV14">
        <v>20.161602779999999</v>
      </c>
      <c r="NW14">
        <v>9.6262312090000002</v>
      </c>
      <c r="NX14">
        <v>3.40256297</v>
      </c>
      <c r="NY14">
        <v>52.054794520000002</v>
      </c>
      <c r="NZ14">
        <v>2.3434324960000001</v>
      </c>
      <c r="OA14">
        <v>0.67287438239999997</v>
      </c>
      <c r="OB14">
        <v>0.95532073439999998</v>
      </c>
      <c r="OC14">
        <v>4.4444037209999996</v>
      </c>
      <c r="OD14">
        <v>17.64264768</v>
      </c>
      <c r="OE14">
        <v>5.9163613389999998</v>
      </c>
      <c r="OF14">
        <v>4.1537781709999999</v>
      </c>
      <c r="OG14">
        <v>33.186867079999999</v>
      </c>
      <c r="OH14">
        <v>5.5774014730000001</v>
      </c>
      <c r="OI14">
        <v>1.7708959959999999</v>
      </c>
      <c r="OJ14">
        <v>2.0888950240000002</v>
      </c>
      <c r="OK14">
        <v>11.12260451</v>
      </c>
      <c r="OL14">
        <v>1.7244464589999999</v>
      </c>
      <c r="OM14">
        <v>-0.35284103369999997</v>
      </c>
      <c r="ON14">
        <v>2.980131445</v>
      </c>
      <c r="OO14">
        <v>5.5217520000000002</v>
      </c>
      <c r="OP14">
        <v>7.0677940000000001</v>
      </c>
      <c r="OQ14">
        <v>12.589546</v>
      </c>
      <c r="OR14">
        <v>1.3795437770000001</v>
      </c>
      <c r="OS14" s="2">
        <v>5.9792053670000003E-5</v>
      </c>
      <c r="OT14">
        <v>2.2272118700000002E-3</v>
      </c>
      <c r="OU14" s="2">
        <v>5.9792053670000003E-5</v>
      </c>
      <c r="OV14">
        <v>1.5949009449999999E-3</v>
      </c>
      <c r="OW14">
        <v>2.0055560550000001E-3</v>
      </c>
      <c r="OX14">
        <v>2.2165581430000001E-4</v>
      </c>
      <c r="OY14">
        <v>4.4033741409999996</v>
      </c>
      <c r="OZ14">
        <v>1.1185840869999999</v>
      </c>
      <c r="PA14">
        <v>1.975669584</v>
      </c>
      <c r="PB14">
        <v>8.4403935570000002</v>
      </c>
      <c r="PC14">
        <v>88.148855870000006</v>
      </c>
      <c r="PD14">
        <v>1.7035082370000001</v>
      </c>
      <c r="PE14">
        <v>-0.31687118339999998</v>
      </c>
      <c r="PF14">
        <v>2.815210274</v>
      </c>
      <c r="PG14">
        <v>5.4404349999999999</v>
      </c>
      <c r="PH14">
        <v>6.0938939999999997</v>
      </c>
      <c r="PI14">
        <v>11.534329</v>
      </c>
      <c r="PJ14">
        <v>1.369438304</v>
      </c>
      <c r="PK14" s="2">
        <v>5.7822310790000001E-5</v>
      </c>
      <c r="PL14">
        <v>2.2135039320000001E-3</v>
      </c>
      <c r="PM14" s="2">
        <v>5.7822310790000001E-5</v>
      </c>
      <c r="PN14">
        <v>1.591772543E-3</v>
      </c>
      <c r="PO14">
        <v>1.997079457E-3</v>
      </c>
      <c r="PP14">
        <v>2.16424475E-4</v>
      </c>
      <c r="PQ14">
        <v>4.3930593389999997</v>
      </c>
      <c r="PR14">
        <v>1.074897744</v>
      </c>
      <c r="PS14">
        <v>1.895201382</v>
      </c>
      <c r="PT14">
        <v>8.33985135</v>
      </c>
      <c r="PU14">
        <v>88.138693320000002</v>
      </c>
      <c r="PV14">
        <v>5.0436325069999999</v>
      </c>
      <c r="PW14">
        <v>0.91113312619999998</v>
      </c>
      <c r="PX14">
        <v>2.124841398</v>
      </c>
      <c r="PY14">
        <v>8.9764815710000008</v>
      </c>
      <c r="PZ14">
        <v>88.729270670000005</v>
      </c>
      <c r="QA14">
        <v>5.0344132579999998</v>
      </c>
      <c r="QB14">
        <v>0.85562910550000004</v>
      </c>
      <c r="QC14">
        <v>2.0318377910000001</v>
      </c>
      <c r="QD14">
        <v>8.8727718590000002</v>
      </c>
      <c r="QE14">
        <v>88.721965280000006</v>
      </c>
      <c r="QF14" s="2">
        <v>4.9603802919999997E-5</v>
      </c>
      <c r="QG14">
        <v>1.8264118500000001E-3</v>
      </c>
      <c r="QH14">
        <v>2.3454581500000002E-3</v>
      </c>
      <c r="QI14">
        <v>2.3974135949999999E-4</v>
      </c>
      <c r="QJ14" s="2">
        <v>4.7433200330000003E-5</v>
      </c>
      <c r="QK14">
        <v>1.822250734E-3</v>
      </c>
      <c r="QL14">
        <v>2.334247266E-3</v>
      </c>
      <c r="QM14">
        <v>2.3425346259999999E-4</v>
      </c>
      <c r="QN14">
        <v>14.079910809999999</v>
      </c>
      <c r="QO14">
        <v>3.2311140969999999E-2</v>
      </c>
      <c r="QP14">
        <v>4.9638460589999998</v>
      </c>
      <c r="QQ14">
        <v>173.7642031</v>
      </c>
      <c r="QR14">
        <v>13.961353389999999</v>
      </c>
      <c r="QS14">
        <v>3.2121469020000001E-2</v>
      </c>
      <c r="QT14">
        <v>4.9624336529999997</v>
      </c>
      <c r="QU14">
        <v>173.7665212</v>
      </c>
    </row>
    <row r="15" spans="1:463" x14ac:dyDescent="0.2">
      <c r="A15" t="s">
        <v>286</v>
      </c>
      <c r="B15" s="2">
        <v>1.652190295E-11</v>
      </c>
      <c r="C15" s="2">
        <v>1.237941154E-11</v>
      </c>
      <c r="D15">
        <v>3.6945359740000002E-4</v>
      </c>
      <c r="E15">
        <v>4.0670366120000002E-2</v>
      </c>
      <c r="F15">
        <v>0.38752635330000001</v>
      </c>
      <c r="G15">
        <v>1.132706161E-3</v>
      </c>
      <c r="H15">
        <v>0.1246910967</v>
      </c>
      <c r="I15">
        <v>1.188115343</v>
      </c>
      <c r="J15">
        <v>32.616527169999998</v>
      </c>
      <c r="K15">
        <v>32.616896619999999</v>
      </c>
      <c r="L15">
        <v>32.616896619999999</v>
      </c>
      <c r="M15">
        <v>32.616896619999999</v>
      </c>
      <c r="N15">
        <v>32.576226259999999</v>
      </c>
      <c r="O15">
        <v>32.616896619999999</v>
      </c>
      <c r="P15">
        <v>32.229370269999997</v>
      </c>
      <c r="Q15">
        <v>32.616896619999999</v>
      </c>
      <c r="R15">
        <v>3.900811987</v>
      </c>
      <c r="S15">
        <v>0.57874503470000005</v>
      </c>
      <c r="T15">
        <v>2.6491241759999999</v>
      </c>
      <c r="U15">
        <v>5.6670079900000001</v>
      </c>
      <c r="V15">
        <v>4.7020194130000004</v>
      </c>
      <c r="W15">
        <v>1.033498775</v>
      </c>
      <c r="X15">
        <v>2.673387806</v>
      </c>
      <c r="Y15">
        <v>7.6277465319999997</v>
      </c>
      <c r="Z15">
        <v>8.6028313999999995</v>
      </c>
      <c r="AA15">
        <v>1.239936183</v>
      </c>
      <c r="AB15">
        <v>5.8259470000000002</v>
      </c>
      <c r="AC15">
        <v>11.27735</v>
      </c>
      <c r="AD15">
        <v>3.2511274530000001</v>
      </c>
      <c r="AE15">
        <v>0.81153380050000001</v>
      </c>
      <c r="AF15">
        <v>1.616078645</v>
      </c>
      <c r="AG15">
        <v>6.1916912000000002</v>
      </c>
      <c r="AH15">
        <v>8.6028313999999995</v>
      </c>
      <c r="AI15">
        <v>1.239936183</v>
      </c>
      <c r="AJ15">
        <v>5.8259470000000002</v>
      </c>
      <c r="AK15">
        <v>11.27735</v>
      </c>
      <c r="AL15">
        <v>1.480927602</v>
      </c>
      <c r="AM15">
        <v>0.27989556650000003</v>
      </c>
      <c r="AN15">
        <v>0.91351708899999995</v>
      </c>
      <c r="AO15">
        <v>2.2493414380000001</v>
      </c>
      <c r="AP15">
        <v>1.8199904259999999</v>
      </c>
      <c r="AQ15">
        <v>0.31958177729999998</v>
      </c>
      <c r="AR15">
        <v>1.119607845</v>
      </c>
      <c r="AS15">
        <v>2.6429898559999998</v>
      </c>
      <c r="AT15">
        <v>-0.21573586910000001</v>
      </c>
      <c r="AU15">
        <v>0.38831516449999998</v>
      </c>
      <c r="AV15">
        <v>-1.747332028</v>
      </c>
      <c r="AW15">
        <v>0.58654387610000003</v>
      </c>
      <c r="AX15">
        <v>2.702972355</v>
      </c>
      <c r="AY15">
        <v>0.70512858460000005</v>
      </c>
      <c r="AZ15">
        <v>1.7837294699999999</v>
      </c>
      <c r="BA15">
        <v>6.9434850709999996</v>
      </c>
      <c r="BB15">
        <v>0.41194616119999999</v>
      </c>
      <c r="BC15">
        <v>0.1424056477</v>
      </c>
      <c r="BD15">
        <v>0.18123999939999999</v>
      </c>
      <c r="BE15">
        <v>0.99166799660000005</v>
      </c>
      <c r="BF15">
        <v>6.1840419410000003</v>
      </c>
      <c r="BG15">
        <v>1.085309326</v>
      </c>
      <c r="BH15">
        <v>4.1992995339999997</v>
      </c>
      <c r="BI15">
        <v>9.2827783700000008</v>
      </c>
      <c r="BJ15">
        <v>5.6342012739999996</v>
      </c>
      <c r="BK15">
        <v>2.938037564</v>
      </c>
      <c r="BL15">
        <v>0.19885108260000001</v>
      </c>
      <c r="BM15">
        <v>15.11104548</v>
      </c>
      <c r="BN15">
        <v>3.2080741430000002</v>
      </c>
      <c r="BO15">
        <v>0.71684424930000001</v>
      </c>
      <c r="BP15">
        <v>1.6870407199999999</v>
      </c>
      <c r="BQ15">
        <v>5.3668634600000003</v>
      </c>
      <c r="BR15">
        <v>27.039954300000002</v>
      </c>
      <c r="BS15">
        <v>8.7990263500000001</v>
      </c>
      <c r="BT15">
        <v>10.084020089999999</v>
      </c>
      <c r="BU15">
        <v>55.175458149999997</v>
      </c>
      <c r="BV15">
        <v>3.6625217989999999</v>
      </c>
      <c r="BW15">
        <v>0.51550032400000001</v>
      </c>
      <c r="BX15">
        <v>2.646636295</v>
      </c>
      <c r="BY15">
        <v>5.1385201309999999</v>
      </c>
      <c r="BZ15">
        <v>4.4766907529999997</v>
      </c>
      <c r="CA15">
        <v>0.75949611750000001</v>
      </c>
      <c r="CB15">
        <v>2.673387806</v>
      </c>
      <c r="CC15">
        <v>6.0501360780000004</v>
      </c>
      <c r="CD15">
        <v>8.1392125530000001</v>
      </c>
      <c r="CE15">
        <v>0.90335632359999996</v>
      </c>
      <c r="CF15">
        <v>5.8259470000000002</v>
      </c>
      <c r="CG15">
        <v>9.2059560000000005</v>
      </c>
      <c r="CH15">
        <v>3.1508180229999998</v>
      </c>
      <c r="CI15">
        <v>0.76726104309999998</v>
      </c>
      <c r="CJ15">
        <v>1.616078645</v>
      </c>
      <c r="CK15">
        <v>6.1360178000000003</v>
      </c>
      <c r="CL15">
        <v>8.1392125530000001</v>
      </c>
      <c r="CM15">
        <v>0.90335632359999996</v>
      </c>
      <c r="CN15">
        <v>5.8259470000000002</v>
      </c>
      <c r="CO15">
        <v>9.2059560000000005</v>
      </c>
      <c r="CP15">
        <v>1.472091241</v>
      </c>
      <c r="CQ15">
        <v>0.27401646390000001</v>
      </c>
      <c r="CR15">
        <v>0.91351708899999995</v>
      </c>
      <c r="CS15">
        <v>2.2440245700000001</v>
      </c>
      <c r="CT15">
        <v>1.8023693240000001</v>
      </c>
      <c r="CU15">
        <v>0.3047217847</v>
      </c>
      <c r="CV15">
        <v>1.119607845</v>
      </c>
      <c r="CW15">
        <v>2.566286158</v>
      </c>
      <c r="CX15">
        <v>-0.20636376419999999</v>
      </c>
      <c r="CY15">
        <v>0.36379831959999998</v>
      </c>
      <c r="CZ15">
        <v>-1.5224171010000001</v>
      </c>
      <c r="DA15">
        <v>0.57823466349999997</v>
      </c>
      <c r="DB15">
        <v>2.6216645019999998</v>
      </c>
      <c r="DC15">
        <v>0.6080954959</v>
      </c>
      <c r="DD15">
        <v>1.763582921</v>
      </c>
      <c r="DE15">
        <v>5.6833656399999999</v>
      </c>
      <c r="DF15">
        <v>0.40108964260000002</v>
      </c>
      <c r="DG15">
        <v>0.13834495629999999</v>
      </c>
      <c r="DH15">
        <v>0.18123999939999999</v>
      </c>
      <c r="DI15">
        <v>0.99166799660000005</v>
      </c>
      <c r="DJ15">
        <v>5.9547110549999998</v>
      </c>
      <c r="DK15">
        <v>0.9837715749</v>
      </c>
      <c r="DL15">
        <v>4.0239578930000004</v>
      </c>
      <c r="DM15">
        <v>8.9147471419999995</v>
      </c>
      <c r="DN15">
        <v>7.8854263800000002</v>
      </c>
      <c r="DO15">
        <v>3.4560991950000002</v>
      </c>
      <c r="DP15">
        <v>1.4140521429999999</v>
      </c>
      <c r="DQ15">
        <v>18.625718070000001</v>
      </c>
      <c r="DR15">
        <v>3.2043168720000001</v>
      </c>
      <c r="DS15">
        <v>0.71635044530000003</v>
      </c>
      <c r="DT15">
        <v>1.6870407199999999</v>
      </c>
      <c r="DU15">
        <v>5.3676658919999998</v>
      </c>
      <c r="DV15">
        <v>27.665158609999999</v>
      </c>
      <c r="DW15">
        <v>8.7598862369999999</v>
      </c>
      <c r="DX15">
        <v>10.084020089999999</v>
      </c>
      <c r="DY15">
        <v>55.175458149999997</v>
      </c>
      <c r="DZ15">
        <v>2.2958323200000001</v>
      </c>
      <c r="EA15">
        <v>0.40373766579999998</v>
      </c>
      <c r="EB15">
        <v>1.313858003</v>
      </c>
      <c r="EC15">
        <v>3.4819001620000001</v>
      </c>
      <c r="ED15">
        <v>1.8784980490000001</v>
      </c>
      <c r="EE15">
        <v>0.27814366540000002</v>
      </c>
      <c r="EF15">
        <v>1.242249438</v>
      </c>
      <c r="EG15">
        <v>2.731821445</v>
      </c>
      <c r="EH15">
        <v>4.1743303689999998</v>
      </c>
      <c r="EI15">
        <v>0.60852019339999996</v>
      </c>
      <c r="EJ15">
        <v>2.5881500000000002</v>
      </c>
      <c r="EK15">
        <v>6.1370375709999996</v>
      </c>
      <c r="EL15">
        <v>1.8834341109999999</v>
      </c>
      <c r="EM15">
        <v>0.36371345900000002</v>
      </c>
      <c r="EN15">
        <v>1.013782811</v>
      </c>
      <c r="EO15">
        <v>2.9837188100000001</v>
      </c>
      <c r="EP15">
        <v>7.0458048890000002</v>
      </c>
      <c r="EQ15">
        <v>1.415745086</v>
      </c>
      <c r="ER15">
        <v>3.9193199999999999</v>
      </c>
      <c r="ES15">
        <v>11.114307999999999</v>
      </c>
      <c r="ET15">
        <v>0.68840122619999999</v>
      </c>
      <c r="EU15">
        <v>0.1030382457</v>
      </c>
      <c r="EV15">
        <v>0.42795676160000001</v>
      </c>
      <c r="EW15">
        <v>0.97270112460000002</v>
      </c>
      <c r="EX15">
        <v>0.8839150039</v>
      </c>
      <c r="EY15">
        <v>0.13292230830000001</v>
      </c>
      <c r="EZ15">
        <v>0.54840775659999996</v>
      </c>
      <c r="FA15">
        <v>1.2441197470000001</v>
      </c>
      <c r="FB15">
        <v>0.28032825880000001</v>
      </c>
      <c r="FC15">
        <v>0.26194680660000003</v>
      </c>
      <c r="FD15">
        <v>-0.31394683179999999</v>
      </c>
      <c r="FE15">
        <v>1.118606693</v>
      </c>
      <c r="FF15">
        <v>3.461020714</v>
      </c>
      <c r="FG15">
        <v>0.6634885988</v>
      </c>
      <c r="FH15">
        <v>2.5631114190000002</v>
      </c>
      <c r="FI15">
        <v>6.4960343099999998</v>
      </c>
      <c r="FJ15">
        <v>3.8062370639999998</v>
      </c>
      <c r="FK15">
        <v>0.93240577209999997</v>
      </c>
      <c r="FL15">
        <v>2.100040951</v>
      </c>
      <c r="FM15">
        <v>6.240931604</v>
      </c>
      <c r="FN15">
        <v>3.239567825</v>
      </c>
      <c r="FO15">
        <v>0.83292266849999996</v>
      </c>
      <c r="FP15">
        <v>1.6347650090000001</v>
      </c>
      <c r="FQ15">
        <v>5.8425757200000001</v>
      </c>
      <c r="FR15">
        <v>6.7213401470000003</v>
      </c>
      <c r="FS15">
        <v>1.41428132</v>
      </c>
      <c r="FT15">
        <v>3.8744860000000001</v>
      </c>
      <c r="FU15">
        <v>11.114307999999999</v>
      </c>
      <c r="FV15">
        <v>4.7163922469999999</v>
      </c>
      <c r="FW15">
        <v>1.5349762220000001</v>
      </c>
      <c r="FX15">
        <v>2.083618</v>
      </c>
      <c r="FY15">
        <v>10.263328</v>
      </c>
      <c r="FZ15">
        <v>0.16106597880000001</v>
      </c>
      <c r="GA15">
        <v>3.1762764829999998E-2</v>
      </c>
      <c r="GB15">
        <v>9.1430847139999993E-2</v>
      </c>
      <c r="GC15">
        <v>0.24536399919999999</v>
      </c>
      <c r="GD15">
        <v>5.7165254670000003</v>
      </c>
      <c r="GE15">
        <v>0.90595020680000005</v>
      </c>
      <c r="GF15">
        <v>3.619653902</v>
      </c>
      <c r="GG15">
        <v>8.3167315140000007</v>
      </c>
      <c r="GH15">
        <v>1.6014428279999999</v>
      </c>
      <c r="GI15">
        <v>1.3887497639999999</v>
      </c>
      <c r="GJ15">
        <v>2.4624476730000001E-2</v>
      </c>
      <c r="GK15">
        <v>7.7813346470000004</v>
      </c>
      <c r="GL15">
        <v>1.2803888889999999</v>
      </c>
      <c r="GM15">
        <v>0.19684865400000001</v>
      </c>
      <c r="GN15">
        <v>0.74521588549999995</v>
      </c>
      <c r="GO15">
        <v>1.969146096</v>
      </c>
      <c r="GP15">
        <v>10.97825804</v>
      </c>
      <c r="GQ15">
        <v>1.897867537</v>
      </c>
      <c r="GR15">
        <v>6.2589814539999997</v>
      </c>
      <c r="GS15">
        <v>15.613126100000001</v>
      </c>
      <c r="GT15">
        <v>64.572701890000005</v>
      </c>
      <c r="GU15">
        <v>13.05792072</v>
      </c>
      <c r="GV15">
        <v>40.755775229999998</v>
      </c>
      <c r="GW15">
        <v>109.3722777</v>
      </c>
      <c r="GX15">
        <v>2.2564797959999998</v>
      </c>
      <c r="GY15">
        <v>0.39358756589999999</v>
      </c>
      <c r="GZ15">
        <v>1.313858003</v>
      </c>
      <c r="HA15">
        <v>3.4242045889999999</v>
      </c>
      <c r="HB15">
        <v>1.8565404329999999</v>
      </c>
      <c r="HC15">
        <v>0.2669978905</v>
      </c>
      <c r="HD15">
        <v>1.242249438</v>
      </c>
      <c r="HE15">
        <v>2.7243328459999998</v>
      </c>
      <c r="HF15">
        <v>4.113020229</v>
      </c>
      <c r="HG15">
        <v>0.58421723010000004</v>
      </c>
      <c r="HH15">
        <v>2.5881500000000002</v>
      </c>
      <c r="HI15">
        <v>6.0845101430000001</v>
      </c>
      <c r="HJ15">
        <v>1.849580088</v>
      </c>
      <c r="HK15">
        <v>0.3427050143</v>
      </c>
      <c r="HL15">
        <v>1.013782811</v>
      </c>
      <c r="HM15">
        <v>2.879322905</v>
      </c>
      <c r="HN15">
        <v>6.8274439210000004</v>
      </c>
      <c r="HO15">
        <v>1.2544925899999999</v>
      </c>
      <c r="HP15">
        <v>3.9193199999999999</v>
      </c>
      <c r="HQ15">
        <v>10.162906</v>
      </c>
      <c r="HR15">
        <v>0.68242371869999996</v>
      </c>
      <c r="HS15">
        <v>9.9761887909999999E-2</v>
      </c>
      <c r="HT15">
        <v>0.42795676160000001</v>
      </c>
      <c r="HU15">
        <v>0.94175379999999997</v>
      </c>
      <c r="HV15">
        <v>0.87416976120000001</v>
      </c>
      <c r="HW15">
        <v>0.12779067869999999</v>
      </c>
      <c r="HX15">
        <v>0.54840775659999996</v>
      </c>
      <c r="HY15">
        <v>1.211311515</v>
      </c>
      <c r="HZ15">
        <v>0.27383159460000001</v>
      </c>
      <c r="IA15">
        <v>0.26171235279999999</v>
      </c>
      <c r="IB15">
        <v>-0.33851499530000001</v>
      </c>
      <c r="IC15">
        <v>1.164640602</v>
      </c>
      <c r="ID15">
        <v>3.4389698119999998</v>
      </c>
      <c r="IE15">
        <v>0.65794015230000003</v>
      </c>
      <c r="IF15">
        <v>2.5169740209999998</v>
      </c>
      <c r="IG15">
        <v>6.471341163</v>
      </c>
      <c r="IH15">
        <v>3.6809227259999999</v>
      </c>
      <c r="II15">
        <v>0.88329981980000005</v>
      </c>
      <c r="IJ15">
        <v>2.1000404239999999</v>
      </c>
      <c r="IK15">
        <v>6.2308188590000002</v>
      </c>
      <c r="IL15">
        <v>3.146521195</v>
      </c>
      <c r="IM15">
        <v>0.72527855200000002</v>
      </c>
      <c r="IN15">
        <v>1.6347650090000001</v>
      </c>
      <c r="IO15">
        <v>5.1561496680000003</v>
      </c>
      <c r="IP15">
        <v>6.4831663209999997</v>
      </c>
      <c r="IQ15">
        <v>1.213181895</v>
      </c>
      <c r="IR15">
        <v>3.8744890000000001</v>
      </c>
      <c r="IS15">
        <v>9.5286860000000004</v>
      </c>
      <c r="IT15">
        <v>4.6283014209999997</v>
      </c>
      <c r="IU15">
        <v>1.416192675</v>
      </c>
      <c r="IV15">
        <v>2.083618</v>
      </c>
      <c r="IW15">
        <v>9.1282999999999994</v>
      </c>
      <c r="IX15">
        <v>0.1584543148</v>
      </c>
      <c r="IY15">
        <v>3.0396554659999998E-2</v>
      </c>
      <c r="IZ15">
        <v>9.1430847139999993E-2</v>
      </c>
      <c r="JA15">
        <v>0.24274857059999999</v>
      </c>
      <c r="JB15">
        <v>5.5637095949999997</v>
      </c>
      <c r="JC15">
        <v>0.82690142509999998</v>
      </c>
      <c r="JD15">
        <v>3.619653902</v>
      </c>
      <c r="JE15">
        <v>7.9995613209999998</v>
      </c>
      <c r="JF15">
        <v>1.742602886</v>
      </c>
      <c r="JG15">
        <v>1.500624695</v>
      </c>
      <c r="JH15">
        <v>2.4624476730000001E-2</v>
      </c>
      <c r="JI15">
        <v>7.7813346470000004</v>
      </c>
      <c r="JJ15">
        <v>1.2789098560000001</v>
      </c>
      <c r="JK15">
        <v>0.19569904320000001</v>
      </c>
      <c r="JL15">
        <v>0.74521588549999995</v>
      </c>
      <c r="JM15">
        <v>1.9345952559999999</v>
      </c>
      <c r="JN15">
        <v>11.14349812</v>
      </c>
      <c r="JO15">
        <v>1.9201599760000001</v>
      </c>
      <c r="JP15">
        <v>6.2591730160000001</v>
      </c>
      <c r="JQ15">
        <v>15.62096614</v>
      </c>
      <c r="JR15">
        <v>65.544694289999995</v>
      </c>
      <c r="JS15">
        <v>13.10041741</v>
      </c>
      <c r="JT15">
        <v>41.194887270000002</v>
      </c>
      <c r="JU15">
        <v>109.3722777</v>
      </c>
      <c r="JV15">
        <v>2.3088633719999998</v>
      </c>
      <c r="JW15">
        <v>0.53938005339999995</v>
      </c>
      <c r="JX15">
        <v>1.062888957</v>
      </c>
      <c r="JY15">
        <v>4.2742722789999998</v>
      </c>
      <c r="JZ15">
        <v>2.8637096440000001</v>
      </c>
      <c r="KA15">
        <v>0.86811975259999996</v>
      </c>
      <c r="KB15">
        <v>1.083413365</v>
      </c>
      <c r="KC15">
        <v>5.4874130790000004</v>
      </c>
      <c r="KD15">
        <v>5.1725730160000003</v>
      </c>
      <c r="KE15">
        <v>1.1754789160000001</v>
      </c>
      <c r="KF15">
        <v>2.4141469999999998</v>
      </c>
      <c r="KG15">
        <v>8.3617430000000006</v>
      </c>
      <c r="KH15">
        <v>3.8258705420000001</v>
      </c>
      <c r="KI15">
        <v>1.329727919</v>
      </c>
      <c r="KJ15">
        <v>1.4223973329999999</v>
      </c>
      <c r="KK15">
        <v>8.3617430000000006</v>
      </c>
      <c r="KL15">
        <v>5.1725730160000003</v>
      </c>
      <c r="KM15">
        <v>1.1754789160000001</v>
      </c>
      <c r="KN15">
        <v>2.4141469999999998</v>
      </c>
      <c r="KO15">
        <v>8.3617430000000006</v>
      </c>
      <c r="KP15">
        <v>1.066223361</v>
      </c>
      <c r="KQ15">
        <v>0.26536992050000002</v>
      </c>
      <c r="KR15">
        <v>0.4955545502</v>
      </c>
      <c r="KS15">
        <v>1.8478065640000001</v>
      </c>
      <c r="KT15">
        <v>1.303810624</v>
      </c>
      <c r="KU15">
        <v>0.31000894080000002</v>
      </c>
      <c r="KV15">
        <v>0.61724354209999999</v>
      </c>
      <c r="KW15">
        <v>2.2680212709999998</v>
      </c>
      <c r="KX15">
        <v>-0.29199381499999999</v>
      </c>
      <c r="KY15">
        <v>0.44529713539999999</v>
      </c>
      <c r="KZ15">
        <v>-1.6233503709999999</v>
      </c>
      <c r="LA15">
        <v>0.74451901340000004</v>
      </c>
      <c r="LB15">
        <v>2.5961005620000002</v>
      </c>
      <c r="LC15">
        <v>0.7343662058</v>
      </c>
      <c r="LD15">
        <v>1.5004749989999999</v>
      </c>
      <c r="LE15">
        <v>5.5155923639999997</v>
      </c>
      <c r="LF15">
        <v>1.9890388619999999</v>
      </c>
      <c r="LG15">
        <v>0.76566292499999999</v>
      </c>
      <c r="LH15">
        <v>0.87077999699999997</v>
      </c>
      <c r="LI15">
        <v>4.7789399829999999</v>
      </c>
      <c r="LJ15">
        <v>0.26662749009999998</v>
      </c>
      <c r="LK15">
        <v>5.5212382710000001E-2</v>
      </c>
      <c r="LL15">
        <v>0.14488235620000001</v>
      </c>
      <c r="LM15">
        <v>0.41922546510000003</v>
      </c>
      <c r="LN15">
        <v>20.081839519999999</v>
      </c>
      <c r="LO15">
        <v>9.698441678</v>
      </c>
      <c r="LP15">
        <v>3.4246575340000001</v>
      </c>
      <c r="LQ15">
        <v>51.852875959999999</v>
      </c>
      <c r="LR15">
        <v>2.3484508069999999</v>
      </c>
      <c r="LS15">
        <v>0.67783523909999999</v>
      </c>
      <c r="LT15">
        <v>0.9380570439</v>
      </c>
      <c r="LU15">
        <v>4.6161838409999998</v>
      </c>
      <c r="LV15">
        <v>17.527866280000001</v>
      </c>
      <c r="LW15">
        <v>6.0403904969999997</v>
      </c>
      <c r="LX15">
        <v>0</v>
      </c>
      <c r="LY15">
        <v>32.390631900000002</v>
      </c>
      <c r="LZ15">
        <v>5.6750967110000001</v>
      </c>
      <c r="MA15">
        <v>1.880030101</v>
      </c>
      <c r="MB15">
        <v>2.092514247</v>
      </c>
      <c r="MC15">
        <v>11.48395695</v>
      </c>
      <c r="MD15">
        <v>2.2948709549999999</v>
      </c>
      <c r="ME15">
        <v>0.52918389259999998</v>
      </c>
      <c r="MF15">
        <v>1.066068536</v>
      </c>
      <c r="MG15">
        <v>4.1726587310000003</v>
      </c>
      <c r="MH15">
        <v>2.8146327549999999</v>
      </c>
      <c r="MI15">
        <v>0.79797747510000006</v>
      </c>
      <c r="MJ15">
        <v>1.083413365</v>
      </c>
      <c r="MK15">
        <v>5.3195823119999996</v>
      </c>
      <c r="ML15">
        <v>5.1095037110000003</v>
      </c>
      <c r="MM15">
        <v>1.0955666630000001</v>
      </c>
      <c r="MN15">
        <v>2.4141469999999998</v>
      </c>
      <c r="MO15">
        <v>7.8493120000000003</v>
      </c>
      <c r="MP15">
        <v>3.8301449179999998</v>
      </c>
      <c r="MQ15">
        <v>1.2951960499999999</v>
      </c>
      <c r="MR15">
        <v>1.4223973329999999</v>
      </c>
      <c r="MS15">
        <v>7.7364290000000002</v>
      </c>
      <c r="MT15">
        <v>5.1095037110000003</v>
      </c>
      <c r="MU15">
        <v>1.0955666630000001</v>
      </c>
      <c r="MV15">
        <v>2.4141469999999998</v>
      </c>
      <c r="MW15">
        <v>7.8493120000000003</v>
      </c>
      <c r="MX15">
        <v>1.060761804</v>
      </c>
      <c r="MY15">
        <v>0.25996176999999998</v>
      </c>
      <c r="MZ15">
        <v>0.49555455059999998</v>
      </c>
      <c r="NA15">
        <v>1.7960906640000001</v>
      </c>
      <c r="NB15">
        <v>1.294697674</v>
      </c>
      <c r="NC15">
        <v>0.29960239820000001</v>
      </c>
      <c r="ND15">
        <v>0.61706377030000004</v>
      </c>
      <c r="NE15">
        <v>2.1992474569999998</v>
      </c>
      <c r="NF15">
        <v>-0.28135853900000002</v>
      </c>
      <c r="NG15">
        <v>0.43747048259999999</v>
      </c>
      <c r="NH15">
        <v>-1.573398751</v>
      </c>
      <c r="NI15">
        <v>0.7430808766</v>
      </c>
      <c r="NJ15">
        <v>2.5698914670000002</v>
      </c>
      <c r="NK15">
        <v>0.71286700820000004</v>
      </c>
      <c r="NL15">
        <v>1.49858048</v>
      </c>
      <c r="NM15">
        <v>5.3975892959999996</v>
      </c>
      <c r="NN15">
        <v>1.9928378529999999</v>
      </c>
      <c r="NO15">
        <v>0.77670140350000005</v>
      </c>
      <c r="NP15">
        <v>0.87077999699999997</v>
      </c>
      <c r="NQ15">
        <v>4.7899799830000003</v>
      </c>
      <c r="NR15">
        <v>0.26434974179999998</v>
      </c>
      <c r="NS15">
        <v>5.3021091720000003E-2</v>
      </c>
      <c r="NT15">
        <v>0.14488235620000001</v>
      </c>
      <c r="NU15">
        <v>0.40825610629999998</v>
      </c>
      <c r="NV15">
        <v>20.24025966</v>
      </c>
      <c r="NW15">
        <v>9.7259638170000002</v>
      </c>
      <c r="NX15">
        <v>3.4246575340000001</v>
      </c>
      <c r="NY15">
        <v>53.623508620000003</v>
      </c>
      <c r="NZ15">
        <v>2.342841886</v>
      </c>
      <c r="OA15">
        <v>0.67414033939999995</v>
      </c>
      <c r="OB15">
        <v>0.9380570439</v>
      </c>
      <c r="OC15">
        <v>4.5657309389999998</v>
      </c>
      <c r="OD15">
        <v>17.694564880000001</v>
      </c>
      <c r="OE15">
        <v>5.9633167760000001</v>
      </c>
      <c r="OF15">
        <v>3.4279238780000001</v>
      </c>
      <c r="OG15">
        <v>32.346442779999997</v>
      </c>
      <c r="OH15">
        <v>5.6787742540000004</v>
      </c>
      <c r="OI15">
        <v>1.8900885220000001</v>
      </c>
      <c r="OJ15">
        <v>2.0876913959999999</v>
      </c>
      <c r="OK15">
        <v>11.48395695</v>
      </c>
      <c r="OL15">
        <v>1.720070864</v>
      </c>
      <c r="OM15">
        <v>-0.35788168120000002</v>
      </c>
      <c r="ON15">
        <v>2.9995310480000001</v>
      </c>
      <c r="OO15">
        <v>5.43736</v>
      </c>
      <c r="OP15">
        <v>7.2169559999999997</v>
      </c>
      <c r="OQ15">
        <v>12.654316</v>
      </c>
      <c r="OR15">
        <v>1.3754131460000001</v>
      </c>
      <c r="OS15" s="2">
        <v>6.0706098560000003E-5</v>
      </c>
      <c r="OT15">
        <v>2.2077898949999998E-3</v>
      </c>
      <c r="OU15" s="2">
        <v>6.0706098560000003E-5</v>
      </c>
      <c r="OV15">
        <v>1.5861789289999999E-3</v>
      </c>
      <c r="OW15">
        <v>1.985692071E-3</v>
      </c>
      <c r="OX15">
        <v>2.2209782379999999E-4</v>
      </c>
      <c r="OY15">
        <v>4.3990401849999996</v>
      </c>
      <c r="OZ15">
        <v>1.135375359</v>
      </c>
      <c r="PA15">
        <v>1.9866281480000001</v>
      </c>
      <c r="PB15">
        <v>8.1594375600000006</v>
      </c>
      <c r="PC15">
        <v>88.174596579999999</v>
      </c>
      <c r="PD15">
        <v>1.701954821</v>
      </c>
      <c r="PE15">
        <v>-0.32592968639999997</v>
      </c>
      <c r="PF15">
        <v>2.834160926</v>
      </c>
      <c r="PG15">
        <v>5.3816430000000004</v>
      </c>
      <c r="PH15">
        <v>6.0348040000000003</v>
      </c>
      <c r="PI15">
        <v>11.416447</v>
      </c>
      <c r="PJ15">
        <v>1.367474925</v>
      </c>
      <c r="PK15" s="2">
        <v>5.8408331660000001E-5</v>
      </c>
      <c r="PL15">
        <v>2.1995632590000001E-3</v>
      </c>
      <c r="PM15" s="2">
        <v>5.8408331660000001E-5</v>
      </c>
      <c r="PN15">
        <v>1.584916931E-3</v>
      </c>
      <c r="PO15">
        <v>1.9818860690000001E-3</v>
      </c>
      <c r="PP15">
        <v>2.176771895E-4</v>
      </c>
      <c r="PQ15">
        <v>4.3933882080000002</v>
      </c>
      <c r="PR15">
        <v>1.082965873</v>
      </c>
      <c r="PS15">
        <v>1.9137184549999999</v>
      </c>
      <c r="PT15">
        <v>8.115550357</v>
      </c>
      <c r="PU15">
        <v>88.160518780000004</v>
      </c>
      <c r="PV15">
        <v>5.0248730979999996</v>
      </c>
      <c r="PW15">
        <v>0.97010828240000002</v>
      </c>
      <c r="PX15">
        <v>2.1355192330000001</v>
      </c>
      <c r="PY15">
        <v>8.5247410230000007</v>
      </c>
      <c r="PZ15">
        <v>88.69516831</v>
      </c>
      <c r="QA15">
        <v>5.0211421779999998</v>
      </c>
      <c r="QB15">
        <v>0.90825332680000004</v>
      </c>
      <c r="QC15">
        <v>2.0546032919999999</v>
      </c>
      <c r="QD15">
        <v>8.4817262170000003</v>
      </c>
      <c r="QE15">
        <v>88.69252213</v>
      </c>
      <c r="QF15" s="2">
        <v>5.3477293949999998E-5</v>
      </c>
      <c r="QG15">
        <v>1.8128042820000001E-3</v>
      </c>
      <c r="QH15">
        <v>2.3030267179999999E-3</v>
      </c>
      <c r="QI15">
        <v>2.4048760040000001E-4</v>
      </c>
      <c r="QJ15" s="2">
        <v>5.0982745430000001E-5</v>
      </c>
      <c r="QK15">
        <v>1.8110909419999999E-3</v>
      </c>
      <c r="QL15">
        <v>2.298556058E-3</v>
      </c>
      <c r="QM15">
        <v>2.3574522330000001E-4</v>
      </c>
      <c r="QN15">
        <v>14.1105296</v>
      </c>
      <c r="QO15">
        <v>3.2600487079999997E-2</v>
      </c>
      <c r="QP15">
        <v>5.4632468449999996</v>
      </c>
      <c r="QQ15">
        <v>173.76521589999999</v>
      </c>
      <c r="QR15">
        <v>14.00349188</v>
      </c>
      <c r="QS15">
        <v>3.190632174E-2</v>
      </c>
      <c r="QT15">
        <v>5.4634984759999998</v>
      </c>
      <c r="QU15">
        <v>173.76402909999999</v>
      </c>
    </row>
    <row r="16" spans="1:463" x14ac:dyDescent="0.2">
      <c r="A16" t="s">
        <v>287</v>
      </c>
      <c r="B16" s="2">
        <v>1.7052846559999998E-11</v>
      </c>
      <c r="C16" s="2">
        <v>1.68123928E-11</v>
      </c>
      <c r="D16">
        <v>1.218815992E-3</v>
      </c>
      <c r="E16">
        <v>3.952010853E-2</v>
      </c>
      <c r="F16">
        <v>0.36919079020000001</v>
      </c>
      <c r="G16">
        <v>3.736762592E-3</v>
      </c>
      <c r="H16">
        <v>0.12116452699999999</v>
      </c>
      <c r="I16">
        <v>1.1319004210000001</v>
      </c>
      <c r="J16">
        <v>32.615677810000001</v>
      </c>
      <c r="K16">
        <v>32.616896619999999</v>
      </c>
      <c r="L16">
        <v>32.616896619999999</v>
      </c>
      <c r="M16">
        <v>32.616896619999999</v>
      </c>
      <c r="N16">
        <v>32.577376520000001</v>
      </c>
      <c r="O16">
        <v>32.616896619999999</v>
      </c>
      <c r="P16">
        <v>32.247705830000001</v>
      </c>
      <c r="Q16">
        <v>32.616896619999999</v>
      </c>
      <c r="R16">
        <v>3.741614754</v>
      </c>
      <c r="S16">
        <v>0.58472811729999996</v>
      </c>
      <c r="T16">
        <v>2.4707140170000002</v>
      </c>
      <c r="U16">
        <v>5.6357858829999996</v>
      </c>
      <c r="V16">
        <v>4.595126262</v>
      </c>
      <c r="W16">
        <v>1.033833019</v>
      </c>
      <c r="X16">
        <v>2.4519813419999998</v>
      </c>
      <c r="Y16">
        <v>7.3757059869999999</v>
      </c>
      <c r="Z16">
        <v>8.3367410159999995</v>
      </c>
      <c r="AA16">
        <v>1.2418506920000001</v>
      </c>
      <c r="AB16">
        <v>5.5184689999999996</v>
      </c>
      <c r="AC16">
        <v>11.098056</v>
      </c>
      <c r="AD16">
        <v>3.5254881450000002</v>
      </c>
      <c r="AE16">
        <v>0.81281298430000004</v>
      </c>
      <c r="AF16">
        <v>1.7078067690000001</v>
      </c>
      <c r="AG16">
        <v>6.2251130000000003</v>
      </c>
      <c r="AH16">
        <v>8.3367410159999995</v>
      </c>
      <c r="AI16">
        <v>1.2418506920000001</v>
      </c>
      <c r="AJ16">
        <v>5.5184689999999996</v>
      </c>
      <c r="AK16">
        <v>11.098056</v>
      </c>
      <c r="AL16">
        <v>1.4831545610000001</v>
      </c>
      <c r="AM16">
        <v>0.27862174229999997</v>
      </c>
      <c r="AN16">
        <v>0.89673564449999998</v>
      </c>
      <c r="AO16">
        <v>2.231667844</v>
      </c>
      <c r="AP16">
        <v>1.820871466</v>
      </c>
      <c r="AQ16">
        <v>0.31701463190000001</v>
      </c>
      <c r="AR16">
        <v>1.1064868189999999</v>
      </c>
      <c r="AS16">
        <v>2.6553643830000002</v>
      </c>
      <c r="AT16">
        <v>-0.2126629816</v>
      </c>
      <c r="AU16">
        <v>0.39051710969999998</v>
      </c>
      <c r="AV16">
        <v>-1.7633110350000001</v>
      </c>
      <c r="AW16">
        <v>0.5836432359</v>
      </c>
      <c r="AX16">
        <v>2.6757559519999998</v>
      </c>
      <c r="AY16">
        <v>0.70293048469999997</v>
      </c>
      <c r="AZ16">
        <v>1.702633308</v>
      </c>
      <c r="BA16">
        <v>7.0187121369999996</v>
      </c>
      <c r="BB16">
        <v>0.46848024849999997</v>
      </c>
      <c r="BC16">
        <v>0.1613699737</v>
      </c>
      <c r="BD16">
        <v>0.21251999930000001</v>
      </c>
      <c r="BE16">
        <v>1.1750699959999999</v>
      </c>
      <c r="BF16">
        <v>6.7342114290000001</v>
      </c>
      <c r="BG16">
        <v>1.18099807</v>
      </c>
      <c r="BH16">
        <v>4.3898718790000002</v>
      </c>
      <c r="BI16">
        <v>10.22525725</v>
      </c>
      <c r="BJ16">
        <v>7.5777174</v>
      </c>
      <c r="BK16">
        <v>4.0447907430000001</v>
      </c>
      <c r="BL16">
        <v>0.46398585949999999</v>
      </c>
      <c r="BM16">
        <v>20.039770220000001</v>
      </c>
      <c r="BN16">
        <v>3.2234367449999999</v>
      </c>
      <c r="BO16">
        <v>0.71174860009999996</v>
      </c>
      <c r="BP16">
        <v>1.668750696</v>
      </c>
      <c r="BQ16">
        <v>5.3915337000000001</v>
      </c>
      <c r="BR16">
        <v>23.514000200000002</v>
      </c>
      <c r="BS16">
        <v>6.9471846450000001</v>
      </c>
      <c r="BT16">
        <v>8.5101313409999992</v>
      </c>
      <c r="BU16">
        <v>47.054395040000003</v>
      </c>
      <c r="BV16">
        <v>3.5734758659999999</v>
      </c>
      <c r="BW16">
        <v>0.53633426250000005</v>
      </c>
      <c r="BX16">
        <v>2.4707140170000002</v>
      </c>
      <c r="BY16">
        <v>5.1262163049999998</v>
      </c>
      <c r="BZ16">
        <v>4.3853146970000001</v>
      </c>
      <c r="CA16">
        <v>0.77755099719999998</v>
      </c>
      <c r="CB16">
        <v>2.4519813419999998</v>
      </c>
      <c r="CC16">
        <v>6.1175165329999999</v>
      </c>
      <c r="CD16">
        <v>7.958790563</v>
      </c>
      <c r="CE16">
        <v>0.92620198639999995</v>
      </c>
      <c r="CF16">
        <v>5.5184689999999996</v>
      </c>
      <c r="CG16">
        <v>9.1642770000000002</v>
      </c>
      <c r="CH16">
        <v>3.4644197810000001</v>
      </c>
      <c r="CI16">
        <v>0.76917406769999996</v>
      </c>
      <c r="CJ16">
        <v>1.7078067690000001</v>
      </c>
      <c r="CK16">
        <v>6.1717884999999999</v>
      </c>
      <c r="CL16">
        <v>7.958790563</v>
      </c>
      <c r="CM16">
        <v>0.92620198639999995</v>
      </c>
      <c r="CN16">
        <v>5.5184689999999996</v>
      </c>
      <c r="CO16">
        <v>9.1642770000000002</v>
      </c>
      <c r="CP16">
        <v>1.4724892839999999</v>
      </c>
      <c r="CQ16">
        <v>0.27200266360000003</v>
      </c>
      <c r="CR16">
        <v>0.89673564449999998</v>
      </c>
      <c r="CS16">
        <v>2.1953308530000002</v>
      </c>
      <c r="CT16">
        <v>1.8012365690000001</v>
      </c>
      <c r="CU16">
        <v>0.30126289989999999</v>
      </c>
      <c r="CV16">
        <v>1.1064868189999999</v>
      </c>
      <c r="CW16">
        <v>2.5416186860000001</v>
      </c>
      <c r="CX16">
        <v>-0.20191184949999999</v>
      </c>
      <c r="CY16">
        <v>0.36804928240000001</v>
      </c>
      <c r="CZ16">
        <v>-1.5654096900000001</v>
      </c>
      <c r="DA16">
        <v>0.55525379190000002</v>
      </c>
      <c r="DB16">
        <v>2.6025715620000001</v>
      </c>
      <c r="DC16">
        <v>0.61751713880000003</v>
      </c>
      <c r="DD16">
        <v>1.702633308</v>
      </c>
      <c r="DE16">
        <v>5.9132206979999999</v>
      </c>
      <c r="DF16">
        <v>0.4621874694</v>
      </c>
      <c r="DG16">
        <v>0.15448056290000001</v>
      </c>
      <c r="DH16">
        <v>0.21251999930000001</v>
      </c>
      <c r="DI16">
        <v>1.1750699959999999</v>
      </c>
      <c r="DJ16">
        <v>6.4429056019999997</v>
      </c>
      <c r="DK16">
        <v>1.132812092</v>
      </c>
      <c r="DL16">
        <v>3.8516153179999999</v>
      </c>
      <c r="DM16">
        <v>10.22525725</v>
      </c>
      <c r="DN16">
        <v>9.2004197390000009</v>
      </c>
      <c r="DO16">
        <v>4.1981005040000001</v>
      </c>
      <c r="DP16">
        <v>1.126822802</v>
      </c>
      <c r="DQ16">
        <v>20.039770220000001</v>
      </c>
      <c r="DR16">
        <v>3.2148601270000001</v>
      </c>
      <c r="DS16">
        <v>0.70791101479999996</v>
      </c>
      <c r="DT16">
        <v>1.668750696</v>
      </c>
      <c r="DU16">
        <v>5.3422804790000002</v>
      </c>
      <c r="DV16">
        <v>23.708817790000001</v>
      </c>
      <c r="DW16">
        <v>6.8243268060000002</v>
      </c>
      <c r="DX16">
        <v>8.5101313409999992</v>
      </c>
      <c r="DY16">
        <v>47.054395040000003</v>
      </c>
      <c r="DZ16">
        <v>2.2783225549999999</v>
      </c>
      <c r="EA16">
        <v>0.41732945570000002</v>
      </c>
      <c r="EB16">
        <v>1.338807914</v>
      </c>
      <c r="EC16">
        <v>3.537822877</v>
      </c>
      <c r="ED16">
        <v>1.812377079</v>
      </c>
      <c r="EE16">
        <v>0.29204450679999999</v>
      </c>
      <c r="EF16">
        <v>1.1587658000000001</v>
      </c>
      <c r="EG16">
        <v>2.7818650310000002</v>
      </c>
      <c r="EH16">
        <v>4.090699635</v>
      </c>
      <c r="EI16">
        <v>0.62656516969999998</v>
      </c>
      <c r="EJ16">
        <v>2.4975737140000001</v>
      </c>
      <c r="EK16">
        <v>5.9716064290000004</v>
      </c>
      <c r="EL16">
        <v>2.1010302670000001</v>
      </c>
      <c r="EM16">
        <v>0.39200066569999997</v>
      </c>
      <c r="EN16">
        <v>1.02117675</v>
      </c>
      <c r="EO16">
        <v>3.8199839230000001</v>
      </c>
      <c r="EP16">
        <v>6.9993067790000003</v>
      </c>
      <c r="EQ16">
        <v>1.4483121299999999</v>
      </c>
      <c r="ER16">
        <v>3.8460169999999998</v>
      </c>
      <c r="ES16">
        <v>11.410629</v>
      </c>
      <c r="ET16">
        <v>0.68667493550000003</v>
      </c>
      <c r="EU16">
        <v>0.10580868409999999</v>
      </c>
      <c r="EV16">
        <v>0.40542502829999999</v>
      </c>
      <c r="EW16">
        <v>0.98512116699999996</v>
      </c>
      <c r="EX16">
        <v>0.88336765490000002</v>
      </c>
      <c r="EY16">
        <v>0.1359346608</v>
      </c>
      <c r="EZ16">
        <v>0.5375918355</v>
      </c>
      <c r="FA16">
        <v>1.2437107780000001</v>
      </c>
      <c r="FB16">
        <v>0.32807185719999998</v>
      </c>
      <c r="FC16">
        <v>0.27342221410000001</v>
      </c>
      <c r="FD16">
        <v>-0.42564827240000003</v>
      </c>
      <c r="FE16">
        <v>1.0606408700000001</v>
      </c>
      <c r="FF16">
        <v>3.5603762080000001</v>
      </c>
      <c r="FG16">
        <v>0.76990573880000002</v>
      </c>
      <c r="FH16">
        <v>2.4491520819999999</v>
      </c>
      <c r="FI16">
        <v>8.0768961279999996</v>
      </c>
      <c r="FJ16">
        <v>3.7977914699999999</v>
      </c>
      <c r="FK16">
        <v>0.95843344649999995</v>
      </c>
      <c r="FL16">
        <v>2.0640746879999998</v>
      </c>
      <c r="FM16">
        <v>6.5364966549999997</v>
      </c>
      <c r="FN16">
        <v>3.2015153089999999</v>
      </c>
      <c r="FO16">
        <v>0.85614008139999997</v>
      </c>
      <c r="FP16">
        <v>1.4971368110000001</v>
      </c>
      <c r="FQ16">
        <v>6.4131725700000004</v>
      </c>
      <c r="FR16">
        <v>6.6618320889999998</v>
      </c>
      <c r="FS16">
        <v>1.4131447370000001</v>
      </c>
      <c r="FT16">
        <v>3.590338</v>
      </c>
      <c r="FU16">
        <v>11.310466</v>
      </c>
      <c r="FV16">
        <v>4.627048447</v>
      </c>
      <c r="FW16">
        <v>1.567506936</v>
      </c>
      <c r="FX16">
        <v>1.7877970000000001</v>
      </c>
      <c r="FY16">
        <v>10.175196</v>
      </c>
      <c r="FZ16">
        <v>0.19816302699999999</v>
      </c>
      <c r="GA16">
        <v>3.6911879969999999E-2</v>
      </c>
      <c r="GB16">
        <v>0.1233531814</v>
      </c>
      <c r="GC16">
        <v>0.39181384479999998</v>
      </c>
      <c r="GD16">
        <v>6.1091090230000002</v>
      </c>
      <c r="GE16">
        <v>1.07463563</v>
      </c>
      <c r="GF16">
        <v>3.7267305689999999</v>
      </c>
      <c r="GG16">
        <v>9.0783666440000008</v>
      </c>
      <c r="GH16">
        <v>1.772016657</v>
      </c>
      <c r="GI16">
        <v>1.7119919960000001</v>
      </c>
      <c r="GJ16">
        <v>4.9248953460000001E-2</v>
      </c>
      <c r="GK16">
        <v>10.039439209999999</v>
      </c>
      <c r="GL16">
        <v>1.267072185</v>
      </c>
      <c r="GM16">
        <v>0.21194761949999999</v>
      </c>
      <c r="GN16">
        <v>0.66884197639999998</v>
      </c>
      <c r="GO16">
        <v>2.0188913849999999</v>
      </c>
      <c r="GP16">
        <v>11.32737985</v>
      </c>
      <c r="GQ16">
        <v>2.1191585549999998</v>
      </c>
      <c r="GR16">
        <v>6.3038660430000002</v>
      </c>
      <c r="GS16">
        <v>16.61554069</v>
      </c>
      <c r="GT16">
        <v>52.090777539999998</v>
      </c>
      <c r="GU16">
        <v>9.1096559480000003</v>
      </c>
      <c r="GV16">
        <v>25.522324269999999</v>
      </c>
      <c r="GW16">
        <v>81.068034789999999</v>
      </c>
      <c r="GX16">
        <v>2.2443722820000001</v>
      </c>
      <c r="GY16">
        <v>0.40648184430000001</v>
      </c>
      <c r="GZ16">
        <v>1.338807914</v>
      </c>
      <c r="HA16">
        <v>3.4732214670000001</v>
      </c>
      <c r="HB16">
        <v>1.7849823570000001</v>
      </c>
      <c r="HC16">
        <v>0.27737316940000001</v>
      </c>
      <c r="HD16">
        <v>1.1587658000000001</v>
      </c>
      <c r="HE16">
        <v>2.7330498859999999</v>
      </c>
      <c r="HF16">
        <v>4.0293546390000001</v>
      </c>
      <c r="HG16">
        <v>0.59940821190000004</v>
      </c>
      <c r="HH16">
        <v>2.4975737140000001</v>
      </c>
      <c r="HI16">
        <v>5.8849951430000003</v>
      </c>
      <c r="HJ16">
        <v>2.0711955720000002</v>
      </c>
      <c r="HK16">
        <v>0.37617519049999998</v>
      </c>
      <c r="HL16">
        <v>1.02117635</v>
      </c>
      <c r="HM16">
        <v>3.7394938459999998</v>
      </c>
      <c r="HN16">
        <v>6.7628445419999998</v>
      </c>
      <c r="HO16">
        <v>1.266708806</v>
      </c>
      <c r="HP16">
        <v>3.8460169999999998</v>
      </c>
      <c r="HQ16">
        <v>9.7375530000000001</v>
      </c>
      <c r="HR16">
        <v>0.67906417880000003</v>
      </c>
      <c r="HS16">
        <v>0.10192959980000001</v>
      </c>
      <c r="HT16">
        <v>0.40542429969999999</v>
      </c>
      <c r="HU16">
        <v>0.95787083080000002</v>
      </c>
      <c r="HV16">
        <v>0.87149012589999997</v>
      </c>
      <c r="HW16">
        <v>0.12970911930000001</v>
      </c>
      <c r="HX16">
        <v>0.53759057870000004</v>
      </c>
      <c r="HY16">
        <v>1.221468784</v>
      </c>
      <c r="HZ16">
        <v>0.32420250410000001</v>
      </c>
      <c r="IA16">
        <v>0.27400625099999998</v>
      </c>
      <c r="IB16">
        <v>-0.42564827240000003</v>
      </c>
      <c r="IC16">
        <v>1.134500064</v>
      </c>
      <c r="ID16">
        <v>3.5386772560000002</v>
      </c>
      <c r="IE16">
        <v>0.76444423510000004</v>
      </c>
      <c r="IF16">
        <v>2.4343214369999999</v>
      </c>
      <c r="IG16">
        <v>8.0591806219999995</v>
      </c>
      <c r="IH16">
        <v>3.684420781</v>
      </c>
      <c r="II16">
        <v>0.91594993410000003</v>
      </c>
      <c r="IJ16">
        <v>2.0640752130000002</v>
      </c>
      <c r="IK16">
        <v>6.4615092819999997</v>
      </c>
      <c r="IL16">
        <v>3.0784237609999998</v>
      </c>
      <c r="IM16">
        <v>0.73127508990000001</v>
      </c>
      <c r="IN16">
        <v>1.497136808</v>
      </c>
      <c r="IO16">
        <v>4.8748716229999998</v>
      </c>
      <c r="IP16">
        <v>6.4039901209999996</v>
      </c>
      <c r="IQ16">
        <v>1.188177109</v>
      </c>
      <c r="IR16">
        <v>3.590338</v>
      </c>
      <c r="IS16">
        <v>9.1013570000000001</v>
      </c>
      <c r="IT16">
        <v>4.5497862160000002</v>
      </c>
      <c r="IU16">
        <v>1.4471966780000001</v>
      </c>
      <c r="IV16">
        <v>1.7877970000000001</v>
      </c>
      <c r="IW16">
        <v>8.8426209999999994</v>
      </c>
      <c r="IX16">
        <v>0.19608496080000001</v>
      </c>
      <c r="IY16">
        <v>3.6790863930000001E-2</v>
      </c>
      <c r="IZ16">
        <v>0.1233531814</v>
      </c>
      <c r="JA16">
        <v>0.39181384479999998</v>
      </c>
      <c r="JB16">
        <v>5.8782125870000002</v>
      </c>
      <c r="JC16">
        <v>1.0219556839999999</v>
      </c>
      <c r="JD16">
        <v>3.7267304819999998</v>
      </c>
      <c r="JE16">
        <v>9.0739424399999997</v>
      </c>
      <c r="JF16">
        <v>1.884503426</v>
      </c>
      <c r="JG16">
        <v>1.8462737250000001</v>
      </c>
      <c r="JH16">
        <v>4.9248953460000001E-2</v>
      </c>
      <c r="JI16">
        <v>10.039439209999999</v>
      </c>
      <c r="JJ16">
        <v>1.262771182</v>
      </c>
      <c r="JK16">
        <v>0.20960198420000001</v>
      </c>
      <c r="JL16">
        <v>0.66884197639999998</v>
      </c>
      <c r="JM16">
        <v>1.9550916890000001</v>
      </c>
      <c r="JN16">
        <v>11.480786330000001</v>
      </c>
      <c r="JO16">
        <v>2.1363304799999998</v>
      </c>
      <c r="JP16">
        <v>6.5007391170000002</v>
      </c>
      <c r="JQ16">
        <v>16.818517610000001</v>
      </c>
      <c r="JR16">
        <v>52.646747480000002</v>
      </c>
      <c r="JS16">
        <v>9.1721659019999997</v>
      </c>
      <c r="JT16">
        <v>25.522324269999999</v>
      </c>
      <c r="JU16">
        <v>81.068034789999999</v>
      </c>
      <c r="JV16">
        <v>2.3110545130000002</v>
      </c>
      <c r="JW16">
        <v>0.5391572013</v>
      </c>
      <c r="JX16">
        <v>1.0613231089999999</v>
      </c>
      <c r="JY16">
        <v>4.3103340189999999</v>
      </c>
      <c r="JZ16">
        <v>2.8620007869999999</v>
      </c>
      <c r="KA16">
        <v>0.86072509190000002</v>
      </c>
      <c r="KB16">
        <v>1.0813928960000001</v>
      </c>
      <c r="KC16">
        <v>5.4620924759999996</v>
      </c>
      <c r="KD16">
        <v>5.1730552999999997</v>
      </c>
      <c r="KE16">
        <v>1.1567912760000001</v>
      </c>
      <c r="KF16">
        <v>2.403683</v>
      </c>
      <c r="KG16">
        <v>8.4718929999999997</v>
      </c>
      <c r="KH16">
        <v>3.8809659700000001</v>
      </c>
      <c r="KI16">
        <v>1.3426839209999999</v>
      </c>
      <c r="KJ16">
        <v>1.410748667</v>
      </c>
      <c r="KK16">
        <v>8.4718929999999997</v>
      </c>
      <c r="KL16">
        <v>5.1730552999999997</v>
      </c>
      <c r="KM16">
        <v>1.1567912760000001</v>
      </c>
      <c r="KN16">
        <v>2.403683</v>
      </c>
      <c r="KO16">
        <v>8.4718929999999997</v>
      </c>
      <c r="KP16">
        <v>1.0668860410000001</v>
      </c>
      <c r="KQ16">
        <v>0.26252314570000002</v>
      </c>
      <c r="KR16">
        <v>0.4737124103</v>
      </c>
      <c r="KS16">
        <v>1.8625312709999999</v>
      </c>
      <c r="KT16">
        <v>1.3036042569999999</v>
      </c>
      <c r="KU16">
        <v>0.30621439789999999</v>
      </c>
      <c r="KV16">
        <v>0.59255906030000005</v>
      </c>
      <c r="KW16">
        <v>2.285865077</v>
      </c>
      <c r="KX16">
        <v>-0.28913421420000002</v>
      </c>
      <c r="KY16">
        <v>0.44974436359999997</v>
      </c>
      <c r="KZ16">
        <v>-1.624249437</v>
      </c>
      <c r="LA16">
        <v>0.74663704480000004</v>
      </c>
      <c r="LB16">
        <v>2.5960245030000002</v>
      </c>
      <c r="LC16">
        <v>0.73177652989999997</v>
      </c>
      <c r="LD16">
        <v>1.4966007610000001</v>
      </c>
      <c r="LE16">
        <v>5.4995182360000001</v>
      </c>
      <c r="LF16">
        <v>2.020111988</v>
      </c>
      <c r="LG16">
        <v>0.76920649679999997</v>
      </c>
      <c r="LH16">
        <v>0.89975999689999997</v>
      </c>
      <c r="LI16">
        <v>4.7665199840000003</v>
      </c>
      <c r="LJ16">
        <v>0.26706303110000001</v>
      </c>
      <c r="LK16">
        <v>5.4769078669999999E-2</v>
      </c>
      <c r="LL16">
        <v>0.14412957230000001</v>
      </c>
      <c r="LM16">
        <v>0.41772425439999999</v>
      </c>
      <c r="LN16">
        <v>20.094087120000001</v>
      </c>
      <c r="LO16">
        <v>9.7552522980000003</v>
      </c>
      <c r="LP16">
        <v>3.40256297</v>
      </c>
      <c r="LQ16">
        <v>52.09528092</v>
      </c>
      <c r="LR16">
        <v>2.3463393589999999</v>
      </c>
      <c r="LS16">
        <v>0.67542057990000004</v>
      </c>
      <c r="LT16">
        <v>0.93672121919999995</v>
      </c>
      <c r="LU16">
        <v>4.6456472450000001</v>
      </c>
      <c r="LV16">
        <v>17.452211510000001</v>
      </c>
      <c r="LW16">
        <v>5.9897906159999996</v>
      </c>
      <c r="LX16">
        <v>0.89403352970000005</v>
      </c>
      <c r="LY16">
        <v>33.009279720000002</v>
      </c>
      <c r="LZ16">
        <v>5.5550500759999997</v>
      </c>
      <c r="MA16">
        <v>1.7655563910000001</v>
      </c>
      <c r="MB16">
        <v>2.0979666579999998</v>
      </c>
      <c r="MC16">
        <v>11.1140749</v>
      </c>
      <c r="MD16">
        <v>2.2956978530000001</v>
      </c>
      <c r="ME16">
        <v>0.52928452390000003</v>
      </c>
      <c r="MF16">
        <v>1.063358386</v>
      </c>
      <c r="MG16">
        <v>4.157780238</v>
      </c>
      <c r="MH16">
        <v>2.808933578</v>
      </c>
      <c r="MI16">
        <v>0.78805809260000004</v>
      </c>
      <c r="MJ16">
        <v>1.0813928960000001</v>
      </c>
      <c r="MK16">
        <v>5.2584383519999998</v>
      </c>
      <c r="ML16">
        <v>5.1046314319999997</v>
      </c>
      <c r="MM16">
        <v>1.073763357</v>
      </c>
      <c r="MN16">
        <v>2.403683</v>
      </c>
      <c r="MO16">
        <v>7.7844990000000003</v>
      </c>
      <c r="MP16">
        <v>3.8135996099999998</v>
      </c>
      <c r="MQ16">
        <v>1.224416296</v>
      </c>
      <c r="MR16">
        <v>1.410748667</v>
      </c>
      <c r="MS16">
        <v>7.6106699999999998</v>
      </c>
      <c r="MT16">
        <v>5.1046314319999997</v>
      </c>
      <c r="MU16">
        <v>1.073763357</v>
      </c>
      <c r="MV16">
        <v>2.403683</v>
      </c>
      <c r="MW16">
        <v>7.7844990000000003</v>
      </c>
      <c r="MX16">
        <v>1.0612353859999999</v>
      </c>
      <c r="MY16">
        <v>0.2570084816</v>
      </c>
      <c r="MZ16">
        <v>0.4737124103</v>
      </c>
      <c r="NA16">
        <v>1.7765473039999999</v>
      </c>
      <c r="NB16">
        <v>1.2940066990000001</v>
      </c>
      <c r="NC16">
        <v>0.29532852980000002</v>
      </c>
      <c r="ND16">
        <v>0.59216667140000001</v>
      </c>
      <c r="NE16">
        <v>2.176551452</v>
      </c>
      <c r="NF16">
        <v>-0.27870417939999997</v>
      </c>
      <c r="NG16">
        <v>0.4415281975</v>
      </c>
      <c r="NH16">
        <v>-1.534096943</v>
      </c>
      <c r="NI16">
        <v>0.73903007070000004</v>
      </c>
      <c r="NJ16">
        <v>2.5680535459999998</v>
      </c>
      <c r="NK16">
        <v>0.71270298919999997</v>
      </c>
      <c r="NL16">
        <v>1.4966007610000001</v>
      </c>
      <c r="NM16">
        <v>5.1975117199999996</v>
      </c>
      <c r="NN16">
        <v>2.0201207430000001</v>
      </c>
      <c r="NO16">
        <v>0.76684511180000003</v>
      </c>
      <c r="NP16">
        <v>0.97427999659999998</v>
      </c>
      <c r="NQ16">
        <v>4.7734199840000002</v>
      </c>
      <c r="NR16">
        <v>0.2646982712</v>
      </c>
      <c r="NS16">
        <v>5.2547829900000002E-2</v>
      </c>
      <c r="NT16">
        <v>0.14412957230000001</v>
      </c>
      <c r="NU16">
        <v>0.40332545190000002</v>
      </c>
      <c r="NV16">
        <v>20.281164409999999</v>
      </c>
      <c r="NW16">
        <v>9.7051514300000008</v>
      </c>
      <c r="NX16">
        <v>3.40256297</v>
      </c>
      <c r="NY16">
        <v>52.09528092</v>
      </c>
      <c r="NZ16">
        <v>2.3418913830000001</v>
      </c>
      <c r="OA16">
        <v>0.67044134450000004</v>
      </c>
      <c r="OB16">
        <v>0.93672121919999995</v>
      </c>
      <c r="OC16">
        <v>4.4625924609999998</v>
      </c>
      <c r="OD16">
        <v>17.622063010000002</v>
      </c>
      <c r="OE16">
        <v>5.9741811800000004</v>
      </c>
      <c r="OF16">
        <v>4.1758727349999996</v>
      </c>
      <c r="OG16">
        <v>33.22951862</v>
      </c>
      <c r="OH16">
        <v>5.5464343359999999</v>
      </c>
      <c r="OI16">
        <v>1.7362262820000001</v>
      </c>
      <c r="OJ16">
        <v>2.0949340379999999</v>
      </c>
      <c r="OK16">
        <v>10.26398985</v>
      </c>
      <c r="OL16">
        <v>1.721824579</v>
      </c>
      <c r="OM16">
        <v>-0.35357070810000002</v>
      </c>
      <c r="ON16">
        <v>2.9781389190000001</v>
      </c>
      <c r="OO16">
        <v>5.5668220000000002</v>
      </c>
      <c r="OP16">
        <v>7.029388</v>
      </c>
      <c r="OQ16">
        <v>12.596209999999999</v>
      </c>
      <c r="OR16">
        <v>1.3777438639999999</v>
      </c>
      <c r="OS16" s="2">
        <v>5.936278068E-5</v>
      </c>
      <c r="OT16">
        <v>2.2244622589999998E-3</v>
      </c>
      <c r="OU16" s="2">
        <v>5.936278068E-5</v>
      </c>
      <c r="OV16">
        <v>1.592483663E-3</v>
      </c>
      <c r="OW16">
        <v>2.0029833369999998E-3</v>
      </c>
      <c r="OX16">
        <v>2.2147892170000001E-4</v>
      </c>
      <c r="OY16">
        <v>4.4016164919999996</v>
      </c>
      <c r="OZ16">
        <v>1.111408103</v>
      </c>
      <c r="PA16">
        <v>1.9736835349999999</v>
      </c>
      <c r="PB16">
        <v>8.3821845970000002</v>
      </c>
      <c r="PC16">
        <v>88.158182139999994</v>
      </c>
      <c r="PD16">
        <v>1.7020718610000001</v>
      </c>
      <c r="PE16">
        <v>-0.3193439408</v>
      </c>
      <c r="PF16">
        <v>2.8190409719999998</v>
      </c>
      <c r="PG16">
        <v>5.4848879999999998</v>
      </c>
      <c r="PH16">
        <v>6.0075409999999998</v>
      </c>
      <c r="PI16">
        <v>11.492429</v>
      </c>
      <c r="PJ16">
        <v>1.3682840439999999</v>
      </c>
      <c r="PK16" s="2">
        <v>5.7555817369999999E-5</v>
      </c>
      <c r="PL16">
        <v>2.210898159E-3</v>
      </c>
      <c r="PM16" s="2">
        <v>5.7555817369999999E-5</v>
      </c>
      <c r="PN16">
        <v>1.5894886799999999E-3</v>
      </c>
      <c r="PO16">
        <v>1.9943003200000001E-3</v>
      </c>
      <c r="PP16">
        <v>2.1659783880000001E-4</v>
      </c>
      <c r="PQ16">
        <v>4.3928315390000003</v>
      </c>
      <c r="PR16">
        <v>1.069441074</v>
      </c>
      <c r="PS16">
        <v>1.897439834</v>
      </c>
      <c r="PT16">
        <v>8.2913613819999998</v>
      </c>
      <c r="PU16">
        <v>88.157074429999994</v>
      </c>
      <c r="PV16">
        <v>5.0414174620000001</v>
      </c>
      <c r="PW16">
        <v>0.90941387559999998</v>
      </c>
      <c r="PX16">
        <v>2.121042927</v>
      </c>
      <c r="PY16">
        <v>8.8876442959999995</v>
      </c>
      <c r="PZ16">
        <v>88.742329429999998</v>
      </c>
      <c r="QA16">
        <v>5.0321828589999997</v>
      </c>
      <c r="QB16">
        <v>0.85368711149999998</v>
      </c>
      <c r="QC16">
        <v>2.033626752</v>
      </c>
      <c r="QD16">
        <v>8.7944597170000005</v>
      </c>
      <c r="QE16">
        <v>88.729953589999994</v>
      </c>
      <c r="QF16" s="2">
        <v>4.983342834E-5</v>
      </c>
      <c r="QG16">
        <v>1.8239283190000001E-3</v>
      </c>
      <c r="QH16">
        <v>2.3384906809999998E-3</v>
      </c>
      <c r="QI16">
        <v>2.39333081E-4</v>
      </c>
      <c r="QJ16" s="2">
        <v>4.7668346609999998E-5</v>
      </c>
      <c r="QK16">
        <v>1.820002127E-3</v>
      </c>
      <c r="QL16">
        <v>2.3277838729999999E-3</v>
      </c>
      <c r="QM16">
        <v>2.3420035489999999E-4</v>
      </c>
      <c r="QN16">
        <v>14.079059819999999</v>
      </c>
      <c r="QO16">
        <v>3.1616923339999999E-2</v>
      </c>
      <c r="QP16">
        <v>4.9622632859999998</v>
      </c>
      <c r="QQ16">
        <v>173.77011870000001</v>
      </c>
      <c r="QR16">
        <v>13.964601699999999</v>
      </c>
      <c r="QS16">
        <v>3.1416559509999997E-2</v>
      </c>
      <c r="QT16">
        <v>4.9608790450000004</v>
      </c>
      <c r="QU16">
        <v>173.77096090000001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topLeftCell="D1" workbookViewId="0">
      <selection activeCell="P6" sqref="P6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Baza!OL1</f>
        <v>70</v>
      </c>
      <c r="C3">
        <f>Baza!OM1</f>
        <v>70</v>
      </c>
      <c r="D3">
        <f>Baza!ON1</f>
        <v>70</v>
      </c>
      <c r="E3">
        <f>Baza!OO1</f>
        <v>70</v>
      </c>
      <c r="F3">
        <f>Baza!OP1</f>
        <v>70</v>
      </c>
      <c r="G3">
        <f>Baza!OQ1</f>
        <v>70</v>
      </c>
      <c r="H3">
        <f>Baza!OR1</f>
        <v>70</v>
      </c>
      <c r="I3">
        <f>Baza!OS1</f>
        <v>70</v>
      </c>
      <c r="J3">
        <f>Baza!OT1</f>
        <v>70</v>
      </c>
      <c r="K3">
        <f>Baza!OU1</f>
        <v>70</v>
      </c>
      <c r="L3">
        <f>Baza!OV1</f>
        <v>70</v>
      </c>
      <c r="M3">
        <f>Baza!OW1</f>
        <v>70</v>
      </c>
      <c r="N3">
        <f>Baza!OX1</f>
        <v>70</v>
      </c>
      <c r="O3">
        <f>Baza!OY1</f>
        <v>70</v>
      </c>
      <c r="P3">
        <f>Baza!OZ1</f>
        <v>70</v>
      </c>
      <c r="Q3">
        <f>Baza!PA1</f>
        <v>70</v>
      </c>
      <c r="R3">
        <f>Baza!PB1</f>
        <v>70</v>
      </c>
      <c r="S3">
        <f>Baza!PC1</f>
        <v>70</v>
      </c>
    </row>
    <row r="4" spans="1:19" x14ac:dyDescent="0.2">
      <c r="B4" t="str">
        <f>Baza!OL2</f>
        <v>Sq</v>
      </c>
      <c r="C4" t="str">
        <f>Baza!OM2</f>
        <v>Ssk</v>
      </c>
      <c r="D4" t="str">
        <f>Baza!ON2</f>
        <v>Sku</v>
      </c>
      <c r="E4" t="str">
        <f>Baza!OO2</f>
        <v>Sp</v>
      </c>
      <c r="F4" t="str">
        <f>Baza!OP2</f>
        <v>Sv</v>
      </c>
      <c r="G4" t="str">
        <f>Baza!OQ2</f>
        <v>Sz</v>
      </c>
      <c r="H4" t="str">
        <f>Baza!OR2</f>
        <v>Sa</v>
      </c>
      <c r="I4" t="str">
        <f>Baza!OS2</f>
        <v>Vm (p = 10%)</v>
      </c>
      <c r="J4" t="str">
        <f>Baza!OT2</f>
        <v>Vv (p = 10%)</v>
      </c>
      <c r="K4" t="str">
        <f>Baza!OU2</f>
        <v>Vmp (p = 10%)</v>
      </c>
      <c r="L4" t="str">
        <f>Baza!OV2</f>
        <v>Vmc (p = 10%, q = 80%)</v>
      </c>
      <c r="M4" t="str">
        <f>Baza!OW2</f>
        <v>Vvc (p = 10%, q = 80%)</v>
      </c>
      <c r="N4" t="str">
        <f>Baza!OX2</f>
        <v>Vvv (p = 80%)</v>
      </c>
      <c r="O4" t="str">
        <f>Baza!OY2</f>
        <v>Sk</v>
      </c>
      <c r="P4" t="str">
        <f>Baza!OZ2</f>
        <v>Spk</v>
      </c>
      <c r="Q4" t="str">
        <f>Baza!PA2</f>
        <v>Svk</v>
      </c>
      <c r="R4" t="str">
        <f>Baza!PB2</f>
        <v>Smrk1</v>
      </c>
      <c r="S4" t="str">
        <f>Baza!PC2</f>
        <v>Smrk2</v>
      </c>
    </row>
    <row r="5" spans="1:19" x14ac:dyDescent="0.2">
      <c r="B5" t="str">
        <f>Baza!OL3</f>
        <v>µm</v>
      </c>
      <c r="C5" t="str">
        <f>Baza!OM3</f>
        <v>&lt;no unit&gt;</v>
      </c>
      <c r="D5" t="str">
        <f>Baza!ON3</f>
        <v>&lt;no unit&gt;</v>
      </c>
      <c r="E5" t="str">
        <f>Baza!OO3</f>
        <v>µm</v>
      </c>
      <c r="F5" t="str">
        <f>Baza!OP3</f>
        <v>µm</v>
      </c>
      <c r="G5" t="str">
        <f>Baza!OQ3</f>
        <v>µm</v>
      </c>
      <c r="H5" t="str">
        <f>Baza!OR3</f>
        <v>µm</v>
      </c>
      <c r="I5" t="str">
        <f>Baza!OS3</f>
        <v>mm³/mm²</v>
      </c>
      <c r="J5" t="str">
        <f>Baza!OT3</f>
        <v>mm³/mm²</v>
      </c>
      <c r="K5" t="str">
        <f>Baza!OU3</f>
        <v>mm³/mm²</v>
      </c>
      <c r="L5" t="str">
        <f>Baza!OV3</f>
        <v>mm³/mm²</v>
      </c>
      <c r="M5" t="str">
        <f>Baza!OW3</f>
        <v>mm³/mm²</v>
      </c>
      <c r="N5" t="str">
        <f>Baza!OX3</f>
        <v>mm³/mm²</v>
      </c>
      <c r="O5" t="str">
        <f>Baza!OY3</f>
        <v>µm</v>
      </c>
      <c r="P5" t="str">
        <f>Baza!OZ3</f>
        <v>µm</v>
      </c>
      <c r="Q5" t="str">
        <f>Baza!PA3</f>
        <v>µm</v>
      </c>
      <c r="R5" t="str">
        <f>Baza!PB3</f>
        <v>%</v>
      </c>
      <c r="S5" t="str">
        <f>Baza!PC3</f>
        <v>%</v>
      </c>
    </row>
    <row r="6" spans="1:19" x14ac:dyDescent="0.2">
      <c r="A6" s="1" t="s">
        <v>245</v>
      </c>
      <c r="B6">
        <f>Baza!OL4</f>
        <v>1.7150504099999999</v>
      </c>
      <c r="C6">
        <f>Baza!OM4</f>
        <v>-0.35834951339999999</v>
      </c>
      <c r="D6">
        <f>Baza!ON4</f>
        <v>3.0243641050000001</v>
      </c>
      <c r="E6">
        <f>Baza!OO4</f>
        <v>5.9749590000000001</v>
      </c>
      <c r="F6">
        <f>Baza!OP4</f>
        <v>7.4571959999999997</v>
      </c>
      <c r="G6">
        <f>Baza!OQ4</f>
        <v>13.432155</v>
      </c>
      <c r="H6">
        <f>Baza!OR4</f>
        <v>1.370190008</v>
      </c>
      <c r="I6" s="2">
        <f>Baza!OS4</f>
        <v>6.1003072800000002E-5</v>
      </c>
      <c r="J6">
        <f>Baza!OT4</f>
        <v>2.2015505879999999E-3</v>
      </c>
      <c r="K6" s="2">
        <f>Baza!OU4</f>
        <v>6.1003072800000002E-5</v>
      </c>
      <c r="L6">
        <f>Baza!OV4</f>
        <v>1.5777679780000001E-3</v>
      </c>
      <c r="M6">
        <f>Baza!OW4</f>
        <v>1.9796630219999999E-3</v>
      </c>
      <c r="N6">
        <f>Baza!OX4</f>
        <v>2.21887566E-4</v>
      </c>
      <c r="O6">
        <f>Baza!OY4</f>
        <v>4.3719339550000003</v>
      </c>
      <c r="P6">
        <f>Baza!OZ4</f>
        <v>1.1457787100000001</v>
      </c>
      <c r="Q6">
        <f>Baza!PA4</f>
        <v>1.987914016</v>
      </c>
      <c r="R6">
        <f>Baza!PB4</f>
        <v>8.2626237430000007</v>
      </c>
      <c r="S6">
        <f>Baza!PC4</f>
        <v>88.152903809999998</v>
      </c>
    </row>
    <row r="7" spans="1:19" x14ac:dyDescent="0.2">
      <c r="A7" s="1" t="s">
        <v>246</v>
      </c>
      <c r="B7">
        <f>Baza!OL5</f>
        <v>1.7852291060000001</v>
      </c>
      <c r="C7">
        <f>Baza!OM5</f>
        <v>-0.35179667170000001</v>
      </c>
      <c r="D7">
        <f>Baza!ON5</f>
        <v>3.0411743470000001</v>
      </c>
      <c r="E7">
        <f>Baza!OO5</f>
        <v>6.0126189999999999</v>
      </c>
      <c r="F7">
        <f>Baza!OP5</f>
        <v>7.8591150000000001</v>
      </c>
      <c r="G7">
        <f>Baza!OQ5</f>
        <v>13.871734</v>
      </c>
      <c r="H7">
        <f>Baza!OR5</f>
        <v>1.4252243680000001</v>
      </c>
      <c r="I7" s="2">
        <f>Baza!OS5</f>
        <v>6.3774737709999997E-5</v>
      </c>
      <c r="J7">
        <f>Baza!OT5</f>
        <v>2.300058062E-3</v>
      </c>
      <c r="K7" s="2">
        <f>Baza!OU5</f>
        <v>6.3774737709999997E-5</v>
      </c>
      <c r="L7">
        <f>Baza!OV5</f>
        <v>1.636641339E-3</v>
      </c>
      <c r="M7">
        <f>Baza!OW5</f>
        <v>2.069585661E-3</v>
      </c>
      <c r="N7">
        <f>Baza!OX5</f>
        <v>2.3047240109999999E-4</v>
      </c>
      <c r="O7">
        <f>Baza!OY5</f>
        <v>4.5548772169999996</v>
      </c>
      <c r="P7">
        <f>Baza!OZ5</f>
        <v>1.204368664</v>
      </c>
      <c r="Q7">
        <f>Baza!PA5</f>
        <v>2.0674852119999998</v>
      </c>
      <c r="R7">
        <f>Baza!PB5</f>
        <v>8.4433721689999999</v>
      </c>
      <c r="S7">
        <f>Baza!PC5</f>
        <v>88.351054410000003</v>
      </c>
    </row>
    <row r="8" spans="1:19" x14ac:dyDescent="0.2">
      <c r="A8" s="1" t="s">
        <v>247</v>
      </c>
      <c r="B8">
        <f>Baza!OL6</f>
        <v>1.854752524</v>
      </c>
      <c r="C8">
        <f>Baza!OM6</f>
        <v>-0.39014919460000003</v>
      </c>
      <c r="D8">
        <f>Baza!ON6</f>
        <v>3.109959806</v>
      </c>
      <c r="E8">
        <f>Baza!OO6</f>
        <v>6.1269289999999996</v>
      </c>
      <c r="F8">
        <f>Baza!OP6</f>
        <v>8.3902719999999995</v>
      </c>
      <c r="G8">
        <f>Baza!OQ6</f>
        <v>14.517201</v>
      </c>
      <c r="H8">
        <f>Baza!OR6</f>
        <v>1.478606863</v>
      </c>
      <c r="I8" s="2">
        <f>Baza!OS6</f>
        <v>6.4848323520000001E-5</v>
      </c>
      <c r="J8">
        <f>Baza!OT6</f>
        <v>2.3764282450000002E-3</v>
      </c>
      <c r="K8" s="2">
        <f>Baza!OU6</f>
        <v>6.4848323520000001E-5</v>
      </c>
      <c r="L8">
        <f>Baza!OV6</f>
        <v>1.696403641E-3</v>
      </c>
      <c r="M8">
        <f>Baza!OW6</f>
        <v>2.1334793590000001E-3</v>
      </c>
      <c r="N8">
        <f>Baza!OX6</f>
        <v>2.4294888610000001E-4</v>
      </c>
      <c r="O8">
        <f>Baza!OY6</f>
        <v>4.7152196369999997</v>
      </c>
      <c r="P8">
        <f>Baza!OZ6</f>
        <v>1.217466208</v>
      </c>
      <c r="Q8">
        <f>Baza!PA6</f>
        <v>2.197714392</v>
      </c>
      <c r="R8">
        <f>Baza!PB6</f>
        <v>8.2670977319999999</v>
      </c>
      <c r="S8">
        <f>Baza!PC6</f>
        <v>88.209329120000007</v>
      </c>
    </row>
    <row r="9" spans="1:19" x14ac:dyDescent="0.2">
      <c r="A9" s="1" t="s">
        <v>248</v>
      </c>
      <c r="B9">
        <f>Baza!OL7</f>
        <v>1.759550135</v>
      </c>
      <c r="C9">
        <f>Baza!OM7</f>
        <v>-0.32970862470000001</v>
      </c>
      <c r="D9">
        <f>Baza!ON7</f>
        <v>3.0418535769999999</v>
      </c>
      <c r="E9">
        <f>Baza!OO7</f>
        <v>7.3330880000000001</v>
      </c>
      <c r="F9">
        <f>Baza!OP7</f>
        <v>7.6873740000000002</v>
      </c>
      <c r="G9">
        <f>Baza!OQ7</f>
        <v>15.020462</v>
      </c>
      <c r="H9">
        <f>Baza!OR7</f>
        <v>1.404803169</v>
      </c>
      <c r="I9" s="2">
        <f>Baza!OS7</f>
        <v>6.4266931470000006E-5</v>
      </c>
      <c r="J9">
        <f>Baza!OT7</f>
        <v>2.2608041540000002E-3</v>
      </c>
      <c r="K9" s="2">
        <f>Baza!OU7</f>
        <v>6.4266931470000006E-5</v>
      </c>
      <c r="L9">
        <f>Baza!OV7</f>
        <v>1.6139725100000001E-3</v>
      </c>
      <c r="M9">
        <f>Baza!OW7</f>
        <v>2.0349794899999999E-3</v>
      </c>
      <c r="N9">
        <f>Baza!OX7</f>
        <v>2.258246643E-4</v>
      </c>
      <c r="O9">
        <f>Baza!OY7</f>
        <v>4.4925920860000002</v>
      </c>
      <c r="P9">
        <f>Baza!OZ7</f>
        <v>1.21891273</v>
      </c>
      <c r="Q9">
        <f>Baza!PA7</f>
        <v>2.0194293980000002</v>
      </c>
      <c r="R9">
        <f>Baza!PB7</f>
        <v>8.3219497740000001</v>
      </c>
      <c r="S9">
        <f>Baza!PC7</f>
        <v>88.343760529999997</v>
      </c>
    </row>
    <row r="10" spans="1:19" x14ac:dyDescent="0.2">
      <c r="A10" s="1" t="s">
        <v>249</v>
      </c>
      <c r="B10">
        <f>Baza!OL8</f>
        <v>1.85031287</v>
      </c>
      <c r="C10">
        <f>Baza!OM8</f>
        <v>-0.3602347823</v>
      </c>
      <c r="D10">
        <f>Baza!ON8</f>
        <v>3.0458895639999999</v>
      </c>
      <c r="E10">
        <f>Baza!OO8</f>
        <v>6.3865230000000004</v>
      </c>
      <c r="F10">
        <f>Baza!OP8</f>
        <v>8.1676889999999993</v>
      </c>
      <c r="G10">
        <f>Baza!OQ8</f>
        <v>14.554212</v>
      </c>
      <c r="H10">
        <f>Baza!OR8</f>
        <v>1.4776980239999999</v>
      </c>
      <c r="I10" s="2">
        <f>Baza!OS8</f>
        <v>6.4934908999999999E-5</v>
      </c>
      <c r="J10">
        <f>Baza!OT8</f>
        <v>2.3841256849999998E-3</v>
      </c>
      <c r="K10" s="2">
        <f>Baza!OU8</f>
        <v>6.4934908999999999E-5</v>
      </c>
      <c r="L10">
        <f>Baza!OV8</f>
        <v>1.6970752799999999E-3</v>
      </c>
      <c r="M10">
        <f>Baza!OW8</f>
        <v>2.1447777200000002E-3</v>
      </c>
      <c r="N10">
        <f>Baza!OX8</f>
        <v>2.3934796430000001E-4</v>
      </c>
      <c r="O10">
        <f>Baza!OY8</f>
        <v>4.7308723700000002</v>
      </c>
      <c r="P10">
        <f>Baza!OZ8</f>
        <v>1.222450496</v>
      </c>
      <c r="Q10">
        <f>Baza!PA8</f>
        <v>2.1504632940000001</v>
      </c>
      <c r="R10">
        <f>Baza!PB8</f>
        <v>8.3617428230000002</v>
      </c>
      <c r="S10">
        <f>Baza!PC8</f>
        <v>88.388917090000007</v>
      </c>
    </row>
    <row r="11" spans="1:19" x14ac:dyDescent="0.2">
      <c r="A11" s="1" t="s">
        <v>250</v>
      </c>
      <c r="B11">
        <f>Baza!OL9</f>
        <v>1.9295243849999999</v>
      </c>
      <c r="C11">
        <f>Baza!OM9</f>
        <v>-0.40253383050000002</v>
      </c>
      <c r="D11">
        <f>Baza!ON9</f>
        <v>3.1233702399999999</v>
      </c>
      <c r="E11">
        <f>Baza!OO9</f>
        <v>6.6062760000000003</v>
      </c>
      <c r="F11">
        <f>Baza!OP9</f>
        <v>9.0811460000000004</v>
      </c>
      <c r="G11">
        <f>Baza!OQ9</f>
        <v>15.687422</v>
      </c>
      <c r="H11">
        <f>Baza!OR9</f>
        <v>1.538372029</v>
      </c>
      <c r="I11" s="2">
        <f>Baza!OS9</f>
        <v>6.6068422400000006E-5</v>
      </c>
      <c r="J11">
        <f>Baza!OT9</f>
        <v>2.471821207E-3</v>
      </c>
      <c r="K11" s="2">
        <f>Baza!OU9</f>
        <v>6.6068422400000006E-5</v>
      </c>
      <c r="L11">
        <f>Baza!OV9</f>
        <v>1.764846887E-3</v>
      </c>
      <c r="M11">
        <f>Baza!OW9</f>
        <v>2.2181651129999998E-3</v>
      </c>
      <c r="N11">
        <f>Baza!OX9</f>
        <v>2.5365609459999998E-4</v>
      </c>
      <c r="O11">
        <f>Baza!OY9</f>
        <v>4.9136357549999996</v>
      </c>
      <c r="P11">
        <f>Baza!OZ9</f>
        <v>1.233114665</v>
      </c>
      <c r="Q11">
        <f>Baza!PA9</f>
        <v>2.3023423589999998</v>
      </c>
      <c r="R11">
        <f>Baza!PB9</f>
        <v>8.1992683619999998</v>
      </c>
      <c r="S11">
        <f>Baza!PC9</f>
        <v>88.253399599999995</v>
      </c>
    </row>
    <row r="12" spans="1:19" x14ac:dyDescent="0.2">
      <c r="A12" s="1" t="s">
        <v>251</v>
      </c>
      <c r="B12">
        <f>Baza!OL10</f>
        <v>1.724496209</v>
      </c>
      <c r="C12">
        <f>Baza!OM10</f>
        <v>-0.3372527313</v>
      </c>
      <c r="D12">
        <f>Baza!ON10</f>
        <v>3.050825702</v>
      </c>
      <c r="E12">
        <f>Baza!OO10</f>
        <v>5.8903990000000004</v>
      </c>
      <c r="F12">
        <f>Baza!OP10</f>
        <v>7.3619339999999998</v>
      </c>
      <c r="G12">
        <f>Baza!OQ10</f>
        <v>13.252333</v>
      </c>
      <c r="H12">
        <f>Baza!OR10</f>
        <v>1.375347425</v>
      </c>
      <c r="I12" s="2">
        <f>Baza!OS10</f>
        <v>6.5335327849999993E-5</v>
      </c>
      <c r="J12">
        <f>Baza!OT10</f>
        <v>2.203339082E-3</v>
      </c>
      <c r="K12" s="2">
        <f>Baza!OU10</f>
        <v>6.5335327849999993E-5</v>
      </c>
      <c r="L12">
        <f>Baza!OV10</f>
        <v>1.5799881479999999E-3</v>
      </c>
      <c r="M12">
        <f>Baza!OW10</f>
        <v>1.9815028520000001E-3</v>
      </c>
      <c r="N12">
        <f>Baza!OX10</f>
        <v>2.2183623080000001E-4</v>
      </c>
      <c r="O12">
        <f>Baza!OY10</f>
        <v>4.3769391669999997</v>
      </c>
      <c r="P12">
        <f>Baza!OZ10</f>
        <v>1.2399827370000001</v>
      </c>
      <c r="Q12">
        <f>Baza!PA10</f>
        <v>1.9918876299999999</v>
      </c>
      <c r="R12">
        <f>Baza!PB10</f>
        <v>8.3040971710000004</v>
      </c>
      <c r="S12">
        <f>Baza!PC10</f>
        <v>88.163798979999996</v>
      </c>
    </row>
    <row r="13" spans="1:19" x14ac:dyDescent="0.2">
      <c r="A13" s="1" t="s">
        <v>252</v>
      </c>
      <c r="B13">
        <f>Baza!OL11</f>
        <v>1.669871761</v>
      </c>
      <c r="C13">
        <f>Baza!OM11</f>
        <v>-0.46416215729999999</v>
      </c>
      <c r="D13">
        <f>Baza!ON11</f>
        <v>3.0688158049999998</v>
      </c>
      <c r="E13">
        <f>Baza!OO11</f>
        <v>5.4911139999999996</v>
      </c>
      <c r="F13">
        <f>Baza!OP11</f>
        <v>7.1671250000000004</v>
      </c>
      <c r="G13">
        <f>Baza!OQ11</f>
        <v>12.658239</v>
      </c>
      <c r="H13">
        <f>Baza!OR11</f>
        <v>1.3382542049999999</v>
      </c>
      <c r="I13" s="2">
        <f>Baza!OS11</f>
        <v>5.310747661E-5</v>
      </c>
      <c r="J13">
        <f>Baza!OT11</f>
        <v>2.0942757889999999E-3</v>
      </c>
      <c r="K13" s="2">
        <f>Baza!OU11</f>
        <v>5.310747661E-5</v>
      </c>
      <c r="L13">
        <f>Baza!OV11</f>
        <v>1.5503641399999999E-3</v>
      </c>
      <c r="M13">
        <f>Baza!OW11</f>
        <v>1.87105786E-3</v>
      </c>
      <c r="N13">
        <f>Baza!OX11</f>
        <v>2.2321792819999999E-4</v>
      </c>
      <c r="O13">
        <f>Baza!OY11</f>
        <v>4.303961266</v>
      </c>
      <c r="P13">
        <f>Baza!OZ11</f>
        <v>0.95286886390000003</v>
      </c>
      <c r="Q13">
        <f>Baza!PA11</f>
        <v>2.000011255</v>
      </c>
      <c r="R13">
        <f>Baza!PB11</f>
        <v>6.8042675470000002</v>
      </c>
      <c r="S13">
        <f>Baza!PC11</f>
        <v>87.757436279999993</v>
      </c>
    </row>
    <row r="14" spans="1:19" x14ac:dyDescent="0.2">
      <c r="A14" s="1" t="s">
        <v>253</v>
      </c>
      <c r="B14">
        <f>Baza!OL12</f>
        <v>1.6823465120000001</v>
      </c>
      <c r="C14">
        <f>Baza!OM12</f>
        <v>-0.51640000630000005</v>
      </c>
      <c r="D14">
        <f>Baza!ON12</f>
        <v>3.1147659879999998</v>
      </c>
      <c r="E14">
        <f>Baza!OO12</f>
        <v>6.2218669999999996</v>
      </c>
      <c r="F14">
        <f>Baza!OP12</f>
        <v>7.225638</v>
      </c>
      <c r="G14">
        <f>Baza!OQ12</f>
        <v>13.447505</v>
      </c>
      <c r="H14">
        <f>Baza!OR12</f>
        <v>1.349901051</v>
      </c>
      <c r="I14" s="2">
        <f>Baza!OS12</f>
        <v>5.0872109089999997E-5</v>
      </c>
      <c r="J14">
        <f>Baza!OT12</f>
        <v>2.082030959E-3</v>
      </c>
      <c r="K14" s="2">
        <f>Baza!OU12</f>
        <v>5.0872109089999997E-5</v>
      </c>
      <c r="L14">
        <f>Baza!OV12</f>
        <v>1.5712799129999999E-3</v>
      </c>
      <c r="M14">
        <f>Baza!OW12</f>
        <v>1.8544880869999999E-3</v>
      </c>
      <c r="N14">
        <f>Baza!OX12</f>
        <v>2.2754287230000001E-4</v>
      </c>
      <c r="O14">
        <f>Baza!OY12</f>
        <v>4.3566161470000004</v>
      </c>
      <c r="P14">
        <f>Baza!OZ12</f>
        <v>0.89088096880000001</v>
      </c>
      <c r="Q14">
        <f>Baza!PA12</f>
        <v>2.0521103969999999</v>
      </c>
      <c r="R14">
        <f>Baza!PB12</f>
        <v>6.0027604349999999</v>
      </c>
      <c r="S14">
        <f>Baza!PC12</f>
        <v>87.571811389999993</v>
      </c>
    </row>
    <row r="15" spans="1:19" x14ac:dyDescent="0.2">
      <c r="A15" s="1" t="s">
        <v>254</v>
      </c>
      <c r="B15">
        <f>Baza!OL13</f>
        <v>1.7826244570000001</v>
      </c>
      <c r="C15">
        <f>Baza!OM13</f>
        <v>-0.34348735670000002</v>
      </c>
      <c r="D15">
        <f>Baza!ON13</f>
        <v>2.955040281</v>
      </c>
      <c r="E15">
        <f>Baza!OO13</f>
        <v>5.7824159999999996</v>
      </c>
      <c r="F15">
        <f>Baza!OP13</f>
        <v>7.3756490000000001</v>
      </c>
      <c r="G15">
        <f>Baza!OQ13</f>
        <v>13.158065000000001</v>
      </c>
      <c r="H15">
        <f>Baza!OR13</f>
        <v>1.4269930609999999</v>
      </c>
      <c r="I15" s="2">
        <f>Baza!OS13</f>
        <v>6.096327239E-5</v>
      </c>
      <c r="J15">
        <f>Baza!OT13</f>
        <v>2.3098551990000001E-3</v>
      </c>
      <c r="K15" s="2">
        <f>Baza!OU13</f>
        <v>6.096327239E-5</v>
      </c>
      <c r="L15">
        <f>Baza!OV13</f>
        <v>1.6452459620000001E-3</v>
      </c>
      <c r="M15">
        <f>Baza!OW13</f>
        <v>2.080689038E-3</v>
      </c>
      <c r="N15">
        <f>Baza!OX13</f>
        <v>2.2916616139999999E-4</v>
      </c>
      <c r="O15">
        <f>Baza!OY13</f>
        <v>4.5739806429999996</v>
      </c>
      <c r="P15">
        <f>Baza!OZ13</f>
        <v>1.142036316</v>
      </c>
      <c r="Q15">
        <f>Baza!PA13</f>
        <v>2.0355474739999999</v>
      </c>
      <c r="R15">
        <f>Baza!PB13</f>
        <v>8.44730867</v>
      </c>
      <c r="S15">
        <f>Baza!PC13</f>
        <v>88.34112236</v>
      </c>
    </row>
    <row r="16" spans="1:19" x14ac:dyDescent="0.2">
      <c r="A16" s="1" t="s">
        <v>255</v>
      </c>
      <c r="B16">
        <f>Baza!OL14</f>
        <v>1.7244464589999999</v>
      </c>
      <c r="C16">
        <f>Baza!OM14</f>
        <v>-0.35284103369999997</v>
      </c>
      <c r="D16">
        <f>Baza!ON14</f>
        <v>2.980131445</v>
      </c>
      <c r="E16">
        <f>Baza!OO14</f>
        <v>5.5217520000000002</v>
      </c>
      <c r="F16">
        <f>Baza!OP14</f>
        <v>7.0677940000000001</v>
      </c>
      <c r="G16">
        <f>Baza!OQ14</f>
        <v>12.589546</v>
      </c>
      <c r="H16">
        <f>Baza!OR14</f>
        <v>1.3795437770000001</v>
      </c>
      <c r="I16" s="2">
        <f>Baza!OS14</f>
        <v>5.9792053670000003E-5</v>
      </c>
      <c r="J16">
        <f>Baza!OT14</f>
        <v>2.2272118700000002E-3</v>
      </c>
      <c r="K16" s="2">
        <f>Baza!OU14</f>
        <v>5.9792053670000003E-5</v>
      </c>
      <c r="L16">
        <f>Baza!OV14</f>
        <v>1.5949009449999999E-3</v>
      </c>
      <c r="M16">
        <f>Baza!OW14</f>
        <v>2.0055560550000001E-3</v>
      </c>
      <c r="N16">
        <f>Baza!OX14</f>
        <v>2.2165581430000001E-4</v>
      </c>
      <c r="O16">
        <f>Baza!OY14</f>
        <v>4.4033741409999996</v>
      </c>
      <c r="P16">
        <f>Baza!OZ14</f>
        <v>1.1185840869999999</v>
      </c>
      <c r="Q16">
        <f>Baza!PA14</f>
        <v>1.975669584</v>
      </c>
      <c r="R16">
        <f>Baza!PB14</f>
        <v>8.4403935570000002</v>
      </c>
      <c r="S16">
        <f>Baza!PC14</f>
        <v>88.148855870000006</v>
      </c>
    </row>
    <row r="17" spans="1:19" x14ac:dyDescent="0.2">
      <c r="A17" s="1" t="s">
        <v>256</v>
      </c>
      <c r="B17">
        <f>Baza!OL15</f>
        <v>1.720070864</v>
      </c>
      <c r="C17">
        <f>Baza!OM15</f>
        <v>-0.35788168120000002</v>
      </c>
      <c r="D17">
        <f>Baza!ON15</f>
        <v>2.9995310480000001</v>
      </c>
      <c r="E17">
        <f>Baza!OO15</f>
        <v>5.43736</v>
      </c>
      <c r="F17">
        <f>Baza!OP15</f>
        <v>7.2169559999999997</v>
      </c>
      <c r="G17">
        <f>Baza!OQ15</f>
        <v>12.654316</v>
      </c>
      <c r="H17">
        <f>Baza!OR15</f>
        <v>1.3754131460000001</v>
      </c>
      <c r="I17" s="2">
        <f>Baza!OS15</f>
        <v>6.0706098560000003E-5</v>
      </c>
      <c r="J17">
        <f>Baza!OT15</f>
        <v>2.2077898949999998E-3</v>
      </c>
      <c r="K17" s="2">
        <f>Baza!OU15</f>
        <v>6.0706098560000003E-5</v>
      </c>
      <c r="L17">
        <f>Baza!OV15</f>
        <v>1.5861789289999999E-3</v>
      </c>
      <c r="M17">
        <f>Baza!OW15</f>
        <v>1.985692071E-3</v>
      </c>
      <c r="N17">
        <f>Baza!OX15</f>
        <v>2.2209782379999999E-4</v>
      </c>
      <c r="O17">
        <f>Baza!OY15</f>
        <v>4.3990401849999996</v>
      </c>
      <c r="P17">
        <f>Baza!OZ15</f>
        <v>1.135375359</v>
      </c>
      <c r="Q17">
        <f>Baza!PA15</f>
        <v>1.9866281480000001</v>
      </c>
      <c r="R17">
        <f>Baza!PB15</f>
        <v>8.1594375600000006</v>
      </c>
      <c r="S17">
        <f>Baza!PC15</f>
        <v>88.174596579999999</v>
      </c>
    </row>
    <row r="18" spans="1:19" x14ac:dyDescent="0.2">
      <c r="A18" s="1" t="s">
        <v>257</v>
      </c>
      <c r="B18">
        <f>Baza!OL16</f>
        <v>1.721824579</v>
      </c>
      <c r="C18">
        <f>Baza!OM16</f>
        <v>-0.35357070810000002</v>
      </c>
      <c r="D18">
        <f>Baza!ON16</f>
        <v>2.9781389190000001</v>
      </c>
      <c r="E18">
        <f>Baza!OO16</f>
        <v>5.5668220000000002</v>
      </c>
      <c r="F18">
        <f>Baza!OP16</f>
        <v>7.029388</v>
      </c>
      <c r="G18">
        <f>Baza!OQ16</f>
        <v>12.596209999999999</v>
      </c>
      <c r="H18">
        <f>Baza!OR16</f>
        <v>1.3777438639999999</v>
      </c>
      <c r="I18" s="2">
        <f>Baza!OS16</f>
        <v>5.936278068E-5</v>
      </c>
      <c r="J18">
        <f>Baza!OT16</f>
        <v>2.2244622589999998E-3</v>
      </c>
      <c r="K18" s="2">
        <f>Baza!OU16</f>
        <v>5.936278068E-5</v>
      </c>
      <c r="L18">
        <f>Baza!OV16</f>
        <v>1.592483663E-3</v>
      </c>
      <c r="M18">
        <f>Baza!OW16</f>
        <v>2.0029833369999998E-3</v>
      </c>
      <c r="N18">
        <f>Baza!OX16</f>
        <v>2.2147892170000001E-4</v>
      </c>
      <c r="O18">
        <f>Baza!OY16</f>
        <v>4.4016164919999996</v>
      </c>
      <c r="P18">
        <f>Baza!OZ16</f>
        <v>1.111408103</v>
      </c>
      <c r="Q18">
        <f>Baza!PA16</f>
        <v>1.9736835349999999</v>
      </c>
      <c r="R18">
        <f>Baza!PB16</f>
        <v>8.3821845970000002</v>
      </c>
      <c r="S18">
        <f>Baza!PC16</f>
        <v>88.158182139999994</v>
      </c>
    </row>
    <row r="19" spans="1:19" x14ac:dyDescent="0.2">
      <c r="A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>
      <selection activeCell="H24" sqref="H24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Baza!PD1</f>
        <v>71</v>
      </c>
      <c r="C3">
        <f>Baza!PE1</f>
        <v>71</v>
      </c>
      <c r="D3">
        <f>Baza!PF1</f>
        <v>71</v>
      </c>
      <c r="E3">
        <f>Baza!PG1</f>
        <v>71</v>
      </c>
      <c r="F3">
        <f>Baza!PH1</f>
        <v>71</v>
      </c>
      <c r="G3">
        <f>Baza!PI1</f>
        <v>71</v>
      </c>
      <c r="H3">
        <f>Baza!PJ1</f>
        <v>71</v>
      </c>
      <c r="I3">
        <f>Baza!PK1</f>
        <v>71</v>
      </c>
      <c r="J3">
        <f>Baza!PL1</f>
        <v>71</v>
      </c>
      <c r="K3">
        <f>Baza!PM1</f>
        <v>71</v>
      </c>
      <c r="L3">
        <f>Baza!PN1</f>
        <v>71</v>
      </c>
      <c r="M3">
        <f>Baza!PO1</f>
        <v>71</v>
      </c>
      <c r="N3">
        <f>Baza!PP1</f>
        <v>71</v>
      </c>
      <c r="O3">
        <f>Baza!PQ1</f>
        <v>71</v>
      </c>
      <c r="P3">
        <f>Baza!PR1</f>
        <v>71</v>
      </c>
      <c r="Q3">
        <f>Baza!PS1</f>
        <v>71</v>
      </c>
      <c r="R3">
        <f>Baza!PT1</f>
        <v>71</v>
      </c>
      <c r="S3">
        <f>Baza!PU1</f>
        <v>71</v>
      </c>
    </row>
    <row r="4" spans="1:19" x14ac:dyDescent="0.2">
      <c r="B4" t="str">
        <f>Baza!PD2</f>
        <v>Sq</v>
      </c>
      <c r="C4" t="str">
        <f>Baza!PE2</f>
        <v>Ssk</v>
      </c>
      <c r="D4" t="str">
        <f>Baza!PF2</f>
        <v>Sku</v>
      </c>
      <c r="E4" t="str">
        <f>Baza!PG2</f>
        <v>Sp</v>
      </c>
      <c r="F4" t="str">
        <f>Baza!PH2</f>
        <v>Sv</v>
      </c>
      <c r="G4" t="str">
        <f>Baza!PI2</f>
        <v>Sz</v>
      </c>
      <c r="H4" t="str">
        <f>Baza!PJ2</f>
        <v>Sa</v>
      </c>
      <c r="I4" t="str">
        <f>Baza!PK2</f>
        <v>Vm (p = 10%)</v>
      </c>
      <c r="J4" t="str">
        <f>Baza!PL2</f>
        <v>Vv (p = 10%)</v>
      </c>
      <c r="K4" t="str">
        <f>Baza!PM2</f>
        <v>Vmp (p = 10%)</v>
      </c>
      <c r="L4" t="str">
        <f>Baza!PN2</f>
        <v>Vmc (p = 10%, q = 80%)</v>
      </c>
      <c r="M4" t="str">
        <f>Baza!PO2</f>
        <v>Vvc (p = 10%, q = 80%)</v>
      </c>
      <c r="N4" t="str">
        <f>Baza!PP2</f>
        <v>Vvv (p = 80%)</v>
      </c>
      <c r="O4" t="str">
        <f>Baza!PQ2</f>
        <v>Sk</v>
      </c>
      <c r="P4" t="str">
        <f>Baza!PR2</f>
        <v>Spk</v>
      </c>
      <c r="Q4" t="str">
        <f>Baza!PS2</f>
        <v>Svk</v>
      </c>
      <c r="R4" t="str">
        <f>Baza!PT2</f>
        <v>Smrk1</v>
      </c>
      <c r="S4" t="str">
        <f>Baza!PU2</f>
        <v>Smrk2</v>
      </c>
    </row>
    <row r="5" spans="1:19" x14ac:dyDescent="0.2">
      <c r="B5" t="str">
        <f>Baza!PD3</f>
        <v>µm</v>
      </c>
      <c r="C5" t="str">
        <f>Baza!PE3</f>
        <v>&lt;no unit&gt;</v>
      </c>
      <c r="D5" t="str">
        <f>Baza!PF3</f>
        <v>&lt;no unit&gt;</v>
      </c>
      <c r="E5" t="str">
        <f>Baza!PG3</f>
        <v>µm</v>
      </c>
      <c r="F5" t="str">
        <f>Baza!PH3</f>
        <v>µm</v>
      </c>
      <c r="G5" t="str">
        <f>Baza!PI3</f>
        <v>µm</v>
      </c>
      <c r="H5" t="str">
        <f>Baza!PJ3</f>
        <v>µm</v>
      </c>
      <c r="I5" t="str">
        <f>Baza!PK3</f>
        <v>mm³/mm²</v>
      </c>
      <c r="J5" t="str">
        <f>Baza!PL3</f>
        <v>mm³/mm²</v>
      </c>
      <c r="K5" t="str">
        <f>Baza!PM3</f>
        <v>mm³/mm²</v>
      </c>
      <c r="L5" t="str">
        <f>Baza!PN3</f>
        <v>mm³/mm²</v>
      </c>
      <c r="M5" t="str">
        <f>Baza!PO3</f>
        <v>mm³/mm²</v>
      </c>
      <c r="N5" t="str">
        <f>Baza!PP3</f>
        <v>mm³/mm²</v>
      </c>
      <c r="O5" t="str">
        <f>Baza!PQ3</f>
        <v>µm</v>
      </c>
      <c r="P5" t="str">
        <f>Baza!PR3</f>
        <v>µm</v>
      </c>
      <c r="Q5" t="str">
        <f>Baza!PS3</f>
        <v>µm</v>
      </c>
      <c r="R5" t="str">
        <f>Baza!PT3</f>
        <v>%</v>
      </c>
      <c r="S5" t="str">
        <f>Baza!PU3</f>
        <v>%</v>
      </c>
    </row>
    <row r="6" spans="1:19" x14ac:dyDescent="0.2">
      <c r="A6" s="1" t="s">
        <v>245</v>
      </c>
      <c r="B6">
        <f>Baza!PD4</f>
        <v>1.6962419909999999</v>
      </c>
      <c r="C6">
        <f>Baza!PE4</f>
        <v>-0.32194400950000002</v>
      </c>
      <c r="D6">
        <f>Baza!PF4</f>
        <v>2.842844259</v>
      </c>
      <c r="E6">
        <f>Baza!PG4</f>
        <v>5.4041550000000003</v>
      </c>
      <c r="F6">
        <f>Baza!PH4</f>
        <v>6.1262879999999997</v>
      </c>
      <c r="G6">
        <f>Baza!PI4</f>
        <v>11.530443</v>
      </c>
      <c r="H6">
        <f>Baza!PJ4</f>
        <v>1.3622274720000001</v>
      </c>
      <c r="I6" s="2">
        <f>Baza!PK4</f>
        <v>5.8889840509999997E-5</v>
      </c>
      <c r="J6">
        <f>Baza!PL4</f>
        <v>2.1933282050000001E-3</v>
      </c>
      <c r="K6" s="2">
        <f>Baza!PM4</f>
        <v>5.8889840509999997E-5</v>
      </c>
      <c r="L6">
        <f>Baza!PN4</f>
        <v>1.5767117649999999E-3</v>
      </c>
      <c r="M6">
        <f>Baza!PO4</f>
        <v>1.9762962350000001E-3</v>
      </c>
      <c r="N6">
        <f>Baza!PP4</f>
        <v>2.170319691E-4</v>
      </c>
      <c r="O6">
        <f>Baza!PQ4</f>
        <v>4.3686525510000003</v>
      </c>
      <c r="P6">
        <f>Baza!PR4</f>
        <v>1.0961497609999999</v>
      </c>
      <c r="Q6">
        <f>Baza!PS4</f>
        <v>1.905627846</v>
      </c>
      <c r="R6">
        <f>Baza!PT4</f>
        <v>8.2208093889999994</v>
      </c>
      <c r="S6">
        <f>Baza!PU4</f>
        <v>88.140802710000003</v>
      </c>
    </row>
    <row r="7" spans="1:19" x14ac:dyDescent="0.2">
      <c r="A7" s="1" t="s">
        <v>246</v>
      </c>
      <c r="B7">
        <f>Baza!PD5</f>
        <v>1.7644737539999999</v>
      </c>
      <c r="C7">
        <f>Baza!PE5</f>
        <v>-0.30466169360000001</v>
      </c>
      <c r="D7">
        <f>Baza!PF5</f>
        <v>2.8308750699999998</v>
      </c>
      <c r="E7">
        <f>Baza!PG5</f>
        <v>5.4363770000000002</v>
      </c>
      <c r="F7">
        <f>Baza!PH5</f>
        <v>6.6320639999999997</v>
      </c>
      <c r="G7">
        <f>Baza!PI5</f>
        <v>12.068441</v>
      </c>
      <c r="H7">
        <f>Baza!PJ5</f>
        <v>1.416710938</v>
      </c>
      <c r="I7" s="2">
        <f>Baza!PK5</f>
        <v>6.1700037570000004E-5</v>
      </c>
      <c r="J7">
        <f>Baza!PL5</f>
        <v>2.2932091960000001E-3</v>
      </c>
      <c r="K7" s="2">
        <f>Baza!PM5</f>
        <v>6.1700037570000004E-5</v>
      </c>
      <c r="L7">
        <f>Baza!PN5</f>
        <v>1.6360469900000001E-3</v>
      </c>
      <c r="M7">
        <f>Baza!PO5</f>
        <v>2.0684830099999998E-3</v>
      </c>
      <c r="N7">
        <f>Baza!PP5</f>
        <v>2.247261859E-4</v>
      </c>
      <c r="O7">
        <f>Baza!PQ5</f>
        <v>4.5522013369999996</v>
      </c>
      <c r="P7">
        <f>Baza!PR5</f>
        <v>1.1564918</v>
      </c>
      <c r="Q7">
        <f>Baza!PS5</f>
        <v>1.9701952199999999</v>
      </c>
      <c r="R7">
        <f>Baza!PT5</f>
        <v>8.4367626690000002</v>
      </c>
      <c r="S7">
        <f>Baza!PU5</f>
        <v>88.34865044</v>
      </c>
    </row>
    <row r="8" spans="1:19" x14ac:dyDescent="0.2">
      <c r="A8" s="1" t="s">
        <v>247</v>
      </c>
      <c r="B8">
        <f>Baza!PD6</f>
        <v>1.830008093</v>
      </c>
      <c r="C8">
        <f>Baza!PE6</f>
        <v>-0.33217808040000002</v>
      </c>
      <c r="D8">
        <f>Baza!PF6</f>
        <v>2.8549167940000002</v>
      </c>
      <c r="E8">
        <f>Baza!PG6</f>
        <v>5.604222</v>
      </c>
      <c r="F8">
        <f>Baza!PH6</f>
        <v>6.9454010000000004</v>
      </c>
      <c r="G8">
        <f>Baza!PI6</f>
        <v>12.549623</v>
      </c>
      <c r="H8">
        <f>Baza!PJ6</f>
        <v>1.4685798109999999</v>
      </c>
      <c r="I8" s="2">
        <f>Baza!PK6</f>
        <v>6.25950347E-5</v>
      </c>
      <c r="J8">
        <f>Baza!PL6</f>
        <v>2.3683744680000002E-3</v>
      </c>
      <c r="K8" s="2">
        <f>Baza!PM6</f>
        <v>6.25950347E-5</v>
      </c>
      <c r="L8">
        <f>Baza!PN6</f>
        <v>1.695805067E-3</v>
      </c>
      <c r="M8">
        <f>Baza!PO6</f>
        <v>2.132435933E-3</v>
      </c>
      <c r="N8">
        <f>Baza!PP6</f>
        <v>2.3593853480000001E-4</v>
      </c>
      <c r="O8">
        <f>Baza!PQ6</f>
        <v>4.7115421130000001</v>
      </c>
      <c r="P8">
        <f>Baza!PR6</f>
        <v>1.163986867</v>
      </c>
      <c r="Q8">
        <f>Baza!PS6</f>
        <v>2.0835825209999999</v>
      </c>
      <c r="R8">
        <f>Baza!PT6</f>
        <v>8.2759060990000002</v>
      </c>
      <c r="S8">
        <f>Baza!PU6</f>
        <v>88.221207590000006</v>
      </c>
    </row>
    <row r="9" spans="1:19" x14ac:dyDescent="0.2">
      <c r="A9" s="1" t="s">
        <v>248</v>
      </c>
      <c r="B9">
        <f>Baza!PD7</f>
        <v>1.7320198950000001</v>
      </c>
      <c r="C9">
        <f>Baza!PE7</f>
        <v>-0.30832921800000002</v>
      </c>
      <c r="D9">
        <f>Baza!PF7</f>
        <v>2.819367862</v>
      </c>
      <c r="E9">
        <f>Baza!PG7</f>
        <v>5.5679819999999998</v>
      </c>
      <c r="F9">
        <f>Baza!PH7</f>
        <v>6.3191850000000001</v>
      </c>
      <c r="G9">
        <f>Baza!PI7</f>
        <v>11.887167</v>
      </c>
      <c r="H9">
        <f>Baza!PJ7</f>
        <v>1.392537033</v>
      </c>
      <c r="I9" s="2">
        <f>Baza!PK7</f>
        <v>5.9796660309999998E-5</v>
      </c>
      <c r="J9">
        <f>Baza!PL7</f>
        <v>2.2482628839999999E-3</v>
      </c>
      <c r="K9" s="2">
        <f>Baza!PM7</f>
        <v>5.9796660309999998E-5</v>
      </c>
      <c r="L9">
        <f>Baza!PN7</f>
        <v>1.611686368E-3</v>
      </c>
      <c r="M9">
        <f>Baza!PO7</f>
        <v>2.0282926320000002E-3</v>
      </c>
      <c r="N9">
        <f>Baza!PP7</f>
        <v>2.1997025149999999E-4</v>
      </c>
      <c r="O9">
        <f>Baza!PQ7</f>
        <v>4.4863272409999997</v>
      </c>
      <c r="P9">
        <f>Baza!PR7</f>
        <v>1.112946496</v>
      </c>
      <c r="Q9">
        <f>Baza!PS7</f>
        <v>1.9219043570000001</v>
      </c>
      <c r="R9">
        <f>Baza!PT7</f>
        <v>8.2492805350000005</v>
      </c>
      <c r="S9">
        <f>Baza!PU7</f>
        <v>88.342200109999993</v>
      </c>
    </row>
    <row r="10" spans="1:19" x14ac:dyDescent="0.2">
      <c r="A10" s="1" t="s">
        <v>249</v>
      </c>
      <c r="B10">
        <f>Baza!PD8</f>
        <v>1.8249486800000001</v>
      </c>
      <c r="C10">
        <f>Baza!PE8</f>
        <v>-0.31171197830000003</v>
      </c>
      <c r="D10">
        <f>Baza!PF8</f>
        <v>2.8138516079999998</v>
      </c>
      <c r="E10">
        <f>Baza!PG8</f>
        <v>5.6473310000000003</v>
      </c>
      <c r="F10">
        <f>Baza!PH8</f>
        <v>6.7336770000000001</v>
      </c>
      <c r="G10">
        <f>Baza!PI8</f>
        <v>12.381008</v>
      </c>
      <c r="H10">
        <f>Baza!PJ8</f>
        <v>1.4670414949999999</v>
      </c>
      <c r="I10" s="2">
        <f>Baza!PK8</f>
        <v>6.2116300089999995E-5</v>
      </c>
      <c r="J10">
        <f>Baza!PL8</f>
        <v>2.3744214740000001E-3</v>
      </c>
      <c r="K10" s="2">
        <f>Baza!PM8</f>
        <v>6.2116300089999995E-5</v>
      </c>
      <c r="L10">
        <f>Baza!PN8</f>
        <v>1.696097365E-3</v>
      </c>
      <c r="M10">
        <f>Baza!PO8</f>
        <v>2.1418906350000001E-3</v>
      </c>
      <c r="N10">
        <f>Baza!PP8</f>
        <v>2.3253083969999999E-4</v>
      </c>
      <c r="O10">
        <f>Baza!PQ8</f>
        <v>4.7280519129999998</v>
      </c>
      <c r="P10">
        <f>Baza!PR8</f>
        <v>1.1563217960000001</v>
      </c>
      <c r="Q10">
        <f>Baza!PS8</f>
        <v>2.0363174480000001</v>
      </c>
      <c r="R10">
        <f>Baza!PT8</f>
        <v>8.3237911590000007</v>
      </c>
      <c r="S10">
        <f>Baza!PU8</f>
        <v>88.393724219999996</v>
      </c>
    </row>
    <row r="11" spans="1:19" x14ac:dyDescent="0.2">
      <c r="A11" s="1" t="s">
        <v>250</v>
      </c>
      <c r="B11">
        <f>Baza!PD9</f>
        <v>1.8997447679999999</v>
      </c>
      <c r="C11">
        <f>Baza!PE9</f>
        <v>-0.34295566669999999</v>
      </c>
      <c r="D11">
        <f>Baza!PF9</f>
        <v>2.8452667429999998</v>
      </c>
      <c r="E11">
        <f>Baza!PG9</f>
        <v>5.7279530000000003</v>
      </c>
      <c r="F11">
        <f>Baza!PH9</f>
        <v>7.257085</v>
      </c>
      <c r="G11">
        <f>Baza!PI9</f>
        <v>12.985037999999999</v>
      </c>
      <c r="H11">
        <f>Baza!PJ9</f>
        <v>1.5260517840000001</v>
      </c>
      <c r="I11" s="2">
        <f>Baza!PK9</f>
        <v>6.3032313990000005E-5</v>
      </c>
      <c r="J11">
        <f>Baza!PL9</f>
        <v>2.4607012729999998E-3</v>
      </c>
      <c r="K11" s="2">
        <f>Baza!PM9</f>
        <v>6.3032313990000005E-5</v>
      </c>
      <c r="L11">
        <f>Baza!PN9</f>
        <v>1.7638139309999999E-3</v>
      </c>
      <c r="M11">
        <f>Baza!PO9</f>
        <v>2.2152250690000001E-3</v>
      </c>
      <c r="N11">
        <f>Baza!PP9</f>
        <v>2.4547620420000001E-4</v>
      </c>
      <c r="O11">
        <f>Baza!PQ9</f>
        <v>4.9103494300000001</v>
      </c>
      <c r="P11">
        <f>Baza!PR9</f>
        <v>1.161433253</v>
      </c>
      <c r="Q11">
        <f>Baza!PS9</f>
        <v>2.1665163550000002</v>
      </c>
      <c r="R11">
        <f>Baza!PT9</f>
        <v>8.1606985400000003</v>
      </c>
      <c r="S11">
        <f>Baza!PU9</f>
        <v>88.25813015</v>
      </c>
    </row>
    <row r="12" spans="1:19" x14ac:dyDescent="0.2">
      <c r="A12" s="1" t="s">
        <v>251</v>
      </c>
      <c r="B12">
        <f>Baza!PD10</f>
        <v>1.7106803310000001</v>
      </c>
      <c r="C12">
        <f>Baza!PE10</f>
        <v>-0.3087061707</v>
      </c>
      <c r="D12">
        <f>Baza!PF10</f>
        <v>2.8920809859999999</v>
      </c>
      <c r="E12">
        <f>Baza!PG10</f>
        <v>5.4798330000000002</v>
      </c>
      <c r="F12">
        <f>Baza!PH10</f>
        <v>6.2210979999999996</v>
      </c>
      <c r="G12">
        <f>Baza!PI10</f>
        <v>11.700931000000001</v>
      </c>
      <c r="H12">
        <f>Baza!PJ10</f>
        <v>1.370081128</v>
      </c>
      <c r="I12" s="2">
        <f>Baza!PK10</f>
        <v>6.3529422949999996E-5</v>
      </c>
      <c r="J12">
        <f>Baza!PL10</f>
        <v>2.1996973649999999E-3</v>
      </c>
      <c r="K12" s="2">
        <f>Baza!PM10</f>
        <v>6.3529422949999996E-5</v>
      </c>
      <c r="L12">
        <f>Baza!PN10</f>
        <v>1.5800066519999999E-3</v>
      </c>
      <c r="M12">
        <f>Baza!PO10</f>
        <v>1.9811943479999998E-3</v>
      </c>
      <c r="N12">
        <f>Baza!PP10</f>
        <v>2.1850301729999999E-4</v>
      </c>
      <c r="O12">
        <f>Baza!PQ10</f>
        <v>4.3760759560000002</v>
      </c>
      <c r="P12">
        <f>Baza!PR10</f>
        <v>1.1966224700000001</v>
      </c>
      <c r="Q12">
        <f>Baza!PS10</f>
        <v>1.934854039</v>
      </c>
      <c r="R12">
        <f>Baza!PT10</f>
        <v>8.3051808640000004</v>
      </c>
      <c r="S12">
        <f>Baza!PU10</f>
        <v>88.156578359999997</v>
      </c>
    </row>
    <row r="13" spans="1:19" x14ac:dyDescent="0.2">
      <c r="A13" s="1" t="s">
        <v>252</v>
      </c>
      <c r="B13">
        <f>Baza!PD11</f>
        <v>1.655863418</v>
      </c>
      <c r="C13">
        <f>Baza!PE11</f>
        <v>-0.42798271409999999</v>
      </c>
      <c r="D13">
        <f>Baza!PF11</f>
        <v>2.8901596170000001</v>
      </c>
      <c r="E13">
        <f>Baza!PG11</f>
        <v>5.1576550000000001</v>
      </c>
      <c r="F13">
        <f>Baza!PH11</f>
        <v>5.9404620000000001</v>
      </c>
      <c r="G13">
        <f>Baza!PI11</f>
        <v>11.098117</v>
      </c>
      <c r="H13">
        <f>Baza!PJ11</f>
        <v>1.3328874900000001</v>
      </c>
      <c r="I13" s="2">
        <f>Baza!PK11</f>
        <v>5.1610230109999999E-5</v>
      </c>
      <c r="J13">
        <f>Baza!PL11</f>
        <v>2.0896305389999999E-3</v>
      </c>
      <c r="K13" s="2">
        <f>Baza!PM11</f>
        <v>5.1610230109999999E-5</v>
      </c>
      <c r="L13">
        <f>Baza!PN11</f>
        <v>1.550379696E-3</v>
      </c>
      <c r="M13">
        <f>Baza!PO11</f>
        <v>1.8700173039999999E-3</v>
      </c>
      <c r="N13">
        <f>Baza!PP11</f>
        <v>2.1961323520000001E-4</v>
      </c>
      <c r="O13">
        <f>Baza!PQ11</f>
        <v>4.3043408809999999</v>
      </c>
      <c r="P13">
        <f>Baza!PR11</f>
        <v>0.91185829730000001</v>
      </c>
      <c r="Q13">
        <f>Baza!PS11</f>
        <v>1.9408443529999999</v>
      </c>
      <c r="R13">
        <f>Baza!PT11</f>
        <v>6.7585159040000002</v>
      </c>
      <c r="S13">
        <f>Baza!PU11</f>
        <v>87.754841420000005</v>
      </c>
    </row>
    <row r="14" spans="1:19" x14ac:dyDescent="0.2">
      <c r="A14" s="1" t="s">
        <v>253</v>
      </c>
      <c r="B14">
        <f>Baza!PD12</f>
        <v>1.6666060739999999</v>
      </c>
      <c r="C14">
        <f>Baza!PE12</f>
        <v>-0.48152536600000001</v>
      </c>
      <c r="D14">
        <f>Baza!PF12</f>
        <v>2.919973095</v>
      </c>
      <c r="E14">
        <f>Baza!PG12</f>
        <v>5.2265430000000004</v>
      </c>
      <c r="F14">
        <f>Baza!PH12</f>
        <v>6.0405610000000003</v>
      </c>
      <c r="G14">
        <f>Baza!PI12</f>
        <v>11.267104</v>
      </c>
      <c r="H14">
        <f>Baza!PJ12</f>
        <v>1.3438244850000001</v>
      </c>
      <c r="I14" s="2">
        <f>Baza!PK12</f>
        <v>4.8849135299999997E-5</v>
      </c>
      <c r="J14">
        <f>Baza!PL12</f>
        <v>2.0765261199999999E-3</v>
      </c>
      <c r="K14" s="2">
        <f>Baza!PM12</f>
        <v>4.8849135299999997E-5</v>
      </c>
      <c r="L14">
        <f>Baza!PN12</f>
        <v>1.5713655590000001E-3</v>
      </c>
      <c r="M14">
        <f>Baza!PO12</f>
        <v>1.852811441E-3</v>
      </c>
      <c r="N14">
        <f>Baza!PP12</f>
        <v>2.237146782E-4</v>
      </c>
      <c r="O14">
        <f>Baza!PQ12</f>
        <v>4.3580002929999999</v>
      </c>
      <c r="P14">
        <f>Baza!PR12</f>
        <v>0.82990826490000003</v>
      </c>
      <c r="Q14">
        <f>Baza!PS12</f>
        <v>1.989029586</v>
      </c>
      <c r="R14">
        <f>Baza!PT12</f>
        <v>5.9237664780000001</v>
      </c>
      <c r="S14">
        <f>Baza!PU12</f>
        <v>87.564576979999998</v>
      </c>
    </row>
    <row r="15" spans="1:19" x14ac:dyDescent="0.2">
      <c r="A15" s="1" t="s">
        <v>254</v>
      </c>
      <c r="B15">
        <f>Baza!PD13</f>
        <v>1.756396482</v>
      </c>
      <c r="C15">
        <f>Baza!PE13</f>
        <v>-0.300932741</v>
      </c>
      <c r="D15">
        <f>Baza!PF13</f>
        <v>2.7798941990000001</v>
      </c>
      <c r="E15">
        <f>Baza!PG13</f>
        <v>5.5860310000000002</v>
      </c>
      <c r="F15">
        <f>Baza!PH13</f>
        <v>6.3019920000000003</v>
      </c>
      <c r="G15">
        <f>Baza!PI13</f>
        <v>11.888023</v>
      </c>
      <c r="H15">
        <f>Baza!PJ13</f>
        <v>1.41409523</v>
      </c>
      <c r="I15" s="2">
        <f>Baza!PK13</f>
        <v>5.8727192130000002E-5</v>
      </c>
      <c r="J15">
        <f>Baza!PL13</f>
        <v>2.2934948099999999E-3</v>
      </c>
      <c r="K15" s="2">
        <f>Baza!PM13</f>
        <v>5.8727192130000002E-5</v>
      </c>
      <c r="L15">
        <f>Baza!PN13</f>
        <v>1.641285629E-3</v>
      </c>
      <c r="M15">
        <f>Baza!PO13</f>
        <v>2.0717523709999999E-3</v>
      </c>
      <c r="N15">
        <f>Baza!PP13</f>
        <v>2.2174243849999999E-4</v>
      </c>
      <c r="O15">
        <f>Baza!PQ13</f>
        <v>4.5635325279999996</v>
      </c>
      <c r="P15">
        <f>Baza!PR13</f>
        <v>1.0901000380000001</v>
      </c>
      <c r="Q15">
        <f>Baza!PS13</f>
        <v>1.920229285</v>
      </c>
      <c r="R15">
        <f>Baza!PT13</f>
        <v>8.3730271829999996</v>
      </c>
      <c r="S15">
        <f>Baza!PU13</f>
        <v>88.372676100000007</v>
      </c>
    </row>
    <row r="16" spans="1:19" x14ac:dyDescent="0.2">
      <c r="A16" s="1" t="s">
        <v>255</v>
      </c>
      <c r="B16">
        <f>Baza!PD14</f>
        <v>1.7035082370000001</v>
      </c>
      <c r="C16">
        <f>Baza!PE14</f>
        <v>-0.31687118339999998</v>
      </c>
      <c r="D16">
        <f>Baza!PF14</f>
        <v>2.815210274</v>
      </c>
      <c r="E16">
        <f>Baza!PG14</f>
        <v>5.4404349999999999</v>
      </c>
      <c r="F16">
        <f>Baza!PH14</f>
        <v>6.0938939999999997</v>
      </c>
      <c r="G16">
        <f>Baza!PI14</f>
        <v>11.534329</v>
      </c>
      <c r="H16">
        <f>Baza!PJ14</f>
        <v>1.369438304</v>
      </c>
      <c r="I16" s="2">
        <f>Baza!PK14</f>
        <v>5.7822310790000001E-5</v>
      </c>
      <c r="J16">
        <f>Baza!PL14</f>
        <v>2.2135039320000001E-3</v>
      </c>
      <c r="K16" s="2">
        <f>Baza!PM14</f>
        <v>5.7822310790000001E-5</v>
      </c>
      <c r="L16">
        <f>Baza!PN14</f>
        <v>1.591772543E-3</v>
      </c>
      <c r="M16">
        <f>Baza!PO14</f>
        <v>1.997079457E-3</v>
      </c>
      <c r="N16">
        <f>Baza!PP14</f>
        <v>2.16424475E-4</v>
      </c>
      <c r="O16">
        <f>Baza!PQ14</f>
        <v>4.3930593389999997</v>
      </c>
      <c r="P16">
        <f>Baza!PR14</f>
        <v>1.074897744</v>
      </c>
      <c r="Q16">
        <f>Baza!PS14</f>
        <v>1.895201382</v>
      </c>
      <c r="R16">
        <f>Baza!PT14</f>
        <v>8.33985135</v>
      </c>
      <c r="S16">
        <f>Baza!PU14</f>
        <v>88.138693320000002</v>
      </c>
    </row>
    <row r="17" spans="1:19" x14ac:dyDescent="0.2">
      <c r="A17" s="1" t="s">
        <v>256</v>
      </c>
      <c r="B17">
        <f>Baza!PD15</f>
        <v>1.701954821</v>
      </c>
      <c r="C17">
        <f>Baza!PE15</f>
        <v>-0.32592968639999997</v>
      </c>
      <c r="D17">
        <f>Baza!PF15</f>
        <v>2.834160926</v>
      </c>
      <c r="E17">
        <f>Baza!PG15</f>
        <v>5.3816430000000004</v>
      </c>
      <c r="F17">
        <f>Baza!PH15</f>
        <v>6.0348040000000003</v>
      </c>
      <c r="G17">
        <f>Baza!PI15</f>
        <v>11.416447</v>
      </c>
      <c r="H17">
        <f>Baza!PJ15</f>
        <v>1.367474925</v>
      </c>
      <c r="I17" s="2">
        <f>Baza!PK15</f>
        <v>5.8408331660000001E-5</v>
      </c>
      <c r="J17">
        <f>Baza!PL15</f>
        <v>2.1995632590000001E-3</v>
      </c>
      <c r="K17" s="2">
        <f>Baza!PM15</f>
        <v>5.8408331660000001E-5</v>
      </c>
      <c r="L17">
        <f>Baza!PN15</f>
        <v>1.584916931E-3</v>
      </c>
      <c r="M17">
        <f>Baza!PO15</f>
        <v>1.9818860690000001E-3</v>
      </c>
      <c r="N17">
        <f>Baza!PP15</f>
        <v>2.176771895E-4</v>
      </c>
      <c r="O17">
        <f>Baza!PQ15</f>
        <v>4.3933882080000002</v>
      </c>
      <c r="P17">
        <f>Baza!PR15</f>
        <v>1.082965873</v>
      </c>
      <c r="Q17">
        <f>Baza!PS15</f>
        <v>1.9137184549999999</v>
      </c>
      <c r="R17">
        <f>Baza!PT15</f>
        <v>8.115550357</v>
      </c>
      <c r="S17">
        <f>Baza!PU15</f>
        <v>88.160518780000004</v>
      </c>
    </row>
    <row r="18" spans="1:19" x14ac:dyDescent="0.2">
      <c r="A18" s="1" t="s">
        <v>257</v>
      </c>
      <c r="B18">
        <f>Baza!PD16</f>
        <v>1.7020718610000001</v>
      </c>
      <c r="C18">
        <f>Baza!PE16</f>
        <v>-0.3193439408</v>
      </c>
      <c r="D18">
        <f>Baza!PF16</f>
        <v>2.8190409719999998</v>
      </c>
      <c r="E18">
        <f>Baza!PG16</f>
        <v>5.4848879999999998</v>
      </c>
      <c r="F18">
        <f>Baza!PH16</f>
        <v>6.0075409999999998</v>
      </c>
      <c r="G18">
        <f>Baza!PI16</f>
        <v>11.492429</v>
      </c>
      <c r="H18">
        <f>Baza!PJ16</f>
        <v>1.3682840439999999</v>
      </c>
      <c r="I18" s="2">
        <f>Baza!PK16</f>
        <v>5.7555817369999999E-5</v>
      </c>
      <c r="J18">
        <f>Baza!PL16</f>
        <v>2.210898159E-3</v>
      </c>
      <c r="K18" s="2">
        <f>Baza!PM16</f>
        <v>5.7555817369999999E-5</v>
      </c>
      <c r="L18">
        <f>Baza!PN16</f>
        <v>1.5894886799999999E-3</v>
      </c>
      <c r="M18">
        <f>Baza!PO16</f>
        <v>1.9943003200000001E-3</v>
      </c>
      <c r="N18">
        <f>Baza!PP16</f>
        <v>2.1659783880000001E-4</v>
      </c>
      <c r="O18">
        <f>Baza!PQ16</f>
        <v>4.3928315390000003</v>
      </c>
      <c r="P18">
        <f>Baza!PR16</f>
        <v>1.069441074</v>
      </c>
      <c r="Q18">
        <f>Baza!PS16</f>
        <v>1.897439834</v>
      </c>
      <c r="R18">
        <f>Baza!PT16</f>
        <v>8.2913613819999998</v>
      </c>
      <c r="S18">
        <f>Baza!PU16</f>
        <v>88.157074429999994</v>
      </c>
    </row>
    <row r="19" spans="1:19" x14ac:dyDescent="0.2">
      <c r="A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5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5" x14ac:dyDescent="0.2">
      <c r="C2">
        <v>4</v>
      </c>
      <c r="D2">
        <f>C2+4</f>
        <v>8</v>
      </c>
      <c r="E2">
        <f t="shared" ref="E2:O2" si="1">D2+4</f>
        <v>12</v>
      </c>
      <c r="F2">
        <f t="shared" si="1"/>
        <v>16</v>
      </c>
      <c r="G2">
        <f t="shared" si="1"/>
        <v>20</v>
      </c>
      <c r="H2">
        <f t="shared" si="1"/>
        <v>24</v>
      </c>
      <c r="I2">
        <f t="shared" si="1"/>
        <v>28</v>
      </c>
      <c r="J2">
        <f t="shared" si="1"/>
        <v>32</v>
      </c>
      <c r="K2">
        <f t="shared" si="1"/>
        <v>36</v>
      </c>
      <c r="L2">
        <f t="shared" si="1"/>
        <v>40</v>
      </c>
      <c r="M2">
        <f t="shared" si="1"/>
        <v>44</v>
      </c>
      <c r="N2">
        <f t="shared" si="1"/>
        <v>48</v>
      </c>
      <c r="O2">
        <f t="shared" si="1"/>
        <v>52</v>
      </c>
    </row>
    <row r="3" spans="1:15" x14ac:dyDescent="0.2">
      <c r="B3">
        <f>Baza!R1</f>
        <v>40</v>
      </c>
      <c r="C3">
        <f ca="1">OFFSET(Baza!$R1,0,C$2)</f>
        <v>40</v>
      </c>
      <c r="D3">
        <f ca="1">OFFSET(Baza!$R1,0,D$2)</f>
        <v>40</v>
      </c>
      <c r="E3">
        <f ca="1">OFFSET(Baza!$R1,0,E$2)</f>
        <v>40</v>
      </c>
      <c r="F3">
        <f ca="1">OFFSET(Baza!$R1,0,F$2)</f>
        <v>40</v>
      </c>
      <c r="G3">
        <f ca="1">OFFSET(Baza!$R1,0,G$2)</f>
        <v>40</v>
      </c>
      <c r="H3">
        <f ca="1">OFFSET(Baza!$R1,0,H$2)</f>
        <v>40</v>
      </c>
      <c r="I3">
        <f ca="1">OFFSET(Baza!$R1,0,I$2)</f>
        <v>40</v>
      </c>
      <c r="J3">
        <f ca="1">OFFSET(Baza!$R1,0,J$2)</f>
        <v>40</v>
      </c>
      <c r="K3">
        <f ca="1">OFFSET(Baza!$R1,0,K$2)</f>
        <v>40</v>
      </c>
      <c r="L3">
        <f ca="1">OFFSET(Baza!$R1,0,L$2)</f>
        <v>40</v>
      </c>
      <c r="M3">
        <f ca="1">OFFSET(Baza!$R1,0,M$2)</f>
        <v>40</v>
      </c>
      <c r="N3">
        <f ca="1">OFFSET(Baza!$R1,0,N$2)</f>
        <v>40</v>
      </c>
      <c r="O3">
        <f ca="1">OFFSET(Baza!$R1,0,O$2)</f>
        <v>40</v>
      </c>
    </row>
    <row r="4" spans="1:15" x14ac:dyDescent="0.2">
      <c r="B4" t="str">
        <f>Baza!R2</f>
        <v>Pp[Średnia]</v>
      </c>
      <c r="C4" t="str">
        <f ca="1">OFFSET(Baza!$R2,0,C$2)</f>
        <v>Pv[Średnia]</v>
      </c>
      <c r="D4" t="str">
        <f ca="1">OFFSET(Baza!$R2,0,D$2)</f>
        <v>Pz[Średnia]</v>
      </c>
      <c r="E4" t="str">
        <f ca="1">OFFSET(Baza!$R2,0,E$2)</f>
        <v>Pc (Brak uśredniania (pojedyncza wartość))[Średnia]</v>
      </c>
      <c r="F4" t="str">
        <f ca="1">OFFSET(Baza!$R2,0,F$2)</f>
        <v>Pt[Średnia]</v>
      </c>
      <c r="G4" t="str">
        <f ca="1">OFFSET(Baza!$R2,0,G$2)</f>
        <v>Pa[Średnia]</v>
      </c>
      <c r="H4" t="str">
        <f ca="1">OFFSET(Baza!$R2,0,H$2)</f>
        <v>Pq[Średnia]</v>
      </c>
      <c r="I4" t="str">
        <f ca="1">OFFSET(Baza!$R2,0,I$2)</f>
        <v>Psk[Średnia]</v>
      </c>
      <c r="J4" t="str">
        <f ca="1">OFFSET(Baza!$R2,0,J$2)</f>
        <v>Pku[Średnia]</v>
      </c>
      <c r="K4" t="str">
        <f ca="1">OFFSET(Baza!$R2,0,K$2)</f>
        <v>PSm (Brak uśredniania (pojedyncza wartość))[Średnia]</v>
      </c>
      <c r="L4" t="str">
        <f ca="1">OFFSET(Baza!$R2,0,L$2)</f>
        <v>Pdq[Średnia]</v>
      </c>
      <c r="M4" t="str">
        <f ca="1">OFFSET(Baza!$R2,0,M$2)</f>
        <v>Pmr (c = 1 µm poniżej najwyższego wypiętrzenia)[Średnia]</v>
      </c>
      <c r="N4" t="str">
        <f ca="1">OFFSET(Baza!$R2,0,N$2)</f>
        <v>Pdc (p = 20%, q = 80%)[Średnia]</v>
      </c>
      <c r="O4" t="str">
        <f ca="1">OFFSET(Baza!$R2,0,O$2)</f>
        <v>PPc (Brak uśredniania (pojedyncza wartość))[Średnia]</v>
      </c>
    </row>
    <row r="5" spans="1:15" x14ac:dyDescent="0.2">
      <c r="B5" t="str">
        <f>Baza!R3</f>
        <v>µm</v>
      </c>
      <c r="C5" t="str">
        <f ca="1">OFFSET(Baza!$R3,0,C$2)</f>
        <v>µm</v>
      </c>
      <c r="D5" t="str">
        <f ca="1">OFFSET(Baza!$R3,0,D$2)</f>
        <v>µm</v>
      </c>
      <c r="E5" t="str">
        <f ca="1">OFFSET(Baza!$R3,0,E$2)</f>
        <v>µm</v>
      </c>
      <c r="F5" t="str">
        <f ca="1">OFFSET(Baza!$R3,0,F$2)</f>
        <v>µm</v>
      </c>
      <c r="G5" t="str">
        <f ca="1">OFFSET(Baza!$R3,0,G$2)</f>
        <v>µm</v>
      </c>
      <c r="H5" t="str">
        <f ca="1">OFFSET(Baza!$R3,0,H$2)</f>
        <v>µm</v>
      </c>
      <c r="I5" t="str">
        <f ca="1">OFFSET(Baza!$R3,0,I$2)</f>
        <v>&lt;no unit&gt;</v>
      </c>
      <c r="J5" t="str">
        <f ca="1">OFFSET(Baza!$R3,0,J$2)</f>
        <v>&lt;no unit&gt;</v>
      </c>
      <c r="K5" t="str">
        <f ca="1">OFFSET(Baza!$R3,0,K$2)</f>
        <v>mm</v>
      </c>
      <c r="L5" t="str">
        <f ca="1">OFFSET(Baza!$R3,0,L$2)</f>
        <v>°</v>
      </c>
      <c r="M5" t="str">
        <f ca="1">OFFSET(Baza!$R3,0,M$2)</f>
        <v>%</v>
      </c>
      <c r="N5" t="str">
        <f ca="1">OFFSET(Baza!$R3,0,N$2)</f>
        <v>µm</v>
      </c>
      <c r="O5" t="str">
        <f ca="1">OFFSET(Baza!$R3,0,O$2)</f>
        <v>1/cm</v>
      </c>
    </row>
    <row r="6" spans="1:15" x14ac:dyDescent="0.2">
      <c r="A6" s="1" t="s">
        <v>245</v>
      </c>
      <c r="B6">
        <f>Baza!R4</f>
        <v>4.0615356770000002</v>
      </c>
      <c r="C6">
        <f ca="1">OFFSET(Baza!$R4,0,C$2)</f>
        <v>5.1039729119999997</v>
      </c>
      <c r="D6">
        <f ca="1">OFFSET(Baza!$R4,0,D$2)</f>
        <v>9.1655085889999999</v>
      </c>
      <c r="E6">
        <f ca="1">OFFSET(Baza!$R4,0,E$2)</f>
        <v>2.6242575000000001</v>
      </c>
      <c r="F6">
        <f ca="1">OFFSET(Baza!$R4,0,F$2)</f>
        <v>9.1655085889999999</v>
      </c>
      <c r="G6">
        <f ca="1">OFFSET(Baza!$R4,0,G$2)</f>
        <v>1.48158203</v>
      </c>
      <c r="H6">
        <f ca="1">OFFSET(Baza!$R4,0,H$2)</f>
        <v>1.8218759410000001</v>
      </c>
      <c r="I6">
        <f ca="1">OFFSET(Baza!$R4,0,I$2)</f>
        <v>-0.21600118539999999</v>
      </c>
      <c r="J6">
        <f ca="1">OFFSET(Baza!$R4,0,J$2)</f>
        <v>2.7188979309999999</v>
      </c>
      <c r="K6">
        <f ca="1">OFFSET(Baza!$R4,0,K$2)</f>
        <v>0.21674872119999999</v>
      </c>
      <c r="L6">
        <f ca="1">OFFSET(Baza!$R4,0,L$2)</f>
        <v>6.4105064760000001</v>
      </c>
      <c r="M6">
        <f ca="1">OFFSET(Baza!$R4,0,M$2)</f>
        <v>4.1125910279999998</v>
      </c>
      <c r="N6">
        <f ca="1">OFFSET(Baza!$R4,0,N$2)</f>
        <v>3.2088389570000002</v>
      </c>
      <c r="O6">
        <f ca="1">OFFSET(Baza!$R4,0,O$2)</f>
        <v>51.059918609999997</v>
      </c>
    </row>
    <row r="7" spans="1:15" x14ac:dyDescent="0.2">
      <c r="A7" s="1" t="s">
        <v>246</v>
      </c>
      <c r="B7">
        <f>Baza!R5</f>
        <v>4.1420261969999999</v>
      </c>
      <c r="C7">
        <f ca="1">OFFSET(Baza!$R5,0,C$2)</f>
        <v>5.7146024610000001</v>
      </c>
      <c r="D7">
        <f ca="1">OFFSET(Baza!$R5,0,D$2)</f>
        <v>9.856628658</v>
      </c>
      <c r="E7">
        <f ca="1">OFFSET(Baza!$R5,0,E$2)</f>
        <v>2.8363811069999998</v>
      </c>
      <c r="F7">
        <f ca="1">OFFSET(Baza!$R5,0,F$2)</f>
        <v>9.856628658</v>
      </c>
      <c r="G7">
        <f ca="1">OFFSET(Baza!$R5,0,G$2)</f>
        <v>1.5392394540000001</v>
      </c>
      <c r="H7">
        <f ca="1">OFFSET(Baza!$R5,0,H$2)</f>
        <v>1.8973069979999999</v>
      </c>
      <c r="I7">
        <f ca="1">OFFSET(Baza!$R5,0,I$2)</f>
        <v>-0.22343085870000001</v>
      </c>
      <c r="J7">
        <f ca="1">OFFSET(Baza!$R5,0,J$2)</f>
        <v>2.7634358899999998</v>
      </c>
      <c r="K7">
        <f ca="1">OFFSET(Baza!$R5,0,K$2)</f>
        <v>0.2012967829</v>
      </c>
      <c r="L7">
        <f ca="1">OFFSET(Baza!$R5,0,L$2)</f>
        <v>6.8719346410000002</v>
      </c>
      <c r="M7">
        <f ca="1">OFFSET(Baza!$R5,0,M$2)</f>
        <v>4.5407749080000004</v>
      </c>
      <c r="N7">
        <f ca="1">OFFSET(Baza!$R5,0,N$2)</f>
        <v>3.3272292810000001</v>
      </c>
      <c r="O7">
        <f ca="1">OFFSET(Baza!$R5,0,O$2)</f>
        <v>54.160623260000001</v>
      </c>
    </row>
    <row r="8" spans="1:15" x14ac:dyDescent="0.2">
      <c r="A8" s="1" t="s">
        <v>247</v>
      </c>
      <c r="B8">
        <f>Baza!R6</f>
        <v>4.2939965549999997</v>
      </c>
      <c r="C8">
        <f ca="1">OFFSET(Baza!$R6,0,C$2)</f>
        <v>6.2516594349999997</v>
      </c>
      <c r="D8">
        <f ca="1">OFFSET(Baza!$R6,0,D$2)</f>
        <v>10.54565599</v>
      </c>
      <c r="E8">
        <f ca="1">OFFSET(Baza!$R6,0,E$2)</f>
        <v>3.0019590909999998</v>
      </c>
      <c r="F8">
        <f ca="1">OFFSET(Baza!$R6,0,F$2)</f>
        <v>10.54565599</v>
      </c>
      <c r="G8">
        <f ca="1">OFFSET(Baza!$R6,0,G$2)</f>
        <v>1.5933827309999999</v>
      </c>
      <c r="H8">
        <f ca="1">OFFSET(Baza!$R6,0,H$2)</f>
        <v>1.9672595319999999</v>
      </c>
      <c r="I8">
        <f ca="1">OFFSET(Baza!$R6,0,I$2)</f>
        <v>-0.2657974971</v>
      </c>
      <c r="J8">
        <f ca="1">OFFSET(Baza!$R6,0,J$2)</f>
        <v>2.8243852230000002</v>
      </c>
      <c r="K8">
        <f ca="1">OFFSET(Baza!$R6,0,K$2)</f>
        <v>0.18264962840000001</v>
      </c>
      <c r="L8">
        <f ca="1">OFFSET(Baza!$R6,0,L$2)</f>
        <v>7.695006813</v>
      </c>
      <c r="M8">
        <f ca="1">OFFSET(Baza!$R6,0,M$2)</f>
        <v>3.9994246919999998</v>
      </c>
      <c r="N8">
        <f ca="1">OFFSET(Baza!$R6,0,N$2)</f>
        <v>3.4335041510000002</v>
      </c>
      <c r="O8">
        <f ca="1">OFFSET(Baza!$R6,0,O$2)</f>
        <v>59.75229435</v>
      </c>
    </row>
    <row r="9" spans="1:15" x14ac:dyDescent="0.2">
      <c r="A9" s="1" t="s">
        <v>248</v>
      </c>
      <c r="B9">
        <f>Baza!R7</f>
        <v>4.7858014029999998</v>
      </c>
      <c r="C9">
        <f ca="1">OFFSET(Baza!$R7,0,C$2)</f>
        <v>5.500976766</v>
      </c>
      <c r="D9">
        <f ca="1">OFFSET(Baza!$R7,0,D$2)</f>
        <v>10.28677817</v>
      </c>
      <c r="E9">
        <f ca="1">OFFSET(Baza!$R7,0,E$2)</f>
        <v>2.7334565729999998</v>
      </c>
      <c r="F9">
        <f ca="1">OFFSET(Baza!$R7,0,F$2)</f>
        <v>10.28677817</v>
      </c>
      <c r="G9">
        <f ca="1">OFFSET(Baza!$R7,0,G$2)</f>
        <v>1.515502189</v>
      </c>
      <c r="H9">
        <f ca="1">OFFSET(Baza!$R7,0,H$2)</f>
        <v>1.8666522249999999</v>
      </c>
      <c r="I9">
        <f ca="1">OFFSET(Baza!$R7,0,I$2)</f>
        <v>-0.20530740319999999</v>
      </c>
      <c r="J9">
        <f ca="1">OFFSET(Baza!$R7,0,J$2)</f>
        <v>2.7507369549999998</v>
      </c>
      <c r="K9">
        <f ca="1">OFFSET(Baza!$R7,0,K$2)</f>
        <v>0.14106553890000001</v>
      </c>
      <c r="L9">
        <f ca="1">OFFSET(Baza!$R7,0,L$2)</f>
        <v>10.184238349999999</v>
      </c>
      <c r="M9">
        <f ca="1">OFFSET(Baza!$R7,0,M$2)</f>
        <v>1.39170851</v>
      </c>
      <c r="N9">
        <f ca="1">OFFSET(Baza!$R7,0,N$2)</f>
        <v>3.2778160980000002</v>
      </c>
      <c r="O9">
        <f ca="1">OFFSET(Baza!$R7,0,O$2)</f>
        <v>77.274262930000006</v>
      </c>
    </row>
    <row r="10" spans="1:15" x14ac:dyDescent="0.2">
      <c r="A10" s="1" t="s">
        <v>249</v>
      </c>
      <c r="B10">
        <f>Baza!R8</f>
        <v>4.4788729829999996</v>
      </c>
      <c r="C10">
        <f ca="1">OFFSET(Baza!$R8,0,C$2)</f>
        <v>6.285451932</v>
      </c>
      <c r="D10">
        <f ca="1">OFFSET(Baza!$R8,0,D$2)</f>
        <v>10.76432492</v>
      </c>
      <c r="E10">
        <f ca="1">OFFSET(Baza!$R8,0,E$2)</f>
        <v>2.9758351410000001</v>
      </c>
      <c r="F10">
        <f ca="1">OFFSET(Baza!$R8,0,F$2)</f>
        <v>10.76432492</v>
      </c>
      <c r="G10">
        <f ca="1">OFFSET(Baza!$R8,0,G$2)</f>
        <v>1.5926525010000001</v>
      </c>
      <c r="H10">
        <f ca="1">OFFSET(Baza!$R8,0,H$2)</f>
        <v>1.96645903</v>
      </c>
      <c r="I10">
        <f ca="1">OFFSET(Baza!$R8,0,I$2)</f>
        <v>-0.24608106369999999</v>
      </c>
      <c r="J10">
        <f ca="1">OFFSET(Baza!$R8,0,J$2)</f>
        <v>2.8016253510000002</v>
      </c>
      <c r="K10">
        <f ca="1">OFFSET(Baza!$R8,0,K$2)</f>
        <v>0.1326885635</v>
      </c>
      <c r="L10">
        <f ca="1">OFFSET(Baza!$R8,0,L$2)</f>
        <v>10.70379587</v>
      </c>
      <c r="M10">
        <f ca="1">OFFSET(Baza!$R8,0,M$2)</f>
        <v>2.8461222770000001</v>
      </c>
      <c r="N10">
        <f ca="1">OFFSET(Baza!$R8,0,N$2)</f>
        <v>3.4395031559999998</v>
      </c>
      <c r="O10">
        <f ca="1">OFFSET(Baza!$R8,0,O$2)</f>
        <v>81.505270120000006</v>
      </c>
    </row>
    <row r="11" spans="1:15" x14ac:dyDescent="0.2">
      <c r="A11" s="1" t="s">
        <v>250</v>
      </c>
      <c r="B11">
        <f>Baza!R9</f>
        <v>4.6530489880000001</v>
      </c>
      <c r="C11">
        <f ca="1">OFFSET(Baza!$R9,0,C$2)</f>
        <v>6.9150051269999997</v>
      </c>
      <c r="D11">
        <f ca="1">OFFSET(Baza!$R9,0,D$2)</f>
        <v>11.568054119999999</v>
      </c>
      <c r="E11">
        <f ca="1">OFFSET(Baza!$R9,0,E$2)</f>
        <v>3.207373466</v>
      </c>
      <c r="F11">
        <f ca="1">OFFSET(Baza!$R9,0,F$2)</f>
        <v>11.568054119999999</v>
      </c>
      <c r="G11">
        <f ca="1">OFFSET(Baza!$R9,0,G$2)</f>
        <v>1.654415797</v>
      </c>
      <c r="H11">
        <f ca="1">OFFSET(Baza!$R9,0,H$2)</f>
        <v>2.0466658889999998</v>
      </c>
      <c r="I11">
        <f ca="1">OFFSET(Baza!$R9,0,I$2)</f>
        <v>-0.29434102699999998</v>
      </c>
      <c r="J11">
        <f ca="1">OFFSET(Baza!$R9,0,J$2)</f>
        <v>2.8814753940000002</v>
      </c>
      <c r="K11">
        <f ca="1">OFFSET(Baza!$R9,0,K$2)</f>
        <v>0.12083204760000001</v>
      </c>
      <c r="L11">
        <f ca="1">OFFSET(Baza!$R9,0,L$2)</f>
        <v>12.06106333</v>
      </c>
      <c r="M11">
        <f ca="1">OFFSET(Baza!$R9,0,M$2)</f>
        <v>2.4276558920000002</v>
      </c>
      <c r="N11">
        <f ca="1">OFFSET(Baza!$R9,0,N$2)</f>
        <v>3.5595664</v>
      </c>
      <c r="O11">
        <f ca="1">OFFSET(Baza!$R9,0,O$2)</f>
        <v>88.618397389999998</v>
      </c>
    </row>
    <row r="12" spans="1:15" x14ac:dyDescent="0.2">
      <c r="A12" s="1" t="s">
        <v>251</v>
      </c>
      <c r="B12">
        <f>Baza!R10</f>
        <v>4.1899000529999997</v>
      </c>
      <c r="C12">
        <f ca="1">OFFSET(Baza!$R10,0,C$2)</f>
        <v>5.0712009829999998</v>
      </c>
      <c r="D12">
        <f ca="1">OFFSET(Baza!$R10,0,D$2)</f>
        <v>9.2611010369999995</v>
      </c>
      <c r="E12">
        <f ca="1">OFFSET(Baza!$R10,0,E$2)</f>
        <v>2.8176206490000002</v>
      </c>
      <c r="F12">
        <f ca="1">OFFSET(Baza!$R10,0,F$2)</f>
        <v>9.2611010369999995</v>
      </c>
      <c r="G12">
        <f ca="1">OFFSET(Baza!$R10,0,G$2)</f>
        <v>1.493444606</v>
      </c>
      <c r="H12">
        <f ca="1">OFFSET(Baza!$R10,0,H$2)</f>
        <v>1.840794907</v>
      </c>
      <c r="I12">
        <f ca="1">OFFSET(Baza!$R10,0,I$2)</f>
        <v>-0.2157866863</v>
      </c>
      <c r="J12">
        <f ca="1">OFFSET(Baza!$R10,0,J$2)</f>
        <v>2.7742620530000002</v>
      </c>
      <c r="K12">
        <f ca="1">OFFSET(Baza!$R10,0,K$2)</f>
        <v>0.26174719159999998</v>
      </c>
      <c r="L12">
        <f ca="1">OFFSET(Baza!$R10,0,L$2)</f>
        <v>4.4422817710000002</v>
      </c>
      <c r="M12">
        <f ca="1">OFFSET(Baza!$R10,0,M$2)</f>
        <v>3.53810124</v>
      </c>
      <c r="N12">
        <f ca="1">OFFSET(Baza!$R10,0,N$2)</f>
        <v>3.2132683599999998</v>
      </c>
      <c r="O12">
        <f ca="1">OFFSET(Baza!$R10,0,O$2)</f>
        <v>42.378796510000001</v>
      </c>
    </row>
    <row r="13" spans="1:15" x14ac:dyDescent="0.2">
      <c r="A13" s="1" t="s">
        <v>252</v>
      </c>
      <c r="B13">
        <f>Baza!R11</f>
        <v>3.6561586570000002</v>
      </c>
      <c r="C13">
        <f ca="1">OFFSET(Baza!$R11,0,C$2)</f>
        <v>4.7920653910000004</v>
      </c>
      <c r="D13">
        <f ca="1">OFFSET(Baza!$R11,0,D$2)</f>
        <v>8.4482240470000001</v>
      </c>
      <c r="E13">
        <f ca="1">OFFSET(Baza!$R11,0,E$2)</f>
        <v>2.8139282460000001</v>
      </c>
      <c r="F13">
        <f ca="1">OFFSET(Baza!$R11,0,F$2)</f>
        <v>8.4482240470000001</v>
      </c>
      <c r="G13">
        <f ca="1">OFFSET(Baza!$R11,0,G$2)</f>
        <v>1.4427507580000001</v>
      </c>
      <c r="H13">
        <f ca="1">OFFSET(Baza!$R11,0,H$2)</f>
        <v>1.7678597110000001</v>
      </c>
      <c r="I13">
        <f ca="1">OFFSET(Baza!$R11,0,I$2)</f>
        <v>-0.31721197299999998</v>
      </c>
      <c r="J13">
        <f ca="1">OFFSET(Baza!$R11,0,J$2)</f>
        <v>2.7160188289999998</v>
      </c>
      <c r="K13">
        <f ca="1">OFFSET(Baza!$R11,0,K$2)</f>
        <v>0.32592695319999998</v>
      </c>
      <c r="L13">
        <f ca="1">OFFSET(Baza!$R11,0,L$2)</f>
        <v>3.7054285519999999</v>
      </c>
      <c r="M13">
        <f ca="1">OFFSET(Baza!$R11,0,M$2)</f>
        <v>6.0489603770000002</v>
      </c>
      <c r="N13">
        <f ca="1">OFFSET(Baza!$R11,0,N$2)</f>
        <v>3.1541835310000002</v>
      </c>
      <c r="O13">
        <f ca="1">OFFSET(Baza!$R11,0,O$2)</f>
        <v>34.671805159999998</v>
      </c>
    </row>
    <row r="14" spans="1:15" x14ac:dyDescent="0.2">
      <c r="A14" s="1" t="s">
        <v>253</v>
      </c>
      <c r="B14">
        <f>Baza!R12</f>
        <v>3.8574188270000001</v>
      </c>
      <c r="C14">
        <f ca="1">OFFSET(Baza!$R12,0,C$2)</f>
        <v>5.0027771840000002</v>
      </c>
      <c r="D14">
        <f ca="1">OFFSET(Baza!$R12,0,D$2)</f>
        <v>8.8601960109999993</v>
      </c>
      <c r="E14">
        <f ca="1">OFFSET(Baza!$R12,0,E$2)</f>
        <v>2.8552110970000002</v>
      </c>
      <c r="F14">
        <f ca="1">OFFSET(Baza!$R12,0,F$2)</f>
        <v>8.8601960109999993</v>
      </c>
      <c r="G14">
        <f ca="1">OFFSET(Baza!$R12,0,G$2)</f>
        <v>1.45221852</v>
      </c>
      <c r="H14">
        <f ca="1">OFFSET(Baza!$R12,0,H$2)</f>
        <v>1.779040121</v>
      </c>
      <c r="I14">
        <f ca="1">OFFSET(Baza!$R12,0,I$2)</f>
        <v>-0.38255810330000001</v>
      </c>
      <c r="J14">
        <f ca="1">OFFSET(Baza!$R12,0,J$2)</f>
        <v>2.7595101130000002</v>
      </c>
      <c r="K14">
        <f ca="1">OFFSET(Baza!$R12,0,K$2)</f>
        <v>0.26781978000000001</v>
      </c>
      <c r="L14">
        <f ca="1">OFFSET(Baza!$R12,0,L$2)</f>
        <v>4.3269895009999999</v>
      </c>
      <c r="M14">
        <f ca="1">OFFSET(Baza!$R12,0,M$2)</f>
        <v>3.498234434</v>
      </c>
      <c r="N14">
        <f ca="1">OFFSET(Baza!$R12,0,N$2)</f>
        <v>3.1811998199999998</v>
      </c>
      <c r="O14">
        <f ca="1">OFFSET(Baza!$R12,0,O$2)</f>
        <v>41.466073659999999</v>
      </c>
    </row>
    <row r="15" spans="1:15" x14ac:dyDescent="0.2">
      <c r="A15" s="1" t="s">
        <v>254</v>
      </c>
      <c r="B15">
        <f>Baza!R13</f>
        <v>4.0494063699999998</v>
      </c>
      <c r="C15">
        <f ca="1">OFFSET(Baza!$R13,0,C$2)</f>
        <v>5.1105728150000003</v>
      </c>
      <c r="D15">
        <f ca="1">OFFSET(Baza!$R13,0,D$2)</f>
        <v>9.1599791840000009</v>
      </c>
      <c r="E15">
        <f ca="1">OFFSET(Baza!$R13,0,E$2)</f>
        <v>2.9937221730000001</v>
      </c>
      <c r="F15">
        <f ca="1">OFFSET(Baza!$R13,0,F$2)</f>
        <v>9.1599791840000009</v>
      </c>
      <c r="G15">
        <f ca="1">OFFSET(Baza!$R13,0,G$2)</f>
        <v>1.538417771</v>
      </c>
      <c r="H15">
        <f ca="1">OFFSET(Baza!$R13,0,H$2)</f>
        <v>1.887862009</v>
      </c>
      <c r="I15">
        <f ca="1">OFFSET(Baza!$R13,0,I$2)</f>
        <v>-0.19649495019999999</v>
      </c>
      <c r="J15">
        <f ca="1">OFFSET(Baza!$R13,0,J$2)</f>
        <v>2.6605687159999998</v>
      </c>
      <c r="K15">
        <f ca="1">OFFSET(Baza!$R13,0,K$2)</f>
        <v>0.2053539342</v>
      </c>
      <c r="L15">
        <f ca="1">OFFSET(Baza!$R13,0,L$2)</f>
        <v>11.00480997</v>
      </c>
      <c r="M15">
        <f ca="1">OFFSET(Baza!$R13,0,M$2)</f>
        <v>4.9687647180000001</v>
      </c>
      <c r="N15">
        <f ca="1">OFFSET(Baza!$R13,0,N$2)</f>
        <v>3.3494943730000002</v>
      </c>
      <c r="O15">
        <f ca="1">OFFSET(Baza!$R13,0,O$2)</f>
        <v>53.045535460000004</v>
      </c>
    </row>
    <row r="16" spans="1:15" x14ac:dyDescent="0.2">
      <c r="A16" s="1" t="s">
        <v>255</v>
      </c>
      <c r="B16">
        <f>Baza!R14</f>
        <v>3.7404131089999999</v>
      </c>
      <c r="C16">
        <f ca="1">OFFSET(Baza!$R14,0,C$2)</f>
        <v>4.6088507910000001</v>
      </c>
      <c r="D16">
        <f ca="1">OFFSET(Baza!$R14,0,D$2)</f>
        <v>8.3492639000000004</v>
      </c>
      <c r="E16">
        <f ca="1">OFFSET(Baza!$R14,0,E$2)</f>
        <v>3.4873557069999999</v>
      </c>
      <c r="F16">
        <f ca="1">OFFSET(Baza!$R14,0,F$2)</f>
        <v>8.3492639000000004</v>
      </c>
      <c r="G16">
        <f ca="1">OFFSET(Baza!$R14,0,G$2)</f>
        <v>1.4856527049999999</v>
      </c>
      <c r="H16">
        <f ca="1">OFFSET(Baza!$R14,0,H$2)</f>
        <v>1.8247410230000001</v>
      </c>
      <c r="I16">
        <f ca="1">OFFSET(Baza!$R14,0,I$2)</f>
        <v>-0.21325554799999999</v>
      </c>
      <c r="J16">
        <f ca="1">OFFSET(Baza!$R14,0,J$2)</f>
        <v>2.6809086369999999</v>
      </c>
      <c r="K16">
        <f ca="1">OFFSET(Baza!$R14,0,K$2)</f>
        <v>0.46087167530000001</v>
      </c>
      <c r="L16">
        <f ca="1">OFFSET(Baza!$R14,0,L$2)</f>
        <v>6.8405474589999997</v>
      </c>
      <c r="M16">
        <f ca="1">OFFSET(Baza!$R14,0,M$2)</f>
        <v>7.7077363439999997</v>
      </c>
      <c r="N16">
        <f ca="1">OFFSET(Baza!$R14,0,N$2)</f>
        <v>3.2271006610000001</v>
      </c>
      <c r="O16">
        <f ca="1">OFFSET(Baza!$R14,0,O$2)</f>
        <v>24.468870500000001</v>
      </c>
    </row>
    <row r="17" spans="1:15" x14ac:dyDescent="0.2">
      <c r="A17" s="1" t="s">
        <v>256</v>
      </c>
      <c r="B17">
        <f>Baza!R15</f>
        <v>3.900811987</v>
      </c>
      <c r="C17">
        <f ca="1">OFFSET(Baza!$R15,0,C$2)</f>
        <v>4.7020194130000004</v>
      </c>
      <c r="D17">
        <f ca="1">OFFSET(Baza!$R15,0,D$2)</f>
        <v>8.6028313999999995</v>
      </c>
      <c r="E17">
        <f ca="1">OFFSET(Baza!$R15,0,E$2)</f>
        <v>3.2511274530000001</v>
      </c>
      <c r="F17">
        <f ca="1">OFFSET(Baza!$R15,0,F$2)</f>
        <v>8.6028313999999995</v>
      </c>
      <c r="G17">
        <f ca="1">OFFSET(Baza!$R15,0,G$2)</f>
        <v>1.480927602</v>
      </c>
      <c r="H17">
        <f ca="1">OFFSET(Baza!$R15,0,H$2)</f>
        <v>1.8199904259999999</v>
      </c>
      <c r="I17">
        <f ca="1">OFFSET(Baza!$R15,0,I$2)</f>
        <v>-0.21573586910000001</v>
      </c>
      <c r="J17">
        <f ca="1">OFFSET(Baza!$R15,0,J$2)</f>
        <v>2.702972355</v>
      </c>
      <c r="K17">
        <f ca="1">OFFSET(Baza!$R15,0,K$2)</f>
        <v>0.41194616119999999</v>
      </c>
      <c r="L17">
        <f ca="1">OFFSET(Baza!$R15,0,L$2)</f>
        <v>6.1840419410000003</v>
      </c>
      <c r="M17">
        <f ca="1">OFFSET(Baza!$R15,0,M$2)</f>
        <v>5.6342012739999996</v>
      </c>
      <c r="N17">
        <f ca="1">OFFSET(Baza!$R15,0,N$2)</f>
        <v>3.2080741430000002</v>
      </c>
      <c r="O17">
        <f ca="1">OFFSET(Baza!$R15,0,O$2)</f>
        <v>27.039954300000002</v>
      </c>
    </row>
    <row r="18" spans="1:15" x14ac:dyDescent="0.2">
      <c r="A18" s="1" t="s">
        <v>257</v>
      </c>
      <c r="B18">
        <f>Baza!R16</f>
        <v>3.741614754</v>
      </c>
      <c r="C18">
        <f ca="1">OFFSET(Baza!$R16,0,C$2)</f>
        <v>4.595126262</v>
      </c>
      <c r="D18">
        <f ca="1">OFFSET(Baza!$R16,0,D$2)</f>
        <v>8.3367410159999995</v>
      </c>
      <c r="E18">
        <f ca="1">OFFSET(Baza!$R16,0,E$2)</f>
        <v>3.5254881450000002</v>
      </c>
      <c r="F18">
        <f ca="1">OFFSET(Baza!$R16,0,F$2)</f>
        <v>8.3367410159999995</v>
      </c>
      <c r="G18">
        <f ca="1">OFFSET(Baza!$R16,0,G$2)</f>
        <v>1.4831545610000001</v>
      </c>
      <c r="H18">
        <f ca="1">OFFSET(Baza!$R16,0,H$2)</f>
        <v>1.820871466</v>
      </c>
      <c r="I18">
        <f ca="1">OFFSET(Baza!$R16,0,I$2)</f>
        <v>-0.2126629816</v>
      </c>
      <c r="J18">
        <f ca="1">OFFSET(Baza!$R16,0,J$2)</f>
        <v>2.6757559519999998</v>
      </c>
      <c r="K18">
        <f ca="1">OFFSET(Baza!$R16,0,K$2)</f>
        <v>0.46848024849999997</v>
      </c>
      <c r="L18">
        <f ca="1">OFFSET(Baza!$R16,0,L$2)</f>
        <v>6.7342114290000001</v>
      </c>
      <c r="M18">
        <f ca="1">OFFSET(Baza!$R16,0,M$2)</f>
        <v>7.5777174</v>
      </c>
      <c r="N18">
        <f ca="1">OFFSET(Baza!$R16,0,N$2)</f>
        <v>3.2234367449999999</v>
      </c>
      <c r="O18">
        <f ca="1">OFFSET(Baza!$R16,0,O$2)</f>
        <v>23.514000200000002</v>
      </c>
    </row>
    <row r="19" spans="1:15" x14ac:dyDescent="0.2">
      <c r="A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2" width="14.5" bestFit="1" customWidth="1"/>
    <col min="3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6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6" x14ac:dyDescent="0.2">
      <c r="B2" s="3" t="s">
        <v>258</v>
      </c>
      <c r="C2" s="3">
        <v>4</v>
      </c>
      <c r="D2" s="3">
        <f>C2+4</f>
        <v>8</v>
      </c>
      <c r="E2" s="3">
        <f t="shared" ref="E2:P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</row>
    <row r="3" spans="1:16" x14ac:dyDescent="0.2">
      <c r="B3">
        <f>Baza!BV1</f>
        <v>41</v>
      </c>
      <c r="C3">
        <f ca="1">OFFSET(Baza!$BV1,0,C$2)</f>
        <v>41</v>
      </c>
      <c r="D3">
        <f ca="1">OFFSET(Baza!$BV1,0,D$2)</f>
        <v>41</v>
      </c>
      <c r="E3">
        <f ca="1">OFFSET(Baza!$BV1,0,E$2)</f>
        <v>41</v>
      </c>
      <c r="F3">
        <f ca="1">OFFSET(Baza!$BV1,0,F$2)</f>
        <v>41</v>
      </c>
      <c r="G3">
        <f ca="1">OFFSET(Baza!$BV1,0,G$2)</f>
        <v>41</v>
      </c>
      <c r="H3">
        <f ca="1">OFFSET(Baza!$BV1,0,H$2)</f>
        <v>41</v>
      </c>
      <c r="I3">
        <f ca="1">OFFSET(Baza!$BV1,0,I$2)</f>
        <v>41</v>
      </c>
      <c r="J3">
        <f ca="1">OFFSET(Baza!$BV1,0,J$2)</f>
        <v>41</v>
      </c>
      <c r="K3">
        <f ca="1">OFFSET(Baza!$BV1,0,K$2)</f>
        <v>41</v>
      </c>
      <c r="L3">
        <f ca="1">OFFSET(Baza!$BV1,0,L$2)</f>
        <v>41</v>
      </c>
      <c r="M3">
        <f ca="1">OFFSET(Baza!$BV1,0,M$2)</f>
        <v>41</v>
      </c>
      <c r="N3">
        <f ca="1">OFFSET(Baza!$BV1,0,N$2)</f>
        <v>41</v>
      </c>
      <c r="O3">
        <f ca="1">OFFSET(Baza!$BV1,0,O$2)</f>
        <v>41</v>
      </c>
    </row>
    <row r="4" spans="1:16" x14ac:dyDescent="0.2">
      <c r="B4" t="str">
        <f>Baza!BV2</f>
        <v>Pp[Średnia]</v>
      </c>
      <c r="C4" t="str">
        <f ca="1">OFFSET(Baza!$BV2,0,C$2)</f>
        <v>Pv[Średnia]</v>
      </c>
      <c r="D4" t="str">
        <f ca="1">OFFSET(Baza!$BV2,0,D$2)</f>
        <v>Pz[Średnia]</v>
      </c>
      <c r="E4" t="str">
        <f ca="1">OFFSET(Baza!$BV2,0,E$2)</f>
        <v>Pc (Brak uśredniania (pojedyncza wartość))[Średnia]</v>
      </c>
      <c r="F4" t="str">
        <f ca="1">OFFSET(Baza!$BV2,0,F$2)</f>
        <v>Pt[Średnia]</v>
      </c>
      <c r="G4" t="str">
        <f ca="1">OFFSET(Baza!$BV2,0,G$2)</f>
        <v>Pa[Średnia]</v>
      </c>
      <c r="H4" t="str">
        <f ca="1">OFFSET(Baza!$BV2,0,H$2)</f>
        <v>Pq[Średnia]</v>
      </c>
      <c r="I4" t="str">
        <f ca="1">OFFSET(Baza!$BV2,0,I$2)</f>
        <v>Psk[Średnia]</v>
      </c>
      <c r="J4" t="str">
        <f ca="1">OFFSET(Baza!$BV2,0,J$2)</f>
        <v>Pku[Średnia]</v>
      </c>
      <c r="K4" t="str">
        <f ca="1">OFFSET(Baza!$BV2,0,K$2)</f>
        <v>PSm (Brak uśredniania (pojedyncza wartość))[Średnia]</v>
      </c>
      <c r="L4" t="str">
        <f ca="1">OFFSET(Baza!$BV2,0,L$2)</f>
        <v>Pdq[Średnia]</v>
      </c>
      <c r="M4" t="str">
        <f ca="1">OFFSET(Baza!$BV2,0,M$2)</f>
        <v>Pmr (c = 1 µm poniżej najwyższego wypiętrzenia)[Średnia]</v>
      </c>
      <c r="N4" t="str">
        <f ca="1">OFFSET(Baza!$BV2,0,N$2)</f>
        <v>Pdc (p = 20%, q = 80%)[Średnia]</v>
      </c>
      <c r="O4" t="str">
        <f ca="1">OFFSET(Baza!$BV2,0,O$2)</f>
        <v>PPc (Brak uśredniania (pojedyncza wartość))[Średnia]</v>
      </c>
    </row>
    <row r="5" spans="1:16" x14ac:dyDescent="0.2">
      <c r="B5" t="str">
        <f>Baza!BV3</f>
        <v>µm</v>
      </c>
      <c r="C5" t="str">
        <f ca="1">OFFSET(Baza!$BV3,0,C$2)</f>
        <v>µm</v>
      </c>
      <c r="D5" t="str">
        <f ca="1">OFFSET(Baza!$BV3,0,D$2)</f>
        <v>µm</v>
      </c>
      <c r="E5" t="str">
        <f ca="1">OFFSET(Baza!$BV3,0,E$2)</f>
        <v>µm</v>
      </c>
      <c r="F5" t="str">
        <f ca="1">OFFSET(Baza!$BV3,0,F$2)</f>
        <v>µm</v>
      </c>
      <c r="G5" t="str">
        <f ca="1">OFFSET(Baza!$BV3,0,G$2)</f>
        <v>µm</v>
      </c>
      <c r="H5" t="str">
        <f ca="1">OFFSET(Baza!$BV3,0,H$2)</f>
        <v>µm</v>
      </c>
      <c r="I5" t="str">
        <f ca="1">OFFSET(Baza!$BV3,0,I$2)</f>
        <v>&lt;no unit&gt;</v>
      </c>
      <c r="J5" t="str">
        <f ca="1">OFFSET(Baza!$BV3,0,J$2)</f>
        <v>&lt;no unit&gt;</v>
      </c>
      <c r="K5" t="str">
        <f ca="1">OFFSET(Baza!$BV3,0,K$2)</f>
        <v>mm</v>
      </c>
      <c r="L5" t="str">
        <f ca="1">OFFSET(Baza!$BV3,0,L$2)</f>
        <v>°</v>
      </c>
      <c r="M5" t="str">
        <f ca="1">OFFSET(Baza!$BV3,0,M$2)</f>
        <v>%</v>
      </c>
      <c r="N5" t="str">
        <f ca="1">OFFSET(Baza!$BV3,0,N$2)</f>
        <v>µm</v>
      </c>
      <c r="O5" t="str">
        <f ca="1">OFFSET(Baza!$BV3,0,O$2)</f>
        <v>1/cm</v>
      </c>
    </row>
    <row r="6" spans="1:16" x14ac:dyDescent="0.2">
      <c r="A6" s="1" t="s">
        <v>245</v>
      </c>
      <c r="B6">
        <f>Baza!BV4</f>
        <v>3.7062505309999998</v>
      </c>
      <c r="C6">
        <f ca="1">OFFSET(Baza!$BV4,0,C$2)</f>
        <v>4.7812698999999999</v>
      </c>
      <c r="D6">
        <f ca="1">OFFSET(Baza!$BV4,0,D$2)</f>
        <v>8.4875204320000002</v>
      </c>
      <c r="E6">
        <f ca="1">OFFSET(Baza!$BV4,0,E$2)</f>
        <v>2.5237055900000001</v>
      </c>
      <c r="F6">
        <f ca="1">OFFSET(Baza!$BV4,0,F$2)</f>
        <v>8.4875204320000002</v>
      </c>
      <c r="G6">
        <f ca="1">OFFSET(Baza!$BV4,0,G$2)</f>
        <v>1.4732144300000001</v>
      </c>
      <c r="H6">
        <f ca="1">OFFSET(Baza!$BV4,0,H$2)</f>
        <v>1.8045790349999999</v>
      </c>
      <c r="I6">
        <f ca="1">OFFSET(Baza!$BV4,0,I$2)</f>
        <v>-0.20281466910000001</v>
      </c>
      <c r="J6">
        <f ca="1">OFFSET(Baza!$BV4,0,J$2)</f>
        <v>2.6394706920000002</v>
      </c>
      <c r="K6">
        <f ca="1">OFFSET(Baza!$BV4,0,K$2)</f>
        <v>0.20925283389999999</v>
      </c>
      <c r="L6">
        <f ca="1">OFFSET(Baza!$BV4,0,L$2)</f>
        <v>6.3872658659999999</v>
      </c>
      <c r="M6">
        <f ca="1">OFFSET(Baza!$BV4,0,M$2)</f>
        <v>7.46174173</v>
      </c>
      <c r="N6">
        <f ca="1">OFFSET(Baza!$BV4,0,N$2)</f>
        <v>3.207660261</v>
      </c>
      <c r="O6">
        <f ca="1">OFFSET(Baza!$BV4,0,O$2)</f>
        <v>52.744253030000003</v>
      </c>
    </row>
    <row r="7" spans="1:16" x14ac:dyDescent="0.2">
      <c r="A7" s="1" t="s">
        <v>246</v>
      </c>
      <c r="B7">
        <f>Baza!BV5</f>
        <v>3.8568604729999998</v>
      </c>
      <c r="C7">
        <f ca="1">OFFSET(Baza!$BV5,0,C$2)</f>
        <v>5.1170169960000003</v>
      </c>
      <c r="D7">
        <f ca="1">OFFSET(Baza!$BV5,0,D$2)</f>
        <v>8.9738774679999995</v>
      </c>
      <c r="E7">
        <f ca="1">OFFSET(Baza!$BV5,0,E$2)</f>
        <v>2.7097542959999998</v>
      </c>
      <c r="F7">
        <f ca="1">OFFSET(Baza!$BV5,0,F$2)</f>
        <v>8.9738774679999995</v>
      </c>
      <c r="G7">
        <f ca="1">OFFSET(Baza!$BV5,0,G$2)</f>
        <v>1.5301573049999999</v>
      </c>
      <c r="H7">
        <f ca="1">OFFSET(Baza!$BV5,0,H$2)</f>
        <v>1.877635495</v>
      </c>
      <c r="I7">
        <f ca="1">OFFSET(Baza!$BV5,0,I$2)</f>
        <v>-0.1982733257</v>
      </c>
      <c r="J7">
        <f ca="1">OFFSET(Baza!$BV5,0,J$2)</f>
        <v>2.649444366</v>
      </c>
      <c r="K7">
        <f ca="1">OFFSET(Baza!$BV5,0,K$2)</f>
        <v>0.19233507289999999</v>
      </c>
      <c r="L7">
        <f ca="1">OFFSET(Baza!$BV5,0,L$2)</f>
        <v>6.8410141409999996</v>
      </c>
      <c r="M7">
        <f ca="1">OFFSET(Baza!$BV5,0,M$2)</f>
        <v>7.1145546700000004</v>
      </c>
      <c r="N7">
        <f ca="1">OFFSET(Baza!$BV5,0,N$2)</f>
        <v>3.3258154559999999</v>
      </c>
      <c r="O7">
        <f ca="1">OFFSET(Baza!$BV5,0,O$2)</f>
        <v>56.528697059999999</v>
      </c>
    </row>
    <row r="8" spans="1:16" x14ac:dyDescent="0.2">
      <c r="A8" s="1" t="s">
        <v>247</v>
      </c>
      <c r="B8">
        <f>Baza!BV6</f>
        <v>3.9710088080000001</v>
      </c>
      <c r="C8">
        <f ca="1">OFFSET(Baza!$BV6,0,C$2)</f>
        <v>5.466347807</v>
      </c>
      <c r="D8">
        <f ca="1">OFFSET(Baza!$BV6,0,D$2)</f>
        <v>9.4373566160000006</v>
      </c>
      <c r="E8">
        <f ca="1">OFFSET(Baza!$BV6,0,E$2)</f>
        <v>2.8649188130000001</v>
      </c>
      <c r="F8">
        <f ca="1">OFFSET(Baza!$BV6,0,F$2)</f>
        <v>9.4373566160000006</v>
      </c>
      <c r="G8">
        <f ca="1">OFFSET(Baza!$BV6,0,G$2)</f>
        <v>1.5825288559999999</v>
      </c>
      <c r="H8">
        <f ca="1">OFFSET(Baza!$BV6,0,H$2)</f>
        <v>1.9433456549999999</v>
      </c>
      <c r="I8">
        <f ca="1">OFFSET(Baza!$BV6,0,I$2)</f>
        <v>-0.2317443622</v>
      </c>
      <c r="J8">
        <f ca="1">OFFSET(Baza!$BV6,0,J$2)</f>
        <v>2.6746253640000002</v>
      </c>
      <c r="K8">
        <f ca="1">OFFSET(Baza!$BV6,0,K$2)</f>
        <v>0.174444031</v>
      </c>
      <c r="L8">
        <f ca="1">OFFSET(Baza!$BV6,0,L$2)</f>
        <v>7.6402974669999999</v>
      </c>
      <c r="M8">
        <f ca="1">OFFSET(Baza!$BV6,0,M$2)</f>
        <v>6.7231576159999999</v>
      </c>
      <c r="N8">
        <f ca="1">OFFSET(Baza!$BV6,0,N$2)</f>
        <v>3.4315906470000002</v>
      </c>
      <c r="O8">
        <f ca="1">OFFSET(Baza!$BV6,0,O$2)</f>
        <v>62.214787680000001</v>
      </c>
    </row>
    <row r="9" spans="1:16" x14ac:dyDescent="0.2">
      <c r="A9" s="1" t="s">
        <v>248</v>
      </c>
      <c r="B9">
        <f>Baza!BV7</f>
        <v>3.8738845949999998</v>
      </c>
      <c r="C9">
        <f ca="1">OFFSET(Baza!$BV7,0,C$2)</f>
        <v>5.0406649359999998</v>
      </c>
      <c r="D9">
        <f ca="1">OFFSET(Baza!$BV7,0,D$2)</f>
        <v>8.9145495320000006</v>
      </c>
      <c r="E9">
        <f ca="1">OFFSET(Baza!$BV7,0,E$2)</f>
        <v>2.5701758610000001</v>
      </c>
      <c r="F9">
        <f ca="1">OFFSET(Baza!$BV7,0,F$2)</f>
        <v>8.9145495320000006</v>
      </c>
      <c r="G9">
        <f ca="1">OFFSET(Baza!$BV7,0,G$2)</f>
        <v>1.5023659229999999</v>
      </c>
      <c r="H9">
        <f ca="1">OFFSET(Baza!$BV7,0,H$2)</f>
        <v>1.8403910370000001</v>
      </c>
      <c r="I9">
        <f ca="1">OFFSET(Baza!$BV7,0,I$2)</f>
        <v>-0.2028903987</v>
      </c>
      <c r="J9">
        <f ca="1">OFFSET(Baza!$BV7,0,J$2)</f>
        <v>2.6348082480000001</v>
      </c>
      <c r="K9">
        <f ca="1">OFFSET(Baza!$BV7,0,K$2)</f>
        <v>0.13281402549999999</v>
      </c>
      <c r="L9">
        <f ca="1">OFFSET(Baza!$BV7,0,L$2)</f>
        <v>9.893173891</v>
      </c>
      <c r="M9">
        <f ca="1">OFFSET(Baza!$BV7,0,M$2)</f>
        <v>6.1636167860000004</v>
      </c>
      <c r="N9">
        <f ca="1">OFFSET(Baza!$BV7,0,N$2)</f>
        <v>3.2731350410000002</v>
      </c>
      <c r="O9">
        <f ca="1">OFFSET(Baza!$BV7,0,O$2)</f>
        <v>81.785649340000006</v>
      </c>
    </row>
    <row r="10" spans="1:16" x14ac:dyDescent="0.2">
      <c r="A10" s="1" t="s">
        <v>249</v>
      </c>
      <c r="B10">
        <f>Baza!BV8</f>
        <v>4.0154252389999998</v>
      </c>
      <c r="C10">
        <f ca="1">OFFSET(Baza!$BV8,0,C$2)</f>
        <v>5.4775200819999998</v>
      </c>
      <c r="D10">
        <f ca="1">OFFSET(Baza!$BV8,0,D$2)</f>
        <v>9.4929453210000005</v>
      </c>
      <c r="E10">
        <f ca="1">OFFSET(Baza!$BV8,0,E$2)</f>
        <v>2.836146437</v>
      </c>
      <c r="F10">
        <f ca="1">OFFSET(Baza!$BV8,0,F$2)</f>
        <v>9.4929453210000005</v>
      </c>
      <c r="G10">
        <f ca="1">OFFSET(Baza!$BV8,0,G$2)</f>
        <v>1.58128632</v>
      </c>
      <c r="H10">
        <f ca="1">OFFSET(Baza!$BV8,0,H$2)</f>
        <v>1.9420464079999999</v>
      </c>
      <c r="I10">
        <f ca="1">OFFSET(Baza!$BV8,0,I$2)</f>
        <v>-0.2204492713</v>
      </c>
      <c r="J10">
        <f ca="1">OFFSET(Baza!$BV8,0,J$2)</f>
        <v>2.6640171850000001</v>
      </c>
      <c r="K10">
        <f ca="1">OFFSET(Baza!$BV8,0,K$2)</f>
        <v>0.12606251969999999</v>
      </c>
      <c r="L10">
        <f ca="1">OFFSET(Baza!$BV8,0,L$2)</f>
        <v>10.499580780000001</v>
      </c>
      <c r="M10">
        <f ca="1">OFFSET(Baza!$BV8,0,M$2)</f>
        <v>6.3094215260000004</v>
      </c>
      <c r="N10">
        <f ca="1">OFFSET(Baza!$BV8,0,N$2)</f>
        <v>3.437503274</v>
      </c>
      <c r="O10">
        <f ca="1">OFFSET(Baza!$BV8,0,O$2)</f>
        <v>85.455062920000003</v>
      </c>
    </row>
    <row r="11" spans="1:16" x14ac:dyDescent="0.2">
      <c r="A11" s="1" t="s">
        <v>250</v>
      </c>
      <c r="B11">
        <f>Baza!BV9</f>
        <v>4.1505045489999999</v>
      </c>
      <c r="C11">
        <f ca="1">OFFSET(Baza!$BV9,0,C$2)</f>
        <v>5.8662067770000004</v>
      </c>
      <c r="D11">
        <f ca="1">OFFSET(Baza!$BV9,0,D$2)</f>
        <v>10.01671133</v>
      </c>
      <c r="E11">
        <f ca="1">OFFSET(Baza!$BV9,0,E$2)</f>
        <v>3.0443906790000002</v>
      </c>
      <c r="F11">
        <f ca="1">OFFSET(Baza!$BV9,0,F$2)</f>
        <v>10.01671133</v>
      </c>
      <c r="G11">
        <f ca="1">OFFSET(Baza!$BV9,0,G$2)</f>
        <v>1.6409648029999999</v>
      </c>
      <c r="H11">
        <f ca="1">OFFSET(Baza!$BV9,0,H$2)</f>
        <v>2.0171345669999998</v>
      </c>
      <c r="I11">
        <f ca="1">OFFSET(Baza!$BV9,0,I$2)</f>
        <v>-0.25628512739999998</v>
      </c>
      <c r="J11">
        <f ca="1">OFFSET(Baza!$BV9,0,J$2)</f>
        <v>2.6960809170000002</v>
      </c>
      <c r="K11">
        <f ca="1">OFFSET(Baza!$BV9,0,K$2)</f>
        <v>0.1144583654</v>
      </c>
      <c r="L11">
        <f ca="1">OFFSET(Baza!$BV9,0,L$2)</f>
        <v>11.774273470000001</v>
      </c>
      <c r="M11">
        <f ca="1">OFFSET(Baza!$BV9,0,M$2)</f>
        <v>5.847752378</v>
      </c>
      <c r="N11">
        <f ca="1">OFFSET(Baza!$BV9,0,N$2)</f>
        <v>3.5570409490000001</v>
      </c>
      <c r="O11">
        <f ca="1">OFFSET(Baza!$BV9,0,O$2)</f>
        <v>93.264182629999993</v>
      </c>
    </row>
    <row r="12" spans="1:16" x14ac:dyDescent="0.2">
      <c r="A12" s="1" t="s">
        <v>251</v>
      </c>
      <c r="B12">
        <f>Baza!BV10</f>
        <v>3.9298934760000002</v>
      </c>
      <c r="C12">
        <f ca="1">OFFSET(Baza!$BV10,0,C$2)</f>
        <v>4.7626414500000003</v>
      </c>
      <c r="D12">
        <f ca="1">OFFSET(Baza!$BV10,0,D$2)</f>
        <v>8.6925349260000004</v>
      </c>
      <c r="E12">
        <f ca="1">OFFSET(Baza!$BV10,0,E$2)</f>
        <v>2.7349609620000002</v>
      </c>
      <c r="F12">
        <f ca="1">OFFSET(Baza!$BV10,0,F$2)</f>
        <v>8.6925349260000004</v>
      </c>
      <c r="G12">
        <f ca="1">OFFSET(Baza!$BV10,0,G$2)</f>
        <v>1.4878119439999999</v>
      </c>
      <c r="H12">
        <f ca="1">OFFSET(Baza!$BV10,0,H$2)</f>
        <v>1.8279546449999999</v>
      </c>
      <c r="I12">
        <f ca="1">OFFSET(Baza!$BV10,0,I$2)</f>
        <v>-0.20414575330000001</v>
      </c>
      <c r="J12">
        <f ca="1">OFFSET(Baza!$BV10,0,J$2)</f>
        <v>2.6931732749999999</v>
      </c>
      <c r="K12">
        <f ca="1">OFFSET(Baza!$BV10,0,K$2)</f>
        <v>0.25435088160000002</v>
      </c>
      <c r="L12">
        <f ca="1">OFFSET(Baza!$BV10,0,L$2)</f>
        <v>4.4237827830000001</v>
      </c>
      <c r="M12">
        <f ca="1">OFFSET(Baza!$BV10,0,M$2)</f>
        <v>5.337235239</v>
      </c>
      <c r="N12">
        <f ca="1">OFFSET(Baza!$BV10,0,N$2)</f>
        <v>3.2132522419999998</v>
      </c>
      <c r="O12">
        <f ca="1">OFFSET(Baza!$BV10,0,O$2)</f>
        <v>43.352472550000002</v>
      </c>
    </row>
    <row r="13" spans="1:16" x14ac:dyDescent="0.2">
      <c r="A13" s="1" t="s">
        <v>252</v>
      </c>
      <c r="B13">
        <f>Baza!BV11</f>
        <v>3.4048182919999999</v>
      </c>
      <c r="C13">
        <f ca="1">OFFSET(Baza!$BV11,0,C$2)</f>
        <v>4.5494644600000003</v>
      </c>
      <c r="D13">
        <f ca="1">OFFSET(Baza!$BV11,0,D$2)</f>
        <v>7.9542827530000002</v>
      </c>
      <c r="E13">
        <f ca="1">OFFSET(Baza!$BV11,0,E$2)</f>
        <v>2.7333192500000001</v>
      </c>
      <c r="F13">
        <f ca="1">OFFSET(Baza!$BV11,0,F$2)</f>
        <v>7.9542827530000002</v>
      </c>
      <c r="G13">
        <f ca="1">OFFSET(Baza!$BV11,0,G$2)</f>
        <v>1.437119327</v>
      </c>
      <c r="H13">
        <f ca="1">OFFSET(Baza!$BV11,0,H$2)</f>
        <v>1.7553411910000001</v>
      </c>
      <c r="I13">
        <f ca="1">OFFSET(Baza!$BV11,0,I$2)</f>
        <v>-0.30306096179999997</v>
      </c>
      <c r="J13">
        <f ca="1">OFFSET(Baza!$BV11,0,J$2)</f>
        <v>2.6393272520000002</v>
      </c>
      <c r="K13">
        <f ca="1">OFFSET(Baza!$BV11,0,K$2)</f>
        <v>0.3185250711</v>
      </c>
      <c r="L13">
        <f ca="1">OFFSET(Baza!$BV11,0,L$2)</f>
        <v>3.688239727</v>
      </c>
      <c r="M13">
        <f ca="1">OFFSET(Baza!$BV11,0,M$2)</f>
        <v>8.9851913450000005</v>
      </c>
      <c r="N13">
        <f ca="1">OFFSET(Baza!$BV11,0,N$2)</f>
        <v>3.1541532320000001</v>
      </c>
      <c r="O13">
        <f ca="1">OFFSET(Baza!$BV11,0,O$2)</f>
        <v>35.386446329999998</v>
      </c>
    </row>
    <row r="14" spans="1:16" x14ac:dyDescent="0.2">
      <c r="A14" s="1" t="s">
        <v>253</v>
      </c>
      <c r="B14">
        <f>Baza!BV12</f>
        <v>3.4165649340000002</v>
      </c>
      <c r="C14">
        <f ca="1">OFFSET(Baza!$BV12,0,C$2)</f>
        <v>4.727093097</v>
      </c>
      <c r="D14">
        <f ca="1">OFFSET(Baza!$BV12,0,D$2)</f>
        <v>8.1436580319999994</v>
      </c>
      <c r="E14">
        <f ca="1">OFFSET(Baza!$BV12,0,E$2)</f>
        <v>2.7533059550000001</v>
      </c>
      <c r="F14">
        <f ca="1">OFFSET(Baza!$BV12,0,F$2)</f>
        <v>8.1436580319999994</v>
      </c>
      <c r="G14">
        <f ca="1">OFFSET(Baza!$BV12,0,G$2)</f>
        <v>1.4456262870000001</v>
      </c>
      <c r="H14">
        <f ca="1">OFFSET(Baza!$BV12,0,H$2)</f>
        <v>1.764369278</v>
      </c>
      <c r="I14">
        <f ca="1">OFFSET(Baza!$BV12,0,I$2)</f>
        <v>-0.37141853969999999</v>
      </c>
      <c r="J14">
        <f ca="1">OFFSET(Baza!$BV12,0,J$2)</f>
        <v>2.6686124969999998</v>
      </c>
      <c r="K14">
        <f ca="1">OFFSET(Baza!$BV12,0,K$2)</f>
        <v>0.25914570939999998</v>
      </c>
      <c r="L14">
        <f ca="1">OFFSET(Baza!$BV12,0,L$2)</f>
        <v>4.294832532</v>
      </c>
      <c r="M14">
        <f ca="1">OFFSET(Baza!$BV12,0,M$2)</f>
        <v>8.1737159720000001</v>
      </c>
      <c r="N14">
        <f ca="1">OFFSET(Baza!$BV12,0,N$2)</f>
        <v>3.1811285809999998</v>
      </c>
      <c r="O14">
        <f ca="1">OFFSET(Baza!$BV12,0,O$2)</f>
        <v>42.642091890000003</v>
      </c>
    </row>
    <row r="15" spans="1:16" x14ac:dyDescent="0.2">
      <c r="A15" s="1" t="s">
        <v>254</v>
      </c>
      <c r="B15">
        <f>Baza!BV13</f>
        <v>3.762449079</v>
      </c>
      <c r="C15">
        <f ca="1">OFFSET(Baza!$BV13,0,C$2)</f>
        <v>4.7780861569999997</v>
      </c>
      <c r="D15">
        <f ca="1">OFFSET(Baza!$BV13,0,D$2)</f>
        <v>8.5405352370000003</v>
      </c>
      <c r="E15">
        <f ca="1">OFFSET(Baza!$BV13,0,E$2)</f>
        <v>2.9085473419999999</v>
      </c>
      <c r="F15">
        <f ca="1">OFFSET(Baza!$BV13,0,F$2)</f>
        <v>8.5405352370000003</v>
      </c>
      <c r="G15">
        <f ca="1">OFFSET(Baza!$BV13,0,G$2)</f>
        <v>1.524937164</v>
      </c>
      <c r="H15">
        <f ca="1">OFFSET(Baza!$BV13,0,H$2)</f>
        <v>1.862875053</v>
      </c>
      <c r="I15">
        <f ca="1">OFFSET(Baza!$BV13,0,I$2)</f>
        <v>-0.17767661030000001</v>
      </c>
      <c r="J15">
        <f ca="1">OFFSET(Baza!$BV13,0,J$2)</f>
        <v>2.5747237639999998</v>
      </c>
      <c r="K15">
        <f ca="1">OFFSET(Baza!$BV13,0,K$2)</f>
        <v>0.20010326589999999</v>
      </c>
      <c r="L15">
        <f ca="1">OFFSET(Baza!$BV13,0,L$2)</f>
        <v>10.697635269999999</v>
      </c>
      <c r="M15">
        <f ca="1">OFFSET(Baza!$BV13,0,M$2)</f>
        <v>8.1510487610000002</v>
      </c>
      <c r="N15">
        <f ca="1">OFFSET(Baza!$BV13,0,N$2)</f>
        <v>3.3403144070000002</v>
      </c>
      <c r="O15">
        <f ca="1">OFFSET(Baza!$BV13,0,O$2)</f>
        <v>54.306711909999997</v>
      </c>
    </row>
    <row r="16" spans="1:16" x14ac:dyDescent="0.2">
      <c r="A16" s="1" t="s">
        <v>255</v>
      </c>
      <c r="B16">
        <f>Baza!BV14</f>
        <v>3.5719572799999999</v>
      </c>
      <c r="C16">
        <f ca="1">OFFSET(Baza!$BV14,0,C$2)</f>
        <v>4.3976837099999999</v>
      </c>
      <c r="D16">
        <f ca="1">OFFSET(Baza!$BV14,0,D$2)</f>
        <v>7.9696409890000002</v>
      </c>
      <c r="E16">
        <f ca="1">OFFSET(Baza!$BV14,0,E$2)</f>
        <v>3.4001476720000001</v>
      </c>
      <c r="F16">
        <f ca="1">OFFSET(Baza!$BV14,0,F$2)</f>
        <v>7.9696409890000002</v>
      </c>
      <c r="G16">
        <f ca="1">OFFSET(Baza!$BV14,0,G$2)</f>
        <v>1.4743947230000001</v>
      </c>
      <c r="H16">
        <f ca="1">OFFSET(Baza!$BV14,0,H$2)</f>
        <v>1.8041452360000001</v>
      </c>
      <c r="I16">
        <f ca="1">OFFSET(Baza!$BV14,0,I$2)</f>
        <v>-0.20193806010000001</v>
      </c>
      <c r="J16">
        <f ca="1">OFFSET(Baza!$BV14,0,J$2)</f>
        <v>2.6061924250000001</v>
      </c>
      <c r="K16">
        <f ca="1">OFFSET(Baza!$BV14,0,K$2)</f>
        <v>0.44917485569999999</v>
      </c>
      <c r="L16">
        <f ca="1">OFFSET(Baza!$BV14,0,L$2)</f>
        <v>6.5468726239999997</v>
      </c>
      <c r="M16">
        <f ca="1">OFFSET(Baza!$BV14,0,M$2)</f>
        <v>9.3179510449999992</v>
      </c>
      <c r="N16">
        <f ca="1">OFFSET(Baza!$BV14,0,N$2)</f>
        <v>3.2177024539999999</v>
      </c>
      <c r="O16">
        <f ca="1">OFFSET(Baza!$BV14,0,O$2)</f>
        <v>24.829112779999999</v>
      </c>
    </row>
    <row r="17" spans="1:15" x14ac:dyDescent="0.2">
      <c r="A17" s="1" t="s">
        <v>256</v>
      </c>
      <c r="B17">
        <f>Baza!BV15</f>
        <v>3.6625217989999999</v>
      </c>
      <c r="C17">
        <f ca="1">OFFSET(Baza!$BV15,0,C$2)</f>
        <v>4.4766907529999997</v>
      </c>
      <c r="D17">
        <f ca="1">OFFSET(Baza!$BV15,0,D$2)</f>
        <v>8.1392125530000001</v>
      </c>
      <c r="E17">
        <f ca="1">OFFSET(Baza!$BV15,0,E$2)</f>
        <v>3.1508180229999998</v>
      </c>
      <c r="F17">
        <f ca="1">OFFSET(Baza!$BV15,0,F$2)</f>
        <v>8.1392125530000001</v>
      </c>
      <c r="G17">
        <f ca="1">OFFSET(Baza!$BV15,0,G$2)</f>
        <v>1.472091241</v>
      </c>
      <c r="H17">
        <f ca="1">OFFSET(Baza!$BV15,0,H$2)</f>
        <v>1.8023693240000001</v>
      </c>
      <c r="I17">
        <f ca="1">OFFSET(Baza!$BV15,0,I$2)</f>
        <v>-0.20636376419999999</v>
      </c>
      <c r="J17">
        <f ca="1">OFFSET(Baza!$BV15,0,J$2)</f>
        <v>2.6216645019999998</v>
      </c>
      <c r="K17">
        <f ca="1">OFFSET(Baza!$BV15,0,K$2)</f>
        <v>0.40108964260000002</v>
      </c>
      <c r="L17">
        <f ca="1">OFFSET(Baza!$BV15,0,L$2)</f>
        <v>5.9547110549999998</v>
      </c>
      <c r="M17">
        <f ca="1">OFFSET(Baza!$BV15,0,M$2)</f>
        <v>7.8854263800000002</v>
      </c>
      <c r="N17">
        <f ca="1">OFFSET(Baza!$BV15,0,N$2)</f>
        <v>3.2043168720000001</v>
      </c>
      <c r="O17">
        <f ca="1">OFFSET(Baza!$BV15,0,O$2)</f>
        <v>27.665158609999999</v>
      </c>
    </row>
    <row r="18" spans="1:15" x14ac:dyDescent="0.2">
      <c r="A18" s="1" t="s">
        <v>257</v>
      </c>
      <c r="B18">
        <f>Baza!BV16</f>
        <v>3.5734758659999999</v>
      </c>
      <c r="C18">
        <f ca="1">OFFSET(Baza!$BV16,0,C$2)</f>
        <v>4.3853146970000001</v>
      </c>
      <c r="D18">
        <f ca="1">OFFSET(Baza!$BV16,0,D$2)</f>
        <v>7.958790563</v>
      </c>
      <c r="E18">
        <f ca="1">OFFSET(Baza!$BV16,0,E$2)</f>
        <v>3.4644197810000001</v>
      </c>
      <c r="F18">
        <f ca="1">OFFSET(Baza!$BV16,0,F$2)</f>
        <v>7.958790563</v>
      </c>
      <c r="G18">
        <f ca="1">OFFSET(Baza!$BV16,0,G$2)</f>
        <v>1.4724892839999999</v>
      </c>
      <c r="H18">
        <f ca="1">OFFSET(Baza!$BV16,0,H$2)</f>
        <v>1.8012365690000001</v>
      </c>
      <c r="I18">
        <f ca="1">OFFSET(Baza!$BV16,0,I$2)</f>
        <v>-0.20191184949999999</v>
      </c>
      <c r="J18">
        <f ca="1">OFFSET(Baza!$BV16,0,J$2)</f>
        <v>2.6025715620000001</v>
      </c>
      <c r="K18">
        <f ca="1">OFFSET(Baza!$BV16,0,K$2)</f>
        <v>0.4621874694</v>
      </c>
      <c r="L18">
        <f ca="1">OFFSET(Baza!$BV16,0,L$2)</f>
        <v>6.4429056019999997</v>
      </c>
      <c r="M18">
        <f ca="1">OFFSET(Baza!$BV16,0,M$2)</f>
        <v>9.2004197390000009</v>
      </c>
      <c r="N18">
        <f ca="1">OFFSET(Baza!$BV16,0,N$2)</f>
        <v>3.2148601270000001</v>
      </c>
      <c r="O18">
        <f ca="1">OFFSET(Baza!$BV16,0,O$2)</f>
        <v>23.708817790000001</v>
      </c>
    </row>
    <row r="19" spans="1:15" x14ac:dyDescent="0.2">
      <c r="A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workbookViewId="0">
      <selection activeCell="B18" sqref="B18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  <c r="U1" t="s">
        <v>274</v>
      </c>
    </row>
    <row r="2" spans="1:23" x14ac:dyDescent="0.2">
      <c r="B2" s="3" t="s">
        <v>258</v>
      </c>
      <c r="C2" s="3">
        <v>4</v>
      </c>
      <c r="D2" s="3">
        <f>C2+4</f>
        <v>8</v>
      </c>
      <c r="E2" s="3">
        <f t="shared" ref="E2:W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  <c r="Q2" s="3">
        <f t="shared" si="1"/>
        <v>60</v>
      </c>
      <c r="R2" s="3">
        <f t="shared" si="1"/>
        <v>64</v>
      </c>
      <c r="S2" s="3">
        <f t="shared" si="1"/>
        <v>68</v>
      </c>
      <c r="T2" s="3">
        <f t="shared" si="1"/>
        <v>72</v>
      </c>
      <c r="U2" s="3">
        <f t="shared" si="1"/>
        <v>76</v>
      </c>
      <c r="V2" s="3">
        <f t="shared" si="1"/>
        <v>80</v>
      </c>
      <c r="W2" s="3">
        <f t="shared" si="1"/>
        <v>84</v>
      </c>
    </row>
    <row r="3" spans="1:23" x14ac:dyDescent="0.2">
      <c r="B3">
        <f>Baza!DZ1</f>
        <v>50</v>
      </c>
      <c r="C3">
        <f ca="1">OFFSET(Baza!$DZ1,0,C$2)</f>
        <v>50</v>
      </c>
      <c r="D3">
        <f ca="1">OFFSET(Baza!$DZ1,0,D$2)</f>
        <v>50</v>
      </c>
      <c r="E3">
        <f ca="1">OFFSET(Baza!$DZ1,0,E$2)</f>
        <v>50</v>
      </c>
      <c r="F3">
        <f ca="1">OFFSET(Baza!$DZ1,0,F$2)</f>
        <v>50</v>
      </c>
      <c r="G3">
        <f ca="1">OFFSET(Baza!$DZ1,0,G$2)</f>
        <v>50</v>
      </c>
      <c r="H3">
        <f ca="1">OFFSET(Baza!$DZ1,0,H$2)</f>
        <v>50</v>
      </c>
      <c r="I3">
        <f ca="1">OFFSET(Baza!$DZ1,0,I$2)</f>
        <v>50</v>
      </c>
      <c r="J3">
        <f ca="1">OFFSET(Baza!$DZ1,0,J$2)</f>
        <v>50</v>
      </c>
      <c r="K3">
        <f ca="1">OFFSET(Baza!$DZ1,0,K$2)</f>
        <v>50</v>
      </c>
      <c r="L3">
        <f ca="1">OFFSET(Baza!$DZ1,0,L$2)</f>
        <v>50</v>
      </c>
      <c r="M3">
        <f ca="1">OFFSET(Baza!$DZ1,0,M$2)</f>
        <v>50</v>
      </c>
      <c r="N3">
        <f ca="1">OFFSET(Baza!$DZ1,0,N$2)</f>
        <v>50</v>
      </c>
      <c r="O3">
        <f ca="1">OFFSET(Baza!$DZ1,0,O$2)</f>
        <v>50</v>
      </c>
      <c r="P3">
        <f ca="1">OFFSET(Baza!$DZ1,0,P$2)</f>
        <v>50</v>
      </c>
      <c r="Q3">
        <f ca="1">OFFSET(Baza!$DZ1,0,Q$2)</f>
        <v>50</v>
      </c>
      <c r="R3">
        <f ca="1">OFFSET(Baza!$DZ1,0,R$2)</f>
        <v>50</v>
      </c>
      <c r="S3">
        <f ca="1">OFFSET(Baza!$DZ1,0,S$2)</f>
        <v>50</v>
      </c>
      <c r="T3">
        <f ca="1">OFFSET(Baza!$DZ1,0,T$2)</f>
        <v>50</v>
      </c>
    </row>
    <row r="4" spans="1:23" x14ac:dyDescent="0.2">
      <c r="B4" t="str">
        <f>Baza!DZ2</f>
        <v>Rp[Średnia]</v>
      </c>
      <c r="C4" t="str">
        <f ca="1">OFFSET(Baza!$DZ2,0,C$2)</f>
        <v>Rv[Średnia]</v>
      </c>
      <c r="D4" t="str">
        <f ca="1">OFFSET(Baza!$DZ2,0,D$2)</f>
        <v>Rz[Średnia]</v>
      </c>
      <c r="E4" t="str">
        <f ca="1">OFFSET(Baza!$DZ2,0,E$2)</f>
        <v>Rc (Brak uśredniania (pojedyncza wartość))[Średnia]</v>
      </c>
      <c r="F4" t="str">
        <f ca="1">OFFSET(Baza!$DZ2,0,F$2)</f>
        <v>Rt[Średnia]</v>
      </c>
      <c r="G4" t="str">
        <f ca="1">OFFSET(Baza!$DZ2,0,G$2)</f>
        <v>Ra[Średnia]</v>
      </c>
      <c r="H4" t="str">
        <f ca="1">OFFSET(Baza!$DZ2,0,H$2)</f>
        <v>Rq[Średnia]</v>
      </c>
      <c r="I4" t="str">
        <f ca="1">OFFSET(Baza!$DZ2,0,I$2)</f>
        <v>Rsk[Średnia]</v>
      </c>
      <c r="J4" t="str">
        <f ca="1">OFFSET(Baza!$DZ2,0,J$2)</f>
        <v>Rku[Średnia]</v>
      </c>
      <c r="K4" t="str">
        <f ca="1">OFFSET(Baza!$DZ2,0,K$2)</f>
        <v>Rp1max[Średnia]</v>
      </c>
      <c r="L4" t="str">
        <f ca="1">OFFSET(Baza!$DZ2,0,L$2)</f>
        <v>Rv1max[Średnia]</v>
      </c>
      <c r="M4" t="str">
        <f ca="1">OFFSET(Baza!$DZ2,0,M$2)</f>
        <v>Rz1max[Średnia]</v>
      </c>
      <c r="N4" t="str">
        <f ca="1">OFFSET(Baza!$DZ2,0,N$2)</f>
        <v>Rz(n) (Wskaźnik λc = 1)[Średnia]</v>
      </c>
      <c r="O4" t="str">
        <f ca="1">OFFSET(Baza!$DZ2,0,O$2)</f>
        <v>RSm (Brak uśredniania (pojedyncza wartość))[Średnia]</v>
      </c>
      <c r="P4" t="str">
        <f ca="1">OFFSET(Baza!$DZ2,0,P$2)</f>
        <v>Rdq[Średnia]</v>
      </c>
      <c r="Q4" t="str">
        <f ca="1">OFFSET(Baza!$DZ2,0,Q$2)</f>
        <v>Rmr (c = 1 µm poniżej najwyższego wypiętrzenia)[Średnia]</v>
      </c>
      <c r="R4" t="str">
        <f ca="1">OFFSET(Baza!$DZ2,0,R$2)</f>
        <v>Rdc (p = 20%, q = 80%)[Średnia]</v>
      </c>
      <c r="S4" t="str">
        <f ca="1">OFFSET(Baza!$DZ2,0,S$2)</f>
        <v>Rmr (Rz/4) (c = Rz/4 µm powyżej płaszczyzny średniej)[Średnia]</v>
      </c>
      <c r="T4" t="str">
        <f ca="1">OFFSET(Baza!$DZ2,0,T$2)</f>
        <v>RPc (Brak uśredniania (pojedyncza wartość))[Średnia]</v>
      </c>
    </row>
    <row r="5" spans="1:23" x14ac:dyDescent="0.2">
      <c r="B5" t="str">
        <f>Baza!DZ3</f>
        <v>µm</v>
      </c>
      <c r="C5" t="str">
        <f ca="1">OFFSET(Baza!$DZ3,0,C$2)</f>
        <v>µm</v>
      </c>
      <c r="D5" t="str">
        <f ca="1">OFFSET(Baza!$DZ3,0,D$2)</f>
        <v>µm</v>
      </c>
      <c r="E5" t="str">
        <f ca="1">OFFSET(Baza!$DZ3,0,E$2)</f>
        <v>µm</v>
      </c>
      <c r="F5" t="str">
        <f ca="1">OFFSET(Baza!$DZ3,0,F$2)</f>
        <v>µm</v>
      </c>
      <c r="G5" t="str">
        <f ca="1">OFFSET(Baza!$DZ3,0,G$2)</f>
        <v>µm</v>
      </c>
      <c r="H5" t="str">
        <f ca="1">OFFSET(Baza!$DZ3,0,H$2)</f>
        <v>µm</v>
      </c>
      <c r="I5" t="str">
        <f ca="1">OFFSET(Baza!$DZ3,0,I$2)</f>
        <v>&lt;no unit&gt;</v>
      </c>
      <c r="J5" t="str">
        <f ca="1">OFFSET(Baza!$DZ3,0,J$2)</f>
        <v>&lt;no unit&gt;</v>
      </c>
      <c r="K5" t="str">
        <f ca="1">OFFSET(Baza!$DZ3,0,K$2)</f>
        <v>µm</v>
      </c>
      <c r="L5" t="str">
        <f ca="1">OFFSET(Baza!$DZ3,0,L$2)</f>
        <v>µm</v>
      </c>
      <c r="M5" t="str">
        <f ca="1">OFFSET(Baza!$DZ3,0,M$2)</f>
        <v>µm</v>
      </c>
      <c r="N5" t="str">
        <f ca="1">OFFSET(Baza!$DZ3,0,N$2)</f>
        <v>µm</v>
      </c>
      <c r="O5" t="str">
        <f ca="1">OFFSET(Baza!$DZ3,0,O$2)</f>
        <v>mm</v>
      </c>
      <c r="P5" t="str">
        <f ca="1">OFFSET(Baza!$DZ3,0,P$2)</f>
        <v>°</v>
      </c>
      <c r="Q5" t="str">
        <f ca="1">OFFSET(Baza!$DZ3,0,Q$2)</f>
        <v>%</v>
      </c>
      <c r="R5" t="str">
        <f ca="1">OFFSET(Baza!$DZ3,0,R$2)</f>
        <v>µm</v>
      </c>
      <c r="S5" t="str">
        <f ca="1">OFFSET(Baza!$DZ3,0,S$2)</f>
        <v>%</v>
      </c>
      <c r="T5" t="str">
        <f ca="1">OFFSET(Baza!$DZ3,0,T$2)</f>
        <v>1/cm</v>
      </c>
    </row>
    <row r="6" spans="1:23" x14ac:dyDescent="0.2">
      <c r="A6" s="1" t="s">
        <v>245</v>
      </c>
      <c r="B6">
        <f>Baza!DZ4</f>
        <v>2.4914420979999998</v>
      </c>
      <c r="C6">
        <f ca="1">OFFSET(Baza!$DZ4,0,C$2)</f>
        <v>2.2459259920000001</v>
      </c>
      <c r="D6">
        <f ca="1">OFFSET(Baza!$DZ4,0,D$2)</f>
        <v>4.7373680900000004</v>
      </c>
      <c r="E6">
        <f ca="1">OFFSET(Baza!$DZ4,0,E$2)</f>
        <v>1.74458724</v>
      </c>
      <c r="F6">
        <f ca="1">OFFSET(Baza!$DZ4,0,F$2)</f>
        <v>7.5676523160000002</v>
      </c>
      <c r="G6">
        <f ca="1">OFFSET(Baza!$DZ4,0,G$2)</f>
        <v>0.7101353735</v>
      </c>
      <c r="H6">
        <f ca="1">OFFSET(Baza!$DZ4,0,H$2)</f>
        <v>0.91222289450000005</v>
      </c>
      <c r="I6">
        <f ca="1">OFFSET(Baza!$DZ4,0,I$2)</f>
        <v>0.20449237570000001</v>
      </c>
      <c r="J6">
        <f ca="1">OFFSET(Baza!$DZ4,0,J$2)</f>
        <v>3.4577796580000002</v>
      </c>
      <c r="K6">
        <f ca="1">OFFSET(Baza!$DZ4,0,K$2)</f>
        <v>3.9190752209999999</v>
      </c>
      <c r="L6">
        <f ca="1">OFFSET(Baza!$DZ4,0,L$2)</f>
        <v>3.6485770949999998</v>
      </c>
      <c r="M6">
        <f ca="1">OFFSET(Baza!$DZ4,0,M$2)</f>
        <v>7.1720062320000002</v>
      </c>
      <c r="N6">
        <f ca="1">OFFSET(Baza!$DZ4,0,N$2)</f>
        <v>5.2928473260000004</v>
      </c>
      <c r="O6">
        <f ca="1">OFFSET(Baza!$DZ4,0,O$2)</f>
        <v>8.6327581099999995E-2</v>
      </c>
      <c r="P6">
        <f ca="1">OFFSET(Baza!$DZ4,0,P$2)</f>
        <v>6.178344944</v>
      </c>
      <c r="Q6">
        <f ca="1">OFFSET(Baza!$DZ4,0,Q$2)</f>
        <v>1.28216076</v>
      </c>
      <c r="R6">
        <f ca="1">OFFSET(Baza!$DZ4,0,R$2)</f>
        <v>1.339203602</v>
      </c>
      <c r="S6">
        <f ca="1">OFFSET(Baza!$DZ4,0,S$2)</f>
        <v>9.2409441139999995</v>
      </c>
      <c r="T6">
        <f ca="1">OFFSET(Baza!$DZ4,0,T$2)</f>
        <v>118.7311661</v>
      </c>
      <c r="U6" s="6">
        <f ca="1">B6/C6</f>
        <v>1.1093162049304071</v>
      </c>
    </row>
    <row r="7" spans="1:23" x14ac:dyDescent="0.2">
      <c r="A7" s="1" t="s">
        <v>246</v>
      </c>
      <c r="B7">
        <f>Baza!DZ5</f>
        <v>2.540928487</v>
      </c>
      <c r="C7">
        <f ca="1">OFFSET(Baza!$DZ5,0,C$2)</f>
        <v>2.6773571189999998</v>
      </c>
      <c r="D7">
        <f ca="1">OFFSET(Baza!$DZ5,0,D$2)</f>
        <v>5.2182856060000002</v>
      </c>
      <c r="E7">
        <f ca="1">OFFSET(Baza!$DZ5,0,E$2)</f>
        <v>1.9511720299999999</v>
      </c>
      <c r="F7">
        <f ca="1">OFFSET(Baza!$DZ5,0,F$2)</f>
        <v>8.1170534209999996</v>
      </c>
      <c r="G7">
        <f ca="1">OFFSET(Baza!$DZ5,0,G$2)</f>
        <v>0.76799843290000003</v>
      </c>
      <c r="H7">
        <f ca="1">OFFSET(Baza!$DZ5,0,H$2)</f>
        <v>0.9876077285</v>
      </c>
      <c r="I7">
        <f ca="1">OFFSET(Baza!$DZ5,0,I$2)</f>
        <v>3.048172146E-2</v>
      </c>
      <c r="J7">
        <f ca="1">OFFSET(Baza!$DZ5,0,J$2)</f>
        <v>3.4669750330000002</v>
      </c>
      <c r="K7">
        <f ca="1">OFFSET(Baza!$DZ5,0,K$2)</f>
        <v>3.9176695939999999</v>
      </c>
      <c r="L7">
        <f ca="1">OFFSET(Baza!$DZ5,0,L$2)</f>
        <v>4.1993838270000001</v>
      </c>
      <c r="M7">
        <f ca="1">OFFSET(Baza!$DZ5,0,M$2)</f>
        <v>7.6200110580000002</v>
      </c>
      <c r="N7">
        <f ca="1">OFFSET(Baza!$DZ5,0,N$2)</f>
        <v>5.8260949950000001</v>
      </c>
      <c r="O7">
        <f ca="1">OFFSET(Baza!$DZ5,0,O$2)</f>
        <v>8.4333311090000002E-2</v>
      </c>
      <c r="P7">
        <f ca="1">OFFSET(Baza!$DZ5,0,P$2)</f>
        <v>6.7073549740000002</v>
      </c>
      <c r="Q7">
        <f ca="1">OFFSET(Baza!$DZ5,0,Q$2)</f>
        <v>1.4669568529999999</v>
      </c>
      <c r="R7">
        <f ca="1">OFFSET(Baza!$DZ5,0,R$2)</f>
        <v>1.457930368</v>
      </c>
      <c r="S7">
        <f ca="1">OFFSET(Baza!$DZ5,0,S$2)</f>
        <v>8.8286923819999998</v>
      </c>
      <c r="T7">
        <f ca="1">OFFSET(Baza!$DZ5,0,T$2)</f>
        <v>121.4383102</v>
      </c>
      <c r="U7" s="6">
        <f t="shared" ref="U7:U18" ca="1" si="2">B7/C7</f>
        <v>0.94904354333912833</v>
      </c>
    </row>
    <row r="8" spans="1:23" x14ac:dyDescent="0.2">
      <c r="A8" s="1" t="s">
        <v>247</v>
      </c>
      <c r="B8">
        <f>Baza!DZ6</f>
        <v>2.6706857990000001</v>
      </c>
      <c r="C8">
        <f ca="1">OFFSET(Baza!$DZ6,0,C$2)</f>
        <v>3.0203437970000002</v>
      </c>
      <c r="D8">
        <f ca="1">OFFSET(Baza!$DZ6,0,D$2)</f>
        <v>5.6910295959999999</v>
      </c>
      <c r="E8">
        <f ca="1">OFFSET(Baza!$DZ6,0,E$2)</f>
        <v>2.1394198750000002</v>
      </c>
      <c r="F8">
        <f ca="1">OFFSET(Baza!$DZ6,0,F$2)</f>
        <v>8.6863530529999995</v>
      </c>
      <c r="G8">
        <f ca="1">OFFSET(Baza!$DZ6,0,G$2)</f>
        <v>0.82519232939999998</v>
      </c>
      <c r="H8">
        <f ca="1">OFFSET(Baza!$DZ6,0,H$2)</f>
        <v>1.0618091279999999</v>
      </c>
      <c r="I8">
        <f ca="1">OFFSET(Baza!$DZ6,0,I$2)</f>
        <v>-7.7884617069999995E-2</v>
      </c>
      <c r="J8">
        <f ca="1">OFFSET(Baza!$DZ6,0,J$2)</f>
        <v>3.4992144700000001</v>
      </c>
      <c r="K8">
        <f ca="1">OFFSET(Baza!$DZ6,0,K$2)</f>
        <v>4.0557571120000002</v>
      </c>
      <c r="L8">
        <f ca="1">OFFSET(Baza!$DZ6,0,L$2)</f>
        <v>4.6305959400000001</v>
      </c>
      <c r="M8">
        <f ca="1">OFFSET(Baza!$DZ6,0,M$2)</f>
        <v>8.1946805049999991</v>
      </c>
      <c r="N8">
        <f ca="1">OFFSET(Baza!$DZ6,0,N$2)</f>
        <v>6.3450248580000004</v>
      </c>
      <c r="O8">
        <f ca="1">OFFSET(Baza!$DZ6,0,O$2)</f>
        <v>8.0097046719999995E-2</v>
      </c>
      <c r="P8">
        <f ca="1">OFFSET(Baza!$DZ6,0,P$2)</f>
        <v>7.5241516620000004</v>
      </c>
      <c r="Q8">
        <f ca="1">OFFSET(Baza!$DZ6,0,Q$2)</f>
        <v>1.3443380300000001</v>
      </c>
      <c r="R8">
        <f ca="1">OFFSET(Baza!$DZ6,0,R$2)</f>
        <v>1.580238316</v>
      </c>
      <c r="S8">
        <f ca="1">OFFSET(Baza!$DZ6,0,S$2)</f>
        <v>8.4499972260000007</v>
      </c>
      <c r="T8">
        <f ca="1">OFFSET(Baza!$DZ6,0,T$2)</f>
        <v>127.42922969999999</v>
      </c>
      <c r="U8" s="6">
        <f t="shared" ca="1" si="2"/>
        <v>0.88423238495322853</v>
      </c>
    </row>
    <row r="9" spans="1:23" x14ac:dyDescent="0.2">
      <c r="A9" s="1" t="s">
        <v>248</v>
      </c>
      <c r="B9">
        <f>Baza!DZ7</f>
        <v>2.9776514719999998</v>
      </c>
      <c r="C9">
        <f ca="1">OFFSET(Baza!$DZ7,0,C$2)</f>
        <v>2.664163083</v>
      </c>
      <c r="D9">
        <f ca="1">OFFSET(Baza!$DZ7,0,D$2)</f>
        <v>5.6418145549999998</v>
      </c>
      <c r="E9">
        <f ca="1">OFFSET(Baza!$DZ7,0,E$2)</f>
        <v>1.9790711320000001</v>
      </c>
      <c r="F9">
        <f ca="1">OFFSET(Baza!$DZ7,0,F$2)</f>
        <v>8.6443798740000002</v>
      </c>
      <c r="G9">
        <f ca="1">OFFSET(Baza!$DZ7,0,G$2)</f>
        <v>0.77868926819999995</v>
      </c>
      <c r="H9">
        <f ca="1">OFFSET(Baza!$DZ7,0,H$2)</f>
        <v>1.004096498</v>
      </c>
      <c r="I9">
        <f ca="1">OFFSET(Baza!$DZ7,0,I$2)</f>
        <v>0.19271982200000001</v>
      </c>
      <c r="J9">
        <f ca="1">OFFSET(Baza!$DZ7,0,J$2)</f>
        <v>3.6639678899999999</v>
      </c>
      <c r="K9">
        <f ca="1">OFFSET(Baza!$DZ7,0,K$2)</f>
        <v>4.5459677149999997</v>
      </c>
      <c r="L9">
        <f ca="1">OFFSET(Baza!$DZ7,0,L$2)</f>
        <v>4.0984121590000004</v>
      </c>
      <c r="M9">
        <f ca="1">OFFSET(Baza!$DZ7,0,M$2)</f>
        <v>8.1222348679999996</v>
      </c>
      <c r="N9">
        <f ca="1">OFFSET(Baza!$DZ7,0,N$2)</f>
        <v>6.1816066420000002</v>
      </c>
      <c r="O9">
        <f ca="1">OFFSET(Baza!$DZ7,0,O$2)</f>
        <v>6.242144803E-2</v>
      </c>
      <c r="P9">
        <f ca="1">OFFSET(Baza!$DZ7,0,P$2)</f>
        <v>9.7398572249999997</v>
      </c>
      <c r="Q9">
        <f ca="1">OFFSET(Baza!$DZ7,0,Q$2)</f>
        <v>0.72943681800000004</v>
      </c>
      <c r="R9">
        <f ca="1">OFFSET(Baza!$DZ7,0,R$2)</f>
        <v>1.482575655</v>
      </c>
      <c r="S9">
        <f ca="1">OFFSET(Baza!$DZ7,0,S$2)</f>
        <v>7.9947061320000001</v>
      </c>
      <c r="T9">
        <f ca="1">OFFSET(Baza!$DZ7,0,T$2)</f>
        <v>163.6493141</v>
      </c>
      <c r="U9" s="6">
        <f t="shared" ca="1" si="2"/>
        <v>1.1176686183366049</v>
      </c>
    </row>
    <row r="10" spans="1:23" x14ac:dyDescent="0.2">
      <c r="A10" s="1" t="s">
        <v>249</v>
      </c>
      <c r="B10">
        <f>Baza!DZ8</f>
        <v>2.911146778</v>
      </c>
      <c r="C10">
        <f ca="1">OFFSET(Baza!$DZ8,0,C$2)</f>
        <v>3.2787251130000001</v>
      </c>
      <c r="D10">
        <f ca="1">OFFSET(Baza!$DZ8,0,D$2)</f>
        <v>6.18987189</v>
      </c>
      <c r="E10">
        <f ca="1">OFFSET(Baza!$DZ8,0,E$2)</f>
        <v>2.2463669629999998</v>
      </c>
      <c r="F10">
        <f ca="1">OFFSET(Baza!$DZ8,0,F$2)</f>
        <v>9.2362774259999991</v>
      </c>
      <c r="G10">
        <f ca="1">OFFSET(Baza!$DZ8,0,G$2)</f>
        <v>0.85832250740000005</v>
      </c>
      <c r="H10">
        <f ca="1">OFFSET(Baza!$DZ8,0,H$2)</f>
        <v>1.1045440209999999</v>
      </c>
      <c r="I10">
        <f ca="1">OFFSET(Baza!$DZ8,0,I$2)</f>
        <v>-6.9238028650000005E-2</v>
      </c>
      <c r="J10">
        <f ca="1">OFFSET(Baza!$DZ8,0,J$2)</f>
        <v>3.577224943</v>
      </c>
      <c r="K10">
        <f ca="1">OFFSET(Baza!$DZ8,0,K$2)</f>
        <v>4.3748441749999998</v>
      </c>
      <c r="L10">
        <f ca="1">OFFSET(Baza!$DZ8,0,L$2)</f>
        <v>4.8614332510000002</v>
      </c>
      <c r="M10">
        <f ca="1">OFFSET(Baza!$DZ8,0,M$2)</f>
        <v>8.6869521679999995</v>
      </c>
      <c r="N10">
        <f ca="1">OFFSET(Baza!$DZ8,0,N$2)</f>
        <v>6.7789736789999999</v>
      </c>
      <c r="O10">
        <f ca="1">OFFSET(Baza!$DZ8,0,O$2)</f>
        <v>6.2572763279999999E-2</v>
      </c>
      <c r="P10">
        <f ca="1">OFFSET(Baza!$DZ8,0,P$2)</f>
        <v>10.33851426</v>
      </c>
      <c r="Q10">
        <f ca="1">OFFSET(Baza!$DZ8,0,Q$2)</f>
        <v>0.91677356970000001</v>
      </c>
      <c r="R10">
        <f ca="1">OFFSET(Baza!$DZ8,0,R$2)</f>
        <v>1.652871046</v>
      </c>
      <c r="S10">
        <f ca="1">OFFSET(Baza!$DZ8,0,S$2)</f>
        <v>7.728296233</v>
      </c>
      <c r="T10">
        <f ca="1">OFFSET(Baza!$DZ8,0,T$2)</f>
        <v>162.67493020000001</v>
      </c>
      <c r="U10" s="6">
        <f t="shared" ca="1" si="2"/>
        <v>0.88788985891419558</v>
      </c>
    </row>
    <row r="11" spans="1:23" x14ac:dyDescent="0.2">
      <c r="A11" s="1" t="s">
        <v>250</v>
      </c>
      <c r="B11">
        <f>Baza!DZ9</f>
        <v>3.0589421030000001</v>
      </c>
      <c r="C11">
        <f ca="1">OFFSET(Baza!$DZ9,0,C$2)</f>
        <v>3.6677056270000001</v>
      </c>
      <c r="D11">
        <f ca="1">OFFSET(Baza!$DZ9,0,D$2)</f>
        <v>6.7266477299999998</v>
      </c>
      <c r="E11">
        <f ca="1">OFFSET(Baza!$DZ9,0,E$2)</f>
        <v>2.4700697840000001</v>
      </c>
      <c r="F11">
        <f ca="1">OFFSET(Baza!$DZ9,0,F$2)</f>
        <v>9.8961307420000004</v>
      </c>
      <c r="G11">
        <f ca="1">OFFSET(Baza!$DZ9,0,G$2)</f>
        <v>0.92692430380000002</v>
      </c>
      <c r="H11">
        <f ca="1">OFFSET(Baza!$DZ9,0,H$2)</f>
        <v>1.1938267469999999</v>
      </c>
      <c r="I11">
        <f ca="1">OFFSET(Baza!$DZ9,0,I$2)</f>
        <v>-0.1780235308</v>
      </c>
      <c r="J11">
        <f ca="1">OFFSET(Baza!$DZ9,0,J$2)</f>
        <v>3.6096055580000002</v>
      </c>
      <c r="K11">
        <f ca="1">OFFSET(Baza!$DZ9,0,K$2)</f>
        <v>4.4941874410000002</v>
      </c>
      <c r="L11">
        <f ca="1">OFFSET(Baza!$DZ9,0,L$2)</f>
        <v>5.4005307220000001</v>
      </c>
      <c r="M11">
        <f ca="1">OFFSET(Baza!$DZ9,0,M$2)</f>
        <v>9.3491432109999995</v>
      </c>
      <c r="N11">
        <f ca="1">OFFSET(Baza!$DZ9,0,N$2)</f>
        <v>7.4148198470000004</v>
      </c>
      <c r="O11">
        <f ca="1">OFFSET(Baza!$DZ9,0,O$2)</f>
        <v>5.9817694880000001E-2</v>
      </c>
      <c r="P11">
        <f ca="1">OFFSET(Baza!$DZ9,0,P$2)</f>
        <v>11.62197868</v>
      </c>
      <c r="Q11">
        <f ca="1">OFFSET(Baza!$DZ9,0,Q$2)</f>
        <v>0.93779702200000004</v>
      </c>
      <c r="R11">
        <f ca="1">OFFSET(Baza!$DZ9,0,R$2)</f>
        <v>1.796296967</v>
      </c>
      <c r="S11">
        <f ca="1">OFFSET(Baza!$DZ9,0,S$2)</f>
        <v>7.4208302570000004</v>
      </c>
      <c r="T11">
        <f ca="1">OFFSET(Baza!$DZ9,0,T$2)</f>
        <v>169.9974216</v>
      </c>
      <c r="U11" s="6">
        <f t="shared" ca="1" si="2"/>
        <v>0.83402061509011072</v>
      </c>
    </row>
    <row r="12" spans="1:23" x14ac:dyDescent="0.2">
      <c r="A12" s="1" t="s">
        <v>251</v>
      </c>
      <c r="B12">
        <f>Baza!DZ10</f>
        <v>2.3349764369999999</v>
      </c>
      <c r="C12">
        <f ca="1">OFFSET(Baza!$DZ10,0,C$2)</f>
        <v>2.1692239089999998</v>
      </c>
      <c r="D12">
        <f ca="1">OFFSET(Baza!$DZ10,0,D$2)</f>
        <v>4.5042003470000003</v>
      </c>
      <c r="E12">
        <f ca="1">OFFSET(Baza!$DZ10,0,E$2)</f>
        <v>1.8296066980000001</v>
      </c>
      <c r="F12">
        <f ca="1">OFFSET(Baza!$DZ10,0,F$2)</f>
        <v>7.0521157109999999</v>
      </c>
      <c r="G12">
        <f ca="1">OFFSET(Baza!$DZ10,0,G$2)</f>
        <v>0.72180660510000005</v>
      </c>
      <c r="H12">
        <f ca="1">OFFSET(Baza!$DZ10,0,H$2)</f>
        <v>0.9197346461</v>
      </c>
      <c r="I12">
        <f ca="1">OFFSET(Baza!$DZ10,0,I$2)</f>
        <v>0.12861160639999999</v>
      </c>
      <c r="J12">
        <f ca="1">OFFSET(Baza!$DZ10,0,J$2)</f>
        <v>3.2143301740000001</v>
      </c>
      <c r="K12">
        <f ca="1">OFFSET(Baza!$DZ10,0,K$2)</f>
        <v>3.636962778</v>
      </c>
      <c r="L12">
        <f ca="1">OFFSET(Baza!$DZ10,0,L$2)</f>
        <v>3.4151529329999999</v>
      </c>
      <c r="M12">
        <f ca="1">OFFSET(Baza!$DZ10,0,M$2)</f>
        <v>6.7227012320000004</v>
      </c>
      <c r="N12">
        <f ca="1">OFFSET(Baza!$DZ10,0,N$2)</f>
        <v>5.1120023840000002</v>
      </c>
      <c r="O12">
        <f ca="1">OFFSET(Baza!$DZ10,0,O$2)</f>
        <v>9.9133441820000001E-2</v>
      </c>
      <c r="P12">
        <f ca="1">OFFSET(Baza!$DZ10,0,P$2)</f>
        <v>4.3671246720000001</v>
      </c>
      <c r="Q12">
        <f ca="1">OFFSET(Baza!$DZ10,0,Q$2)</f>
        <v>1.7839322980000001</v>
      </c>
      <c r="R12">
        <f ca="1">OFFSET(Baza!$DZ10,0,R$2)</f>
        <v>1.389417927</v>
      </c>
      <c r="S12">
        <f ca="1">OFFSET(Baza!$DZ10,0,S$2)</f>
        <v>10.2348891</v>
      </c>
      <c r="T12">
        <f ca="1">OFFSET(Baza!$DZ10,0,T$2)</f>
        <v>102.75453899999999</v>
      </c>
      <c r="U12" s="6">
        <f t="shared" ca="1" si="2"/>
        <v>1.07641098150924</v>
      </c>
    </row>
    <row r="13" spans="1:23" x14ac:dyDescent="0.2">
      <c r="A13" s="1" t="s">
        <v>252</v>
      </c>
      <c r="B13">
        <f>Baza!DZ11</f>
        <v>2.1380069819999998</v>
      </c>
      <c r="C13">
        <f ca="1">OFFSET(Baza!$DZ11,0,C$2)</f>
        <v>1.9232653340000001</v>
      </c>
      <c r="D13">
        <f ca="1">OFFSET(Baza!$DZ11,0,D$2)</f>
        <v>4.0612723170000002</v>
      </c>
      <c r="E13">
        <f ca="1">OFFSET(Baza!$DZ11,0,E$2)</f>
        <v>1.736257766</v>
      </c>
      <c r="F13">
        <f ca="1">OFFSET(Baza!$DZ11,0,F$2)</f>
        <v>6.5080955530000004</v>
      </c>
      <c r="G13">
        <f ca="1">OFFSET(Baza!$DZ11,0,G$2)</f>
        <v>0.6766020881</v>
      </c>
      <c r="H13">
        <f ca="1">OFFSET(Baza!$DZ11,0,H$2)</f>
        <v>0.85822315490000001</v>
      </c>
      <c r="I13">
        <f ca="1">OFFSET(Baza!$DZ11,0,I$2)</f>
        <v>0.14633425589999999</v>
      </c>
      <c r="J13">
        <f ca="1">OFFSET(Baza!$DZ11,0,J$2)</f>
        <v>3.1458896319999998</v>
      </c>
      <c r="K13">
        <f ca="1">OFFSET(Baza!$DZ11,0,K$2)</f>
        <v>3.3818735229999999</v>
      </c>
      <c r="L13">
        <f ca="1">OFFSET(Baza!$DZ11,0,L$2)</f>
        <v>3.1262220300000001</v>
      </c>
      <c r="M13">
        <f ca="1">OFFSET(Baza!$DZ11,0,M$2)</f>
        <v>6.1850099739999997</v>
      </c>
      <c r="N13">
        <f ca="1">OFFSET(Baza!$DZ11,0,N$2)</f>
        <v>4.8057266529999998</v>
      </c>
      <c r="O13">
        <f ca="1">OFFSET(Baza!$DZ11,0,O$2)</f>
        <v>0.1226904087</v>
      </c>
      <c r="P13">
        <f ca="1">OFFSET(Baza!$DZ11,0,P$2)</f>
        <v>3.6082462519999998</v>
      </c>
      <c r="Q13">
        <f ca="1">OFFSET(Baza!$DZ11,0,Q$2)</f>
        <v>2.1318237070000001</v>
      </c>
      <c r="R13">
        <f ca="1">OFFSET(Baza!$DZ11,0,R$2)</f>
        <v>1.2945060239999999</v>
      </c>
      <c r="S13">
        <f ca="1">OFFSET(Baza!$DZ11,0,S$2)</f>
        <v>10.96031017</v>
      </c>
      <c r="T13">
        <f ca="1">OFFSET(Baza!$DZ11,0,T$2)</f>
        <v>83.747019890000004</v>
      </c>
      <c r="U13" s="6">
        <f t="shared" ca="1" si="2"/>
        <v>1.1116547177364138</v>
      </c>
    </row>
    <row r="14" spans="1:23" x14ac:dyDescent="0.2">
      <c r="A14" s="1" t="s">
        <v>253</v>
      </c>
      <c r="B14">
        <f>Baza!DZ12</f>
        <v>2.3345482710000001</v>
      </c>
      <c r="C14">
        <f ca="1">OFFSET(Baza!$DZ12,0,C$2)</f>
        <v>2.1007508549999998</v>
      </c>
      <c r="D14">
        <f ca="1">OFFSET(Baza!$DZ12,0,D$2)</f>
        <v>4.4352991260000003</v>
      </c>
      <c r="E14">
        <f ca="1">OFFSET(Baza!$DZ12,0,E$2)</f>
        <v>1.937331632</v>
      </c>
      <c r="F14">
        <f ca="1">OFFSET(Baza!$DZ12,0,F$2)</f>
        <v>6.8720570260000002</v>
      </c>
      <c r="G14">
        <f ca="1">OFFSET(Baza!$DZ12,0,G$2)</f>
        <v>0.73129218330000001</v>
      </c>
      <c r="H14">
        <f ca="1">OFFSET(Baza!$DZ12,0,H$2)</f>
        <v>0.92191306309999999</v>
      </c>
      <c r="I14">
        <f ca="1">OFFSET(Baza!$DZ12,0,I$2)</f>
        <v>0.1109441151</v>
      </c>
      <c r="J14">
        <f ca="1">OFFSET(Baza!$DZ12,0,J$2)</f>
        <v>3.0877811240000002</v>
      </c>
      <c r="K14">
        <f ca="1">OFFSET(Baza!$DZ12,0,K$2)</f>
        <v>3.5911101749999998</v>
      </c>
      <c r="L14">
        <f ca="1">OFFSET(Baza!$DZ12,0,L$2)</f>
        <v>3.2809468509999999</v>
      </c>
      <c r="M14">
        <f ca="1">OFFSET(Baza!$DZ12,0,M$2)</f>
        <v>6.5184320629999997</v>
      </c>
      <c r="N14">
        <f ca="1">OFFSET(Baza!$DZ12,0,N$2)</f>
        <v>5.4948105370000002</v>
      </c>
      <c r="O14">
        <f ca="1">OFFSET(Baza!$DZ12,0,O$2)</f>
        <v>0.1116361079</v>
      </c>
      <c r="P14">
        <f ca="1">OFFSET(Baza!$DZ12,0,P$2)</f>
        <v>4.2470331620000001</v>
      </c>
      <c r="Q14">
        <f ca="1">OFFSET(Baza!$DZ12,0,Q$2)</f>
        <v>1.675205874</v>
      </c>
      <c r="R14">
        <f ca="1">OFFSET(Baza!$DZ12,0,R$2)</f>
        <v>1.436506616</v>
      </c>
      <c r="S14">
        <f ca="1">OFFSET(Baza!$DZ12,0,S$2)</f>
        <v>10.872481929999999</v>
      </c>
      <c r="T14">
        <f ca="1">OFFSET(Baza!$DZ12,0,T$2)</f>
        <v>91.396309430000002</v>
      </c>
      <c r="U14" s="6">
        <f t="shared" ca="1" si="2"/>
        <v>1.1112923102915981</v>
      </c>
    </row>
    <row r="15" spans="1:23" x14ac:dyDescent="0.2">
      <c r="A15" s="1" t="s">
        <v>254</v>
      </c>
      <c r="B15">
        <f>Baza!DZ13</f>
        <v>2.6212654369999999</v>
      </c>
      <c r="C15">
        <f ca="1">OFFSET(Baza!$DZ13,0,C$2)</f>
        <v>2.3688710400000001</v>
      </c>
      <c r="D15">
        <f ca="1">OFFSET(Baza!$DZ13,0,D$2)</f>
        <v>4.9901364770000001</v>
      </c>
      <c r="E15">
        <f ca="1">OFFSET(Baza!$DZ13,0,E$2)</f>
        <v>2.1065467419999999</v>
      </c>
      <c r="F15">
        <f ca="1">OFFSET(Baza!$DZ13,0,F$2)</f>
        <v>7.7883870530000001</v>
      </c>
      <c r="G15">
        <f ca="1">OFFSET(Baza!$DZ13,0,G$2)</f>
        <v>0.77608377510000004</v>
      </c>
      <c r="H15">
        <f ca="1">OFFSET(Baza!$DZ13,0,H$2)</f>
        <v>0.99273254529999999</v>
      </c>
      <c r="I15">
        <f ca="1">OFFSET(Baza!$DZ13,0,I$2)</f>
        <v>0.21265633410000001</v>
      </c>
      <c r="J15">
        <f ca="1">OFFSET(Baza!$DZ13,0,J$2)</f>
        <v>3.4657092180000002</v>
      </c>
      <c r="K15">
        <f ca="1">OFFSET(Baza!$DZ13,0,K$2)</f>
        <v>4.0470558920000004</v>
      </c>
      <c r="L15">
        <f ca="1">OFFSET(Baza!$DZ13,0,L$2)</f>
        <v>3.7413311610000002</v>
      </c>
      <c r="M15">
        <f ca="1">OFFSET(Baza!$DZ13,0,M$2)</f>
        <v>7.3972516949999996</v>
      </c>
      <c r="N15">
        <f ca="1">OFFSET(Baza!$DZ13,0,N$2)</f>
        <v>5.4798960680000004</v>
      </c>
      <c r="O15">
        <f ca="1">OFFSET(Baza!$DZ13,0,O$2)</f>
        <v>8.8752561430000002E-2</v>
      </c>
      <c r="P15">
        <f ca="1">OFFSET(Baza!$DZ13,0,P$2)</f>
        <v>10.576387889999999</v>
      </c>
      <c r="Q15">
        <f ca="1">OFFSET(Baza!$DZ13,0,Q$2)</f>
        <v>1.3297671120000001</v>
      </c>
      <c r="R15">
        <f ca="1">OFFSET(Baza!$DZ13,0,R$2)</f>
        <v>1.46883769</v>
      </c>
      <c r="S15">
        <f ca="1">OFFSET(Baza!$DZ13,0,S$2)</f>
        <v>10.150127960000001</v>
      </c>
      <c r="T15">
        <f ca="1">OFFSET(Baza!$DZ13,0,T$2)</f>
        <v>114.99702550000001</v>
      </c>
      <c r="U15" s="7">
        <f t="shared" ca="1" si="2"/>
        <v>1.1065462799528334</v>
      </c>
    </row>
    <row r="16" spans="1:23" x14ac:dyDescent="0.2">
      <c r="A16" s="1" t="s">
        <v>255</v>
      </c>
      <c r="B16">
        <f>Baza!DZ14</f>
        <v>2.2935638979999999</v>
      </c>
      <c r="C16">
        <f ca="1">OFFSET(Baza!$DZ14,0,C$2)</f>
        <v>1.8279272230000001</v>
      </c>
      <c r="D16">
        <f ca="1">OFFSET(Baza!$DZ14,0,D$2)</f>
        <v>4.121491121</v>
      </c>
      <c r="E16">
        <f ca="1">OFFSET(Baza!$DZ14,0,E$2)</f>
        <v>2.0790337490000002</v>
      </c>
      <c r="F16">
        <f ca="1">OFFSET(Baza!$DZ14,0,F$2)</f>
        <v>7.0054332419999996</v>
      </c>
      <c r="G16">
        <f ca="1">OFFSET(Baza!$DZ14,0,G$2)</f>
        <v>0.68765499320000001</v>
      </c>
      <c r="H16">
        <f ca="1">OFFSET(Baza!$DZ14,0,H$2)</f>
        <v>0.88546506160000005</v>
      </c>
      <c r="I16">
        <f ca="1">OFFSET(Baza!$DZ14,0,I$2)</f>
        <v>0.32820360479999999</v>
      </c>
      <c r="J16">
        <f ca="1">OFFSET(Baza!$DZ14,0,J$2)</f>
        <v>3.5967531250000002</v>
      </c>
      <c r="K16">
        <f ca="1">OFFSET(Baza!$DZ14,0,K$2)</f>
        <v>3.8092277069999998</v>
      </c>
      <c r="L16">
        <f ca="1">OFFSET(Baza!$DZ14,0,L$2)</f>
        <v>3.1962055349999998</v>
      </c>
      <c r="M16">
        <f ca="1">OFFSET(Baza!$DZ14,0,M$2)</f>
        <v>6.6715858529999998</v>
      </c>
      <c r="N16">
        <f ca="1">OFFSET(Baza!$DZ14,0,N$2)</f>
        <v>4.6260114159999999</v>
      </c>
      <c r="O16">
        <f ca="1">OFFSET(Baza!$DZ14,0,O$2)</f>
        <v>0.19110576330000001</v>
      </c>
      <c r="P16">
        <f ca="1">OFFSET(Baza!$DZ14,0,P$2)</f>
        <v>6.2208162050000002</v>
      </c>
      <c r="Q16">
        <f ca="1">OFFSET(Baza!$DZ14,0,Q$2)</f>
        <v>1.7328631539999999</v>
      </c>
      <c r="R16">
        <f ca="1">OFFSET(Baza!$DZ14,0,R$2)</f>
        <v>1.2705954159999999</v>
      </c>
      <c r="S16">
        <f ca="1">OFFSET(Baza!$DZ14,0,S$2)</f>
        <v>11.203586789999999</v>
      </c>
      <c r="T16">
        <f ca="1">OFFSET(Baza!$DZ14,0,T$2)</f>
        <v>54.06957053</v>
      </c>
      <c r="U16" s="6">
        <f t="shared" ca="1" si="2"/>
        <v>1.2547347996906548</v>
      </c>
    </row>
    <row r="17" spans="1:21" x14ac:dyDescent="0.2">
      <c r="A17" s="1" t="s">
        <v>256</v>
      </c>
      <c r="B17">
        <f>Baza!DZ15</f>
        <v>2.2958323200000001</v>
      </c>
      <c r="C17">
        <f ca="1">OFFSET(Baza!$DZ15,0,C$2)</f>
        <v>1.8784980490000001</v>
      </c>
      <c r="D17">
        <f ca="1">OFFSET(Baza!$DZ15,0,D$2)</f>
        <v>4.1743303689999998</v>
      </c>
      <c r="E17">
        <f ca="1">OFFSET(Baza!$DZ15,0,E$2)</f>
        <v>1.8834341109999999</v>
      </c>
      <c r="F17">
        <f ca="1">OFFSET(Baza!$DZ15,0,F$2)</f>
        <v>7.0458048890000002</v>
      </c>
      <c r="G17">
        <f ca="1">OFFSET(Baza!$DZ15,0,G$2)</f>
        <v>0.68840122619999999</v>
      </c>
      <c r="H17">
        <f ca="1">OFFSET(Baza!$DZ15,0,H$2)</f>
        <v>0.8839150039</v>
      </c>
      <c r="I17">
        <f ca="1">OFFSET(Baza!$DZ15,0,I$2)</f>
        <v>0.28032825880000001</v>
      </c>
      <c r="J17">
        <f ca="1">OFFSET(Baza!$DZ15,0,J$2)</f>
        <v>3.461020714</v>
      </c>
      <c r="K17">
        <f ca="1">OFFSET(Baza!$DZ15,0,K$2)</f>
        <v>3.8062370639999998</v>
      </c>
      <c r="L17">
        <f ca="1">OFFSET(Baza!$DZ15,0,L$2)</f>
        <v>3.239567825</v>
      </c>
      <c r="M17">
        <f ca="1">OFFSET(Baza!$DZ15,0,M$2)</f>
        <v>6.7213401470000003</v>
      </c>
      <c r="N17">
        <f ca="1">OFFSET(Baza!$DZ15,0,N$2)</f>
        <v>4.7163922469999999</v>
      </c>
      <c r="O17">
        <f ca="1">OFFSET(Baza!$DZ15,0,O$2)</f>
        <v>0.16106597880000001</v>
      </c>
      <c r="P17">
        <f ca="1">OFFSET(Baza!$DZ15,0,P$2)</f>
        <v>5.7165254670000003</v>
      </c>
      <c r="Q17">
        <f ca="1">OFFSET(Baza!$DZ15,0,Q$2)</f>
        <v>1.6014428279999999</v>
      </c>
      <c r="R17">
        <f ca="1">OFFSET(Baza!$DZ15,0,R$2)</f>
        <v>1.2803888889999999</v>
      </c>
      <c r="S17">
        <f ca="1">OFFSET(Baza!$DZ15,0,S$2)</f>
        <v>10.97825804</v>
      </c>
      <c r="T17">
        <f ca="1">OFFSET(Baza!$DZ15,0,T$2)</f>
        <v>64.572701890000005</v>
      </c>
      <c r="U17" s="6">
        <f t="shared" ca="1" si="2"/>
        <v>1.2221638032694067</v>
      </c>
    </row>
    <row r="18" spans="1:21" x14ac:dyDescent="0.2">
      <c r="A18" s="1" t="s">
        <v>257</v>
      </c>
      <c r="B18">
        <f>Baza!DZ16</f>
        <v>2.2783225549999999</v>
      </c>
      <c r="C18">
        <f ca="1">OFFSET(Baza!$DZ16,0,C$2)</f>
        <v>1.812377079</v>
      </c>
      <c r="D18">
        <f ca="1">OFFSET(Baza!$DZ16,0,D$2)</f>
        <v>4.090699635</v>
      </c>
      <c r="E18">
        <f ca="1">OFFSET(Baza!$DZ16,0,E$2)</f>
        <v>2.1010302670000001</v>
      </c>
      <c r="F18">
        <f ca="1">OFFSET(Baza!$DZ16,0,F$2)</f>
        <v>6.9993067790000003</v>
      </c>
      <c r="G18">
        <f ca="1">OFFSET(Baza!$DZ16,0,G$2)</f>
        <v>0.68667493550000003</v>
      </c>
      <c r="H18">
        <f ca="1">OFFSET(Baza!$DZ16,0,H$2)</f>
        <v>0.88336765490000002</v>
      </c>
      <c r="I18">
        <f ca="1">OFFSET(Baza!$DZ16,0,I$2)</f>
        <v>0.32807185719999998</v>
      </c>
      <c r="J18">
        <f ca="1">OFFSET(Baza!$DZ16,0,J$2)</f>
        <v>3.5603762080000001</v>
      </c>
      <c r="K18">
        <f ca="1">OFFSET(Baza!$DZ16,0,K$2)</f>
        <v>3.7977914699999999</v>
      </c>
      <c r="L18">
        <f ca="1">OFFSET(Baza!$DZ16,0,L$2)</f>
        <v>3.2015153089999999</v>
      </c>
      <c r="M18">
        <f ca="1">OFFSET(Baza!$DZ16,0,M$2)</f>
        <v>6.6618320889999998</v>
      </c>
      <c r="N18">
        <f ca="1">OFFSET(Baza!$DZ16,0,N$2)</f>
        <v>4.627048447</v>
      </c>
      <c r="O18">
        <f ca="1">OFFSET(Baza!$DZ16,0,O$2)</f>
        <v>0.19816302699999999</v>
      </c>
      <c r="P18">
        <f ca="1">OFFSET(Baza!$DZ16,0,P$2)</f>
        <v>6.1091090230000002</v>
      </c>
      <c r="Q18">
        <f ca="1">OFFSET(Baza!$DZ16,0,Q$2)</f>
        <v>1.772016657</v>
      </c>
      <c r="R18">
        <f ca="1">OFFSET(Baza!$DZ16,0,R$2)</f>
        <v>1.267072185</v>
      </c>
      <c r="S18">
        <f ca="1">OFFSET(Baza!$DZ16,0,S$2)</f>
        <v>11.32737985</v>
      </c>
      <c r="T18">
        <f ca="1">OFFSET(Baza!$DZ16,0,T$2)</f>
        <v>52.090777539999998</v>
      </c>
      <c r="U18" s="6">
        <f t="shared" ca="1" si="2"/>
        <v>1.2570908015770597</v>
      </c>
    </row>
    <row r="19" spans="1:21" x14ac:dyDescent="0.2">
      <c r="A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</row>
    <row r="2" spans="1:23" x14ac:dyDescent="0.2">
      <c r="B2" s="3" t="s">
        <v>258</v>
      </c>
      <c r="C2" s="3">
        <v>4</v>
      </c>
      <c r="D2" s="3">
        <f>C2+4</f>
        <v>8</v>
      </c>
      <c r="E2" s="3">
        <f t="shared" ref="E2:W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  <c r="Q2" s="3">
        <f t="shared" si="1"/>
        <v>60</v>
      </c>
      <c r="R2" s="3">
        <f t="shared" si="1"/>
        <v>64</v>
      </c>
      <c r="S2" s="3">
        <f t="shared" si="1"/>
        <v>68</v>
      </c>
      <c r="T2" s="3">
        <f t="shared" si="1"/>
        <v>72</v>
      </c>
      <c r="U2" s="3">
        <f t="shared" si="1"/>
        <v>76</v>
      </c>
      <c r="V2" s="3">
        <f t="shared" si="1"/>
        <v>80</v>
      </c>
      <c r="W2" s="3">
        <f t="shared" si="1"/>
        <v>84</v>
      </c>
    </row>
    <row r="3" spans="1:23" x14ac:dyDescent="0.2">
      <c r="B3">
        <f>Baza!GX1</f>
        <v>51</v>
      </c>
      <c r="C3">
        <f ca="1">OFFSET(Baza!$GX1,0,C$2)</f>
        <v>51</v>
      </c>
      <c r="D3">
        <f ca="1">OFFSET(Baza!$GX1,0,D$2)</f>
        <v>51</v>
      </c>
      <c r="E3">
        <f ca="1">OFFSET(Baza!$GX1,0,E$2)</f>
        <v>51</v>
      </c>
      <c r="F3">
        <f ca="1">OFFSET(Baza!$GX1,0,F$2)</f>
        <v>51</v>
      </c>
      <c r="G3">
        <f ca="1">OFFSET(Baza!$GX1,0,G$2)</f>
        <v>51</v>
      </c>
      <c r="H3">
        <f ca="1">OFFSET(Baza!$GX1,0,H$2)</f>
        <v>51</v>
      </c>
      <c r="I3">
        <f ca="1">OFFSET(Baza!$GX1,0,I$2)</f>
        <v>51</v>
      </c>
      <c r="J3">
        <f ca="1">OFFSET(Baza!$GX1,0,J$2)</f>
        <v>51</v>
      </c>
      <c r="K3">
        <f ca="1">OFFSET(Baza!$GX1,0,K$2)</f>
        <v>51</v>
      </c>
      <c r="L3">
        <f ca="1">OFFSET(Baza!$GX1,0,L$2)</f>
        <v>51</v>
      </c>
      <c r="M3">
        <f ca="1">OFFSET(Baza!$GX1,0,M$2)</f>
        <v>51</v>
      </c>
      <c r="N3">
        <f ca="1">OFFSET(Baza!$GX1,0,N$2)</f>
        <v>51</v>
      </c>
      <c r="O3">
        <f ca="1">OFFSET(Baza!$GX1,0,O$2)</f>
        <v>51</v>
      </c>
      <c r="P3">
        <f ca="1">OFFSET(Baza!$GX1,0,P$2)</f>
        <v>51</v>
      </c>
      <c r="Q3">
        <f ca="1">OFFSET(Baza!$GX1,0,Q$2)</f>
        <v>51</v>
      </c>
      <c r="R3">
        <f ca="1">OFFSET(Baza!$GX1,0,R$2)</f>
        <v>51</v>
      </c>
      <c r="S3">
        <f ca="1">OFFSET(Baza!$GX1,0,S$2)</f>
        <v>51</v>
      </c>
      <c r="T3">
        <f ca="1">OFFSET(Baza!$GX1,0,T$2)</f>
        <v>51</v>
      </c>
    </row>
    <row r="4" spans="1:23" x14ac:dyDescent="0.2">
      <c r="B4" t="str">
        <f>Baza!GX2</f>
        <v>Rp[Średnia]</v>
      </c>
      <c r="C4" t="str">
        <f ca="1">OFFSET(Baza!$GX2,0,C$2)</f>
        <v>Rv[Średnia]</v>
      </c>
      <c r="D4" t="str">
        <f ca="1">OFFSET(Baza!$GX2,0,D$2)</f>
        <v>Rz[Średnia]</v>
      </c>
      <c r="E4" t="str">
        <f ca="1">OFFSET(Baza!$GX2,0,E$2)</f>
        <v>Rc (Brak uśredniania (pojedyncza wartość))[Średnia]</v>
      </c>
      <c r="F4" t="str">
        <f ca="1">OFFSET(Baza!$GX2,0,F$2)</f>
        <v>Rt[Średnia]</v>
      </c>
      <c r="G4" t="str">
        <f ca="1">OFFSET(Baza!$GX2,0,G$2)</f>
        <v>Ra[Średnia]</v>
      </c>
      <c r="H4" t="str">
        <f ca="1">OFFSET(Baza!$GX2,0,H$2)</f>
        <v>Rq[Średnia]</v>
      </c>
      <c r="I4" t="str">
        <f ca="1">OFFSET(Baza!$GX2,0,I$2)</f>
        <v>Rsk[Średnia]</v>
      </c>
      <c r="J4" t="str">
        <f ca="1">OFFSET(Baza!$GX2,0,J$2)</f>
        <v>Rku[Średnia]</v>
      </c>
      <c r="K4" t="str">
        <f ca="1">OFFSET(Baza!$GX2,0,K$2)</f>
        <v>Rp1max[Średnia]</v>
      </c>
      <c r="L4" t="str">
        <f ca="1">OFFSET(Baza!$GX2,0,L$2)</f>
        <v>Rv1max[Średnia]</v>
      </c>
      <c r="M4" t="str">
        <f ca="1">OFFSET(Baza!$GX2,0,M$2)</f>
        <v>Rz1max[Średnia]</v>
      </c>
      <c r="N4" t="str">
        <f ca="1">OFFSET(Baza!$GX2,0,N$2)</f>
        <v>Rz(n) (Wskaźnik λc = 1)[Średnia]</v>
      </c>
      <c r="O4" t="str">
        <f ca="1">OFFSET(Baza!$GX2,0,O$2)</f>
        <v>RSm (Brak uśredniania (pojedyncza wartość))[Średnia]</v>
      </c>
      <c r="P4" t="str">
        <f ca="1">OFFSET(Baza!$GX2,0,P$2)</f>
        <v>Rdq[Średnia]</v>
      </c>
      <c r="Q4" t="str">
        <f ca="1">OFFSET(Baza!$GX2,0,Q$2)</f>
        <v>Rmr (c = 1 µm poniżej najwyższego wypiętrzenia)[Średnia]</v>
      </c>
      <c r="R4" t="str">
        <f ca="1">OFFSET(Baza!$GX2,0,R$2)</f>
        <v>Rdc (p = 20%, q = 80%)[Średnia]</v>
      </c>
      <c r="S4" t="str">
        <f ca="1">OFFSET(Baza!$GX2,0,S$2)</f>
        <v>Rmr (Rz/4) (c = Rz/4 µm powyżej płaszczyzny średniej)[Średnia]</v>
      </c>
      <c r="T4" t="str">
        <f ca="1">OFFSET(Baza!$GX2,0,T$2)</f>
        <v>RPc (Brak uśredniania (pojedyncza wartość))[Średnia]</v>
      </c>
    </row>
    <row r="5" spans="1:23" x14ac:dyDescent="0.2">
      <c r="B5" t="str">
        <f>Baza!GX3</f>
        <v>µm</v>
      </c>
      <c r="C5" t="str">
        <f ca="1">OFFSET(Baza!$GX3,0,C$2)</f>
        <v>µm</v>
      </c>
      <c r="D5" t="str">
        <f ca="1">OFFSET(Baza!$GX3,0,D$2)</f>
        <v>µm</v>
      </c>
      <c r="E5" t="str">
        <f ca="1">OFFSET(Baza!$GX3,0,E$2)</f>
        <v>µm</v>
      </c>
      <c r="F5" t="str">
        <f ca="1">OFFSET(Baza!$GX3,0,F$2)</f>
        <v>µm</v>
      </c>
      <c r="G5" t="str">
        <f ca="1">OFFSET(Baza!$GX3,0,G$2)</f>
        <v>µm</v>
      </c>
      <c r="H5" t="str">
        <f ca="1">OFFSET(Baza!$GX3,0,H$2)</f>
        <v>µm</v>
      </c>
      <c r="I5" t="str">
        <f ca="1">OFFSET(Baza!$GX3,0,I$2)</f>
        <v>&lt;no unit&gt;</v>
      </c>
      <c r="J5" t="str">
        <f ca="1">OFFSET(Baza!$GX3,0,J$2)</f>
        <v>&lt;no unit&gt;</v>
      </c>
      <c r="K5" t="str">
        <f ca="1">OFFSET(Baza!$GX3,0,K$2)</f>
        <v>µm</v>
      </c>
      <c r="L5" t="str">
        <f ca="1">OFFSET(Baza!$GX3,0,L$2)</f>
        <v>µm</v>
      </c>
      <c r="M5" t="str">
        <f ca="1">OFFSET(Baza!$GX3,0,M$2)</f>
        <v>µm</v>
      </c>
      <c r="N5" t="str">
        <f ca="1">OFFSET(Baza!$GX3,0,N$2)</f>
        <v>µm</v>
      </c>
      <c r="O5" t="str">
        <f ca="1">OFFSET(Baza!$GX3,0,O$2)</f>
        <v>mm</v>
      </c>
      <c r="P5" t="str">
        <f ca="1">OFFSET(Baza!$GX3,0,P$2)</f>
        <v>°</v>
      </c>
      <c r="Q5" t="str">
        <f ca="1">OFFSET(Baza!$GX3,0,Q$2)</f>
        <v>%</v>
      </c>
      <c r="R5" t="str">
        <f ca="1">OFFSET(Baza!$GX3,0,R$2)</f>
        <v>µm</v>
      </c>
      <c r="S5" t="str">
        <f ca="1">OFFSET(Baza!$GX3,0,S$2)</f>
        <v>%</v>
      </c>
      <c r="T5" t="str">
        <f ca="1">OFFSET(Baza!$GX3,0,T$2)</f>
        <v>1/cm</v>
      </c>
    </row>
    <row r="6" spans="1:23" x14ac:dyDescent="0.2">
      <c r="A6" s="1" t="s">
        <v>245</v>
      </c>
      <c r="B6">
        <f>Baza!GX4</f>
        <v>2.4220144769999998</v>
      </c>
      <c r="C6">
        <f ca="1">OFFSET(Baza!$GX4,0,C$2)</f>
        <v>2.2132579479999999</v>
      </c>
      <c r="D6">
        <f ca="1">OFFSET(Baza!$GX4,0,D$2)</f>
        <v>4.6352724250000001</v>
      </c>
      <c r="E6">
        <f ca="1">OFFSET(Baza!$GX4,0,E$2)</f>
        <v>1.710473087</v>
      </c>
      <c r="F6">
        <f ca="1">OFFSET(Baza!$GX4,0,F$2)</f>
        <v>7.2757282630000004</v>
      </c>
      <c r="G6">
        <f ca="1">OFFSET(Baza!$GX4,0,G$2)</f>
        <v>0.70492819849999999</v>
      </c>
      <c r="H6">
        <f ca="1">OFFSET(Baza!$GX4,0,H$2)</f>
        <v>0.90310254000000001</v>
      </c>
      <c r="I6">
        <f ca="1">OFFSET(Baza!$GX4,0,I$2)</f>
        <v>0.19724205829999999</v>
      </c>
      <c r="J6">
        <f ca="1">OFFSET(Baza!$GX4,0,J$2)</f>
        <v>3.410631747</v>
      </c>
      <c r="K6">
        <f ca="1">OFFSET(Baza!$GX4,0,K$2)</f>
        <v>3.729841628</v>
      </c>
      <c r="L6">
        <f ca="1">OFFSET(Baza!$GX4,0,L$2)</f>
        <v>3.5458866360000001</v>
      </c>
      <c r="M6">
        <f ca="1">OFFSET(Baza!$GX4,0,M$2)</f>
        <v>6.8729092679999999</v>
      </c>
      <c r="N6">
        <f ca="1">OFFSET(Baza!$GX4,0,N$2)</f>
        <v>5.1113636739999997</v>
      </c>
      <c r="O6">
        <f ca="1">OFFSET(Baza!$GX4,0,O$2)</f>
        <v>8.4520802270000001E-2</v>
      </c>
      <c r="P6">
        <f ca="1">OFFSET(Baza!$GX4,0,P$2)</f>
        <v>6.1573693379999996</v>
      </c>
      <c r="Q6">
        <f ca="1">OFFSET(Baza!$GX4,0,Q$2)</f>
        <v>1.5757683629999999</v>
      </c>
      <c r="R6">
        <f ca="1">OFFSET(Baza!$GX4,0,R$2)</f>
        <v>1.3373418829999999</v>
      </c>
      <c r="S6">
        <f ca="1">OFFSET(Baza!$GX4,0,S$2)</f>
        <v>9.5080186260000001</v>
      </c>
      <c r="T6">
        <f ca="1">OFFSET(Baza!$GX4,0,T$2)</f>
        <v>121.1548892</v>
      </c>
    </row>
    <row r="7" spans="1:23" x14ac:dyDescent="0.2">
      <c r="A7" s="1" t="s">
        <v>246</v>
      </c>
      <c r="B7">
        <f>Baza!GX5</f>
        <v>2.4854212439999999</v>
      </c>
      <c r="C7">
        <f ca="1">OFFSET(Baza!$GX5,0,C$2)</f>
        <v>2.5988078969999999</v>
      </c>
      <c r="D7">
        <f ca="1">OFFSET(Baza!$GX5,0,D$2)</f>
        <v>5.0842291409999998</v>
      </c>
      <c r="E7">
        <f ca="1">OFFSET(Baza!$GX5,0,E$2)</f>
        <v>1.9081854300000001</v>
      </c>
      <c r="F7">
        <f ca="1">OFFSET(Baza!$GX5,0,F$2)</f>
        <v>7.6926183840000002</v>
      </c>
      <c r="G7">
        <f ca="1">OFFSET(Baza!$GX5,0,G$2)</f>
        <v>0.76219476350000004</v>
      </c>
      <c r="H7">
        <f ca="1">OFFSET(Baza!$GX5,0,H$2)</f>
        <v>0.97629964859999996</v>
      </c>
      <c r="I7">
        <f ca="1">OFFSET(Baza!$GX5,0,I$2)</f>
        <v>3.7516408399999999E-2</v>
      </c>
      <c r="J7">
        <f ca="1">OFFSET(Baza!$GX5,0,J$2)</f>
        <v>3.3948088200000002</v>
      </c>
      <c r="K7">
        <f ca="1">OFFSET(Baza!$GX5,0,K$2)</f>
        <v>3.7621078959999998</v>
      </c>
      <c r="L7">
        <f ca="1">OFFSET(Baza!$GX5,0,L$2)</f>
        <v>3.930510489</v>
      </c>
      <c r="M7">
        <f ca="1">OFFSET(Baza!$GX5,0,M$2)</f>
        <v>7.2346645049999996</v>
      </c>
      <c r="N7">
        <f ca="1">OFFSET(Baza!$GX5,0,N$2)</f>
        <v>5.6310988469999996</v>
      </c>
      <c r="O7">
        <f ca="1">OFFSET(Baza!$GX5,0,O$2)</f>
        <v>8.2575150989999999E-2</v>
      </c>
      <c r="P7">
        <f ca="1">OFFSET(Baza!$GX5,0,P$2)</f>
        <v>6.6835815099999998</v>
      </c>
      <c r="Q7">
        <f ca="1">OFFSET(Baza!$GX5,0,Q$2)</f>
        <v>1.6837327550000001</v>
      </c>
      <c r="R7">
        <f ca="1">OFFSET(Baza!$GX5,0,R$2)</f>
        <v>1.457623543</v>
      </c>
      <c r="S7">
        <f ca="1">OFFSET(Baza!$GX5,0,S$2)</f>
        <v>9.1411946739999994</v>
      </c>
      <c r="T7">
        <f ca="1">OFFSET(Baza!$GX5,0,T$2)</f>
        <v>123.9227925</v>
      </c>
    </row>
    <row r="8" spans="1:23" x14ac:dyDescent="0.2">
      <c r="A8" s="1" t="s">
        <v>247</v>
      </c>
      <c r="B8">
        <f>Baza!GX6</f>
        <v>2.608597622</v>
      </c>
      <c r="C8">
        <f ca="1">OFFSET(Baza!$GX6,0,C$2)</f>
        <v>2.9094317859999999</v>
      </c>
      <c r="D8">
        <f ca="1">OFFSET(Baza!$GX6,0,D$2)</f>
        <v>5.5180294080000003</v>
      </c>
      <c r="E8">
        <f ca="1">OFFSET(Baza!$GX6,0,E$2)</f>
        <v>2.0871461710000001</v>
      </c>
      <c r="F8">
        <f ca="1">OFFSET(Baza!$GX6,0,F$2)</f>
        <v>8.1969176580000003</v>
      </c>
      <c r="G8">
        <f ca="1">OFFSET(Baza!$GX6,0,G$2)</f>
        <v>0.81795185560000006</v>
      </c>
      <c r="H8">
        <f ca="1">OFFSET(Baza!$GX6,0,H$2)</f>
        <v>1.0473204169999999</v>
      </c>
      <c r="I8">
        <f ca="1">OFFSET(Baza!$GX6,0,I$2)</f>
        <v>-6.3890574869999994E-2</v>
      </c>
      <c r="J8">
        <f ca="1">OFFSET(Baza!$GX6,0,J$2)</f>
        <v>3.4064900769999999</v>
      </c>
      <c r="K8">
        <f ca="1">OFFSET(Baza!$GX6,0,K$2)</f>
        <v>3.8979461209999999</v>
      </c>
      <c r="L8">
        <f ca="1">OFFSET(Baza!$GX6,0,L$2)</f>
        <v>4.2989715369999999</v>
      </c>
      <c r="M8">
        <f ca="1">OFFSET(Baza!$GX6,0,M$2)</f>
        <v>7.7058249109999997</v>
      </c>
      <c r="N8">
        <f ca="1">OFFSET(Baza!$GX6,0,N$2)</f>
        <v>6.0991903680000004</v>
      </c>
      <c r="O8">
        <f ca="1">OFFSET(Baza!$GX6,0,O$2)</f>
        <v>7.8416372779999993E-2</v>
      </c>
      <c r="P8">
        <f ca="1">OFFSET(Baza!$GX6,0,P$2)</f>
        <v>7.4803925209999997</v>
      </c>
      <c r="Q8">
        <f ca="1">OFFSET(Baza!$GX6,0,Q$2)</f>
        <v>1.5693422370000001</v>
      </c>
      <c r="R8">
        <f ca="1">OFFSET(Baza!$GX6,0,R$2)</f>
        <v>1.579377037</v>
      </c>
      <c r="S8">
        <f ca="1">OFFSET(Baza!$GX6,0,S$2)</f>
        <v>8.8227897449999997</v>
      </c>
      <c r="T8">
        <f ca="1">OFFSET(Baza!$GX6,0,T$2)</f>
        <v>130.08008570000001</v>
      </c>
    </row>
    <row r="9" spans="1:23" x14ac:dyDescent="0.2">
      <c r="A9" s="1" t="s">
        <v>248</v>
      </c>
      <c r="B9">
        <f>Baza!GX7</f>
        <v>2.7607069900000001</v>
      </c>
      <c r="C9">
        <f ca="1">OFFSET(Baza!$GX7,0,C$2)</f>
        <v>2.5956452840000002</v>
      </c>
      <c r="D9">
        <f ca="1">OFFSET(Baza!$GX7,0,D$2)</f>
        <v>5.3563522739999998</v>
      </c>
      <c r="E9">
        <f ca="1">OFFSET(Baza!$GX7,0,E$2)</f>
        <v>1.902748069</v>
      </c>
      <c r="F9">
        <f ca="1">OFFSET(Baza!$GX7,0,F$2)</f>
        <v>7.9384861740000003</v>
      </c>
      <c r="G9">
        <f ca="1">OFFSET(Baza!$GX7,0,G$2)</f>
        <v>0.7692481685</v>
      </c>
      <c r="H9">
        <f ca="1">OFFSET(Baza!$GX7,0,H$2)</f>
        <v>0.98561729899999995</v>
      </c>
      <c r="I9">
        <f ca="1">OFFSET(Baza!$GX7,0,I$2)</f>
        <v>0.15458328469999999</v>
      </c>
      <c r="J9">
        <f ca="1">OFFSET(Baza!$GX7,0,J$2)</f>
        <v>3.4506086119999999</v>
      </c>
      <c r="K9">
        <f ca="1">OFFSET(Baza!$GX7,0,K$2)</f>
        <v>4.0419077999999997</v>
      </c>
      <c r="L9">
        <f ca="1">OFFSET(Baza!$GX7,0,L$2)</f>
        <v>3.8965783740000002</v>
      </c>
      <c r="M9">
        <f ca="1">OFFSET(Baza!$GX7,0,M$2)</f>
        <v>7.466021316</v>
      </c>
      <c r="N9">
        <f ca="1">OFFSET(Baza!$GX7,0,N$2)</f>
        <v>5.8372250110000001</v>
      </c>
      <c r="O9">
        <f ca="1">OFFSET(Baza!$GX7,0,O$2)</f>
        <v>6.0224930900000001E-2</v>
      </c>
      <c r="P9">
        <f ca="1">OFFSET(Baza!$GX7,0,P$2)</f>
        <v>9.4974649719999995</v>
      </c>
      <c r="Q9">
        <f ca="1">OFFSET(Baza!$GX7,0,Q$2)</f>
        <v>1.139591013</v>
      </c>
      <c r="R9">
        <f ca="1">OFFSET(Baza!$GX7,0,R$2)</f>
        <v>1.478498611</v>
      </c>
      <c r="S9">
        <f ca="1">OFFSET(Baza!$GX7,0,S$2)</f>
        <v>8.6517217340000006</v>
      </c>
      <c r="T9">
        <f ca="1">OFFSET(Baza!$GX7,0,T$2)</f>
        <v>169.20724430000001</v>
      </c>
    </row>
    <row r="10" spans="1:23" x14ac:dyDescent="0.2">
      <c r="A10" s="1" t="s">
        <v>249</v>
      </c>
      <c r="B10">
        <f>Baza!GX8</f>
        <v>2.8086865560000001</v>
      </c>
      <c r="C10">
        <f ca="1">OFFSET(Baza!$GX8,0,C$2)</f>
        <v>3.150791436</v>
      </c>
      <c r="D10">
        <f ca="1">OFFSET(Baza!$GX8,0,D$2)</f>
        <v>5.9594779920000001</v>
      </c>
      <c r="E10">
        <f ca="1">OFFSET(Baza!$GX8,0,E$2)</f>
        <v>2.1850329720000001</v>
      </c>
      <c r="F10">
        <f ca="1">OFFSET(Baza!$GX8,0,F$2)</f>
        <v>8.658990974</v>
      </c>
      <c r="G10">
        <f ca="1">OFFSET(Baza!$GX8,0,G$2)</f>
        <v>0.85028968979999997</v>
      </c>
      <c r="H10">
        <f ca="1">OFFSET(Baza!$GX8,0,H$2)</f>
        <v>1.088472407</v>
      </c>
      <c r="I10">
        <f ca="1">OFFSET(Baza!$GX8,0,I$2)</f>
        <v>-6.4386153279999997E-2</v>
      </c>
      <c r="J10">
        <f ca="1">OFFSET(Baza!$GX8,0,J$2)</f>
        <v>3.4682745599999998</v>
      </c>
      <c r="K10">
        <f ca="1">OFFSET(Baza!$GX8,0,K$2)</f>
        <v>4.1472411999999998</v>
      </c>
      <c r="L10">
        <f ca="1">OFFSET(Baza!$GX8,0,L$2)</f>
        <v>4.5113361469999997</v>
      </c>
      <c r="M10">
        <f ca="1">OFFSET(Baza!$GX8,0,M$2)</f>
        <v>8.0661792259999991</v>
      </c>
      <c r="N10">
        <f ca="1">OFFSET(Baza!$GX8,0,N$2)</f>
        <v>6.5107696050000001</v>
      </c>
      <c r="O10">
        <f ca="1">OFFSET(Baza!$GX8,0,O$2)</f>
        <v>6.1105594620000002E-2</v>
      </c>
      <c r="P10">
        <f ca="1">OFFSET(Baza!$GX8,0,P$2)</f>
        <v>10.187736060000001</v>
      </c>
      <c r="Q10">
        <f ca="1">OFFSET(Baza!$GX8,0,Q$2)</f>
        <v>1.097152452</v>
      </c>
      <c r="R10">
        <f ca="1">OFFSET(Baza!$GX8,0,R$2)</f>
        <v>1.6517941279999999</v>
      </c>
      <c r="S10">
        <f ca="1">OFFSET(Baza!$GX8,0,S$2)</f>
        <v>8.1985635499999994</v>
      </c>
      <c r="T10">
        <f ca="1">OFFSET(Baza!$GX8,0,T$2)</f>
        <v>166.39519430000001</v>
      </c>
    </row>
    <row r="11" spans="1:23" x14ac:dyDescent="0.2">
      <c r="A11" s="1" t="s">
        <v>250</v>
      </c>
      <c r="B11">
        <f>Baza!GX9</f>
        <v>2.9569341850000002</v>
      </c>
      <c r="C11">
        <f ca="1">OFFSET(Baza!$GX9,0,C$2)</f>
        <v>3.496082597</v>
      </c>
      <c r="D11">
        <f ca="1">OFFSET(Baza!$GX9,0,D$2)</f>
        <v>6.4530167809999996</v>
      </c>
      <c r="E11">
        <f ca="1">OFFSET(Baza!$GX9,0,E$2)</f>
        <v>2.3955928989999999</v>
      </c>
      <c r="F11">
        <f ca="1">OFFSET(Baza!$GX9,0,F$2)</f>
        <v>9.1913427950000006</v>
      </c>
      <c r="G11">
        <f ca="1">OFFSET(Baza!$GX9,0,G$2)</f>
        <v>0.91691846330000004</v>
      </c>
      <c r="H11">
        <f ca="1">OFFSET(Baza!$GX9,0,H$2)</f>
        <v>1.1733447969999999</v>
      </c>
      <c r="I11">
        <f ca="1">OFFSET(Baza!$GX9,0,I$2)</f>
        <v>-0.1613589859</v>
      </c>
      <c r="J11">
        <f ca="1">OFFSET(Baza!$GX9,0,J$2)</f>
        <v>3.4651718389999999</v>
      </c>
      <c r="K11">
        <f ca="1">OFFSET(Baza!$GX9,0,K$2)</f>
        <v>4.274356536</v>
      </c>
      <c r="L11">
        <f ca="1">OFFSET(Baza!$GX9,0,L$2)</f>
        <v>4.9154470850000003</v>
      </c>
      <c r="M11">
        <f ca="1">OFFSET(Baza!$GX9,0,M$2)</f>
        <v>8.6246044840000007</v>
      </c>
      <c r="N11">
        <f ca="1">OFFSET(Baza!$GX9,0,N$2)</f>
        <v>7.1053036580000004</v>
      </c>
      <c r="O11">
        <f ca="1">OFFSET(Baza!$GX9,0,O$2)</f>
        <v>5.8299227350000003E-2</v>
      </c>
      <c r="P11">
        <f ca="1">OFFSET(Baza!$GX9,0,P$2)</f>
        <v>11.41996666</v>
      </c>
      <c r="Q11">
        <f ca="1">OFFSET(Baza!$GX9,0,Q$2)</f>
        <v>1.1299369859999999</v>
      </c>
      <c r="R11">
        <f ca="1">OFFSET(Baza!$GX9,0,R$2)</f>
        <v>1.7964033559999999</v>
      </c>
      <c r="S11">
        <f ca="1">OFFSET(Baza!$GX9,0,S$2)</f>
        <v>7.9216941140000001</v>
      </c>
      <c r="T11">
        <f ca="1">OFFSET(Baza!$GX9,0,T$2)</f>
        <v>174.2154721</v>
      </c>
    </row>
    <row r="12" spans="1:23" x14ac:dyDescent="0.2">
      <c r="A12" s="1" t="s">
        <v>251</v>
      </c>
      <c r="B12">
        <f>Baza!GX10</f>
        <v>2.297254267</v>
      </c>
      <c r="C12">
        <f ca="1">OFFSET(Baza!$GX10,0,C$2)</f>
        <v>2.1441615879999998</v>
      </c>
      <c r="D12">
        <f ca="1">OFFSET(Baza!$GX10,0,D$2)</f>
        <v>4.4414158549999998</v>
      </c>
      <c r="E12">
        <f ca="1">OFFSET(Baza!$GX10,0,E$2)</f>
        <v>1.8097808479999999</v>
      </c>
      <c r="F12">
        <f ca="1">OFFSET(Baza!$GX10,0,F$2)</f>
        <v>6.8677424580000004</v>
      </c>
      <c r="G12">
        <f ca="1">OFFSET(Baza!$GX10,0,G$2)</f>
        <v>0.71821161850000004</v>
      </c>
      <c r="H12">
        <f ca="1">OFFSET(Baza!$GX10,0,H$2)</f>
        <v>0.91318093440000003</v>
      </c>
      <c r="I12">
        <f ca="1">OFFSET(Baza!$GX10,0,I$2)</f>
        <v>0.12650615730000001</v>
      </c>
      <c r="J12">
        <f ca="1">OFFSET(Baza!$GX10,0,J$2)</f>
        <v>3.184929007</v>
      </c>
      <c r="K12">
        <f ca="1">OFFSET(Baza!$GX10,0,K$2)</f>
        <v>3.541160095</v>
      </c>
      <c r="L12">
        <f ca="1">OFFSET(Baza!$GX10,0,L$2)</f>
        <v>3.3265823619999999</v>
      </c>
      <c r="M12">
        <f ca="1">OFFSET(Baza!$GX10,0,M$2)</f>
        <v>6.5347437160000004</v>
      </c>
      <c r="N12">
        <f ca="1">OFFSET(Baza!$GX10,0,N$2)</f>
        <v>4.986121689</v>
      </c>
      <c r="O12">
        <f ca="1">OFFSET(Baza!$GX10,0,O$2)</f>
        <v>9.8438855389999996E-2</v>
      </c>
      <c r="P12">
        <f ca="1">OFFSET(Baza!$GX10,0,P$2)</f>
        <v>4.3501742950000004</v>
      </c>
      <c r="Q12">
        <f ca="1">OFFSET(Baza!$GX10,0,Q$2)</f>
        <v>1.929072656</v>
      </c>
      <c r="R12">
        <f ca="1">OFFSET(Baza!$GX10,0,R$2)</f>
        <v>1.389552071</v>
      </c>
      <c r="S12">
        <f ca="1">OFFSET(Baza!$GX10,0,S$2)</f>
        <v>10.43933612</v>
      </c>
      <c r="T12">
        <f ca="1">OFFSET(Baza!$GX10,0,T$2)</f>
        <v>103.390187</v>
      </c>
    </row>
    <row r="13" spans="1:23" x14ac:dyDescent="0.2">
      <c r="A13" s="1" t="s">
        <v>252</v>
      </c>
      <c r="B13">
        <f>Baza!GX11</f>
        <v>2.1037593800000001</v>
      </c>
      <c r="C13">
        <f ca="1">OFFSET(Baza!$GX11,0,C$2)</f>
        <v>1.9062397149999999</v>
      </c>
      <c r="D13">
        <f ca="1">OFFSET(Baza!$GX11,0,D$2)</f>
        <v>4.0099990950000004</v>
      </c>
      <c r="E13">
        <f ca="1">OFFSET(Baza!$GX11,0,E$2)</f>
        <v>1.7173043429999999</v>
      </c>
      <c r="F13">
        <f ca="1">OFFSET(Baza!$GX11,0,F$2)</f>
        <v>6.3498092049999997</v>
      </c>
      <c r="G13">
        <f ca="1">OFFSET(Baza!$GX11,0,G$2)</f>
        <v>0.67308282620000004</v>
      </c>
      <c r="H13">
        <f ca="1">OFFSET(Baza!$GX11,0,H$2)</f>
        <v>0.85208605780000002</v>
      </c>
      <c r="I13">
        <f ca="1">OFFSET(Baza!$GX11,0,I$2)</f>
        <v>0.1421604598</v>
      </c>
      <c r="J13">
        <f ca="1">OFFSET(Baza!$GX11,0,J$2)</f>
        <v>3.1215030939999999</v>
      </c>
      <c r="K13">
        <f ca="1">OFFSET(Baza!$GX11,0,K$2)</f>
        <v>3.2869700740000001</v>
      </c>
      <c r="L13">
        <f ca="1">OFFSET(Baza!$GX11,0,L$2)</f>
        <v>3.062839131</v>
      </c>
      <c r="M13">
        <f ca="1">OFFSET(Baza!$GX11,0,M$2)</f>
        <v>6.0198026159999998</v>
      </c>
      <c r="N13">
        <f ca="1">OFFSET(Baza!$GX11,0,N$2)</f>
        <v>4.7033699630000001</v>
      </c>
      <c r="O13">
        <f ca="1">OFFSET(Baza!$GX11,0,O$2)</f>
        <v>0.1217767474</v>
      </c>
      <c r="P13">
        <f ca="1">OFFSET(Baza!$GX11,0,P$2)</f>
        <v>3.5940323099999998</v>
      </c>
      <c r="Q13">
        <f ca="1">OFFSET(Baza!$GX11,0,Q$2)</f>
        <v>2.3263011360000001</v>
      </c>
      <c r="R13">
        <f ca="1">OFFSET(Baza!$GX11,0,R$2)</f>
        <v>1.2940501390000001</v>
      </c>
      <c r="S13">
        <f ca="1">OFFSET(Baza!$GX11,0,S$2)</f>
        <v>11.12464013</v>
      </c>
      <c r="T13">
        <f ca="1">OFFSET(Baza!$GX11,0,T$2)</f>
        <v>84.324788850000004</v>
      </c>
    </row>
    <row r="14" spans="1:23" x14ac:dyDescent="0.2">
      <c r="A14" s="1" t="s">
        <v>253</v>
      </c>
      <c r="B14">
        <f>Baza!GX12</f>
        <v>2.2698241260000001</v>
      </c>
      <c r="C14">
        <f ca="1">OFFSET(Baza!$GX12,0,C$2)</f>
        <v>2.079620153</v>
      </c>
      <c r="D14">
        <f ca="1">OFFSET(Baza!$GX12,0,D$2)</f>
        <v>4.3494442790000001</v>
      </c>
      <c r="E14">
        <f ca="1">OFFSET(Baza!$GX12,0,E$2)</f>
        <v>1.9058232479999999</v>
      </c>
      <c r="F14">
        <f ca="1">OFFSET(Baza!$GX12,0,F$2)</f>
        <v>6.6210660260000003</v>
      </c>
      <c r="G14">
        <f ca="1">OFFSET(Baza!$GX12,0,G$2)</f>
        <v>0.72684953299999999</v>
      </c>
      <c r="H14">
        <f ca="1">OFFSET(Baza!$GX12,0,H$2)</f>
        <v>0.91384816040000005</v>
      </c>
      <c r="I14">
        <f ca="1">OFFSET(Baza!$GX12,0,I$2)</f>
        <v>9.7652802060000002E-2</v>
      </c>
      <c r="J14">
        <f ca="1">OFFSET(Baza!$GX12,0,J$2)</f>
        <v>3.039352321</v>
      </c>
      <c r="K14">
        <f ca="1">OFFSET(Baza!$GX12,0,K$2)</f>
        <v>3.4205554299999998</v>
      </c>
      <c r="L14">
        <f ca="1">OFFSET(Baza!$GX12,0,L$2)</f>
        <v>3.200510596</v>
      </c>
      <c r="M14">
        <f ca="1">OFFSET(Baza!$GX12,0,M$2)</f>
        <v>6.2908698369999998</v>
      </c>
      <c r="N14">
        <f ca="1">OFFSET(Baza!$GX12,0,N$2)</f>
        <v>5.2518734629999999</v>
      </c>
      <c r="O14">
        <f ca="1">OFFSET(Baza!$GX12,0,O$2)</f>
        <v>0.11056543200000001</v>
      </c>
      <c r="P14">
        <f ca="1">OFFSET(Baza!$GX12,0,P$2)</f>
        <v>4.218585139</v>
      </c>
      <c r="Q14">
        <f ca="1">OFFSET(Baza!$GX12,0,Q$2)</f>
        <v>1.9550004599999999</v>
      </c>
      <c r="R14">
        <f ca="1">OFFSET(Baza!$GX12,0,R$2)</f>
        <v>1.4354542560000001</v>
      </c>
      <c r="S14">
        <f ca="1">OFFSET(Baza!$GX12,0,S$2)</f>
        <v>11.16737674</v>
      </c>
      <c r="T14">
        <f ca="1">OFFSET(Baza!$GX12,0,T$2)</f>
        <v>92.261089949999999</v>
      </c>
    </row>
    <row r="15" spans="1:23" x14ac:dyDescent="0.2">
      <c r="A15" s="1" t="s">
        <v>254</v>
      </c>
      <c r="B15">
        <f>Baza!GX13</f>
        <v>2.5604177039999998</v>
      </c>
      <c r="C15">
        <f ca="1">OFFSET(Baza!$GX13,0,C$2)</f>
        <v>2.3326542909999999</v>
      </c>
      <c r="D15">
        <f ca="1">OFFSET(Baza!$GX13,0,D$2)</f>
        <v>4.8930719949999997</v>
      </c>
      <c r="E15">
        <f ca="1">OFFSET(Baza!$GX13,0,E$2)</f>
        <v>2.0679044339999999</v>
      </c>
      <c r="F15">
        <f ca="1">OFFSET(Baza!$GX13,0,F$2)</f>
        <v>7.499465432</v>
      </c>
      <c r="G15">
        <f ca="1">OFFSET(Baza!$GX13,0,G$2)</f>
        <v>0.76795934359999996</v>
      </c>
      <c r="H15">
        <f ca="1">OFFSET(Baza!$GX13,0,H$2)</f>
        <v>0.98002594610000004</v>
      </c>
      <c r="I15">
        <f ca="1">OFFSET(Baza!$GX13,0,I$2)</f>
        <v>0.2015602903</v>
      </c>
      <c r="J15">
        <f ca="1">OFFSET(Baza!$GX13,0,J$2)</f>
        <v>3.4253101410000002</v>
      </c>
      <c r="K15">
        <f ca="1">OFFSET(Baza!$GX13,0,K$2)</f>
        <v>3.8827016639999998</v>
      </c>
      <c r="L15">
        <f ca="1">OFFSET(Baza!$GX13,0,L$2)</f>
        <v>3.6167637680000002</v>
      </c>
      <c r="M15">
        <f ca="1">OFFSET(Baza!$GX13,0,M$2)</f>
        <v>7.1056446370000002</v>
      </c>
      <c r="N15">
        <f ca="1">OFFSET(Baza!$GX13,0,N$2)</f>
        <v>5.3175057419999998</v>
      </c>
      <c r="O15">
        <f ca="1">OFFSET(Baza!$GX13,0,O$2)</f>
        <v>8.7527555810000005E-2</v>
      </c>
      <c r="P15">
        <f ca="1">OFFSET(Baza!$GX13,0,P$2)</f>
        <v>10.306137590000001</v>
      </c>
      <c r="Q15">
        <f ca="1">OFFSET(Baza!$GX13,0,Q$2)</f>
        <v>1.5150355980000001</v>
      </c>
      <c r="R15">
        <f ca="1">OFFSET(Baza!$GX13,0,R$2)</f>
        <v>1.4628597189999999</v>
      </c>
      <c r="S15">
        <f ca="1">OFFSET(Baza!$GX13,0,S$2)</f>
        <v>10.324430449999999</v>
      </c>
      <c r="T15">
        <f ca="1">OFFSET(Baza!$GX13,0,T$2)</f>
        <v>116.3502555</v>
      </c>
    </row>
    <row r="16" spans="1:23" x14ac:dyDescent="0.2">
      <c r="A16" s="1" t="s">
        <v>255</v>
      </c>
      <c r="B16">
        <f>Baza!GX14</f>
        <v>2.2598265</v>
      </c>
      <c r="C16">
        <f ca="1">OFFSET(Baza!$GX14,0,C$2)</f>
        <v>1.8005477519999999</v>
      </c>
      <c r="D16">
        <f ca="1">OFFSET(Baza!$GX14,0,D$2)</f>
        <v>4.060374253</v>
      </c>
      <c r="E16">
        <f ca="1">OFFSET(Baza!$GX14,0,E$2)</f>
        <v>2.0447347790000001</v>
      </c>
      <c r="F16">
        <f ca="1">OFFSET(Baza!$GX14,0,F$2)</f>
        <v>6.7813445840000002</v>
      </c>
      <c r="G16">
        <f ca="1">OFFSET(Baza!$GX14,0,G$2)</f>
        <v>0.67952126349999997</v>
      </c>
      <c r="H16">
        <f ca="1">OFFSET(Baza!$GX14,0,H$2)</f>
        <v>0.87272930660000003</v>
      </c>
      <c r="I16">
        <f ca="1">OFFSET(Baza!$GX14,0,I$2)</f>
        <v>0.32424925500000001</v>
      </c>
      <c r="J16">
        <f ca="1">OFFSET(Baza!$GX14,0,J$2)</f>
        <v>3.5781242930000001</v>
      </c>
      <c r="K16">
        <f ca="1">OFFSET(Baza!$GX14,0,K$2)</f>
        <v>3.6960134359999999</v>
      </c>
      <c r="L16">
        <f ca="1">OFFSET(Baza!$GX14,0,L$2)</f>
        <v>3.0853311479999999</v>
      </c>
      <c r="M16">
        <f ca="1">OFFSET(Baza!$GX14,0,M$2)</f>
        <v>6.422735426</v>
      </c>
      <c r="N16">
        <f ca="1">OFFSET(Baza!$GX14,0,N$2)</f>
        <v>4.5523880419999996</v>
      </c>
      <c r="O16">
        <f ca="1">OFFSET(Baza!$GX14,0,O$2)</f>
        <v>0.18826644710000001</v>
      </c>
      <c r="P16">
        <f ca="1">OFFSET(Baza!$GX14,0,P$2)</f>
        <v>5.9941665530000003</v>
      </c>
      <c r="Q16">
        <f ca="1">OFFSET(Baza!$GX14,0,Q$2)</f>
        <v>1.811071232</v>
      </c>
      <c r="R16">
        <f ca="1">OFFSET(Baza!$GX14,0,R$2)</f>
        <v>1.2657861690000001</v>
      </c>
      <c r="S16">
        <f ca="1">OFFSET(Baza!$GX14,0,S$2)</f>
        <v>11.33836947</v>
      </c>
      <c r="T16">
        <f ca="1">OFFSET(Baza!$GX14,0,T$2)</f>
        <v>54.864254760000001</v>
      </c>
    </row>
    <row r="17" spans="1:20" x14ac:dyDescent="0.2">
      <c r="A17" s="1" t="s">
        <v>256</v>
      </c>
      <c r="B17">
        <f>Baza!GX15</f>
        <v>2.2564797959999998</v>
      </c>
      <c r="C17">
        <f ca="1">OFFSET(Baza!$GX15,0,C$2)</f>
        <v>1.8565404329999999</v>
      </c>
      <c r="D17">
        <f ca="1">OFFSET(Baza!$GX15,0,D$2)</f>
        <v>4.113020229</v>
      </c>
      <c r="E17">
        <f ca="1">OFFSET(Baza!$GX15,0,E$2)</f>
        <v>1.849580088</v>
      </c>
      <c r="F17">
        <f ca="1">OFFSET(Baza!$GX15,0,F$2)</f>
        <v>6.8274439210000004</v>
      </c>
      <c r="G17">
        <f ca="1">OFFSET(Baza!$GX15,0,G$2)</f>
        <v>0.68242371869999996</v>
      </c>
      <c r="H17">
        <f ca="1">OFFSET(Baza!$GX15,0,H$2)</f>
        <v>0.87416976120000001</v>
      </c>
      <c r="I17">
        <f ca="1">OFFSET(Baza!$GX15,0,I$2)</f>
        <v>0.27383159460000001</v>
      </c>
      <c r="J17">
        <f ca="1">OFFSET(Baza!$GX15,0,J$2)</f>
        <v>3.4389698119999998</v>
      </c>
      <c r="K17">
        <f ca="1">OFFSET(Baza!$GX15,0,K$2)</f>
        <v>3.6809227259999999</v>
      </c>
      <c r="L17">
        <f ca="1">OFFSET(Baza!$GX15,0,L$2)</f>
        <v>3.146521195</v>
      </c>
      <c r="M17">
        <f ca="1">OFFSET(Baza!$GX15,0,M$2)</f>
        <v>6.4831663209999997</v>
      </c>
      <c r="N17">
        <f ca="1">OFFSET(Baza!$GX15,0,N$2)</f>
        <v>4.6283014209999997</v>
      </c>
      <c r="O17">
        <f ca="1">OFFSET(Baza!$GX15,0,O$2)</f>
        <v>0.1584543148</v>
      </c>
      <c r="P17">
        <f ca="1">OFFSET(Baza!$GX15,0,P$2)</f>
        <v>5.5637095949999997</v>
      </c>
      <c r="Q17">
        <f ca="1">OFFSET(Baza!$GX15,0,Q$2)</f>
        <v>1.742602886</v>
      </c>
      <c r="R17">
        <f ca="1">OFFSET(Baza!$GX15,0,R$2)</f>
        <v>1.2789098560000001</v>
      </c>
      <c r="S17">
        <f ca="1">OFFSET(Baza!$GX15,0,S$2)</f>
        <v>11.14349812</v>
      </c>
      <c r="T17">
        <f ca="1">OFFSET(Baza!$GX15,0,T$2)</f>
        <v>65.544694289999995</v>
      </c>
    </row>
    <row r="18" spans="1:20" x14ac:dyDescent="0.2">
      <c r="A18" s="1" t="s">
        <v>257</v>
      </c>
      <c r="B18">
        <f>Baza!GX16</f>
        <v>2.2443722820000001</v>
      </c>
      <c r="C18">
        <f ca="1">OFFSET(Baza!$GX16,0,C$2)</f>
        <v>1.7849823570000001</v>
      </c>
      <c r="D18">
        <f ca="1">OFFSET(Baza!$GX16,0,D$2)</f>
        <v>4.0293546390000001</v>
      </c>
      <c r="E18">
        <f ca="1">OFFSET(Baza!$GX16,0,E$2)</f>
        <v>2.0711955720000002</v>
      </c>
      <c r="F18">
        <f ca="1">OFFSET(Baza!$GX16,0,F$2)</f>
        <v>6.7628445419999998</v>
      </c>
      <c r="G18">
        <f ca="1">OFFSET(Baza!$GX16,0,G$2)</f>
        <v>0.67906417880000003</v>
      </c>
      <c r="H18">
        <f ca="1">OFFSET(Baza!$GX16,0,H$2)</f>
        <v>0.87149012589999997</v>
      </c>
      <c r="I18">
        <f ca="1">OFFSET(Baza!$GX16,0,I$2)</f>
        <v>0.32420250410000001</v>
      </c>
      <c r="J18">
        <f ca="1">OFFSET(Baza!$GX16,0,J$2)</f>
        <v>3.5386772560000002</v>
      </c>
      <c r="K18">
        <f ca="1">OFFSET(Baza!$GX16,0,K$2)</f>
        <v>3.684420781</v>
      </c>
      <c r="L18">
        <f ca="1">OFFSET(Baza!$GX16,0,L$2)</f>
        <v>3.0784237609999998</v>
      </c>
      <c r="M18">
        <f ca="1">OFFSET(Baza!$GX16,0,M$2)</f>
        <v>6.4039901209999996</v>
      </c>
      <c r="N18">
        <f ca="1">OFFSET(Baza!$GX16,0,N$2)</f>
        <v>4.5497862160000002</v>
      </c>
      <c r="O18">
        <f ca="1">OFFSET(Baza!$GX16,0,O$2)</f>
        <v>0.19608496080000001</v>
      </c>
      <c r="P18">
        <f ca="1">OFFSET(Baza!$GX16,0,P$2)</f>
        <v>5.8782125870000002</v>
      </c>
      <c r="Q18">
        <f ca="1">OFFSET(Baza!$GX16,0,Q$2)</f>
        <v>1.884503426</v>
      </c>
      <c r="R18">
        <f ca="1">OFFSET(Baza!$GX16,0,R$2)</f>
        <v>1.262771182</v>
      </c>
      <c r="S18">
        <f ca="1">OFFSET(Baza!$GX16,0,S$2)</f>
        <v>11.480786330000001</v>
      </c>
      <c r="T18">
        <f ca="1">OFFSET(Baza!$GX16,0,T$2)</f>
        <v>52.646747480000002</v>
      </c>
    </row>
    <row r="19" spans="1:20" x14ac:dyDescent="0.2">
      <c r="A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"/>
  <sheetViews>
    <sheetView workbookViewId="0">
      <selection activeCell="M5" sqref="M5"/>
    </sheetView>
  </sheetViews>
  <sheetFormatPr baseColWidth="10" defaultColWidth="8.83203125" defaultRowHeight="15" x14ac:dyDescent="0.2"/>
  <cols>
    <col min="1" max="1" width="11.33203125" bestFit="1" customWidth="1"/>
    <col min="4" max="4" width="18.6640625" bestFit="1" customWidth="1"/>
    <col min="10" max="10" width="5.5" bestFit="1" customWidth="1"/>
    <col min="11" max="11" width="12.5" bestFit="1" customWidth="1"/>
    <col min="12" max="12" width="11.5" bestFit="1" customWidth="1"/>
    <col min="13" max="13" width="7" bestFit="1" customWidth="1"/>
    <col min="14" max="14" width="14" bestFit="1" customWidth="1"/>
    <col min="15" max="15" width="12.83203125" bestFit="1" customWidth="1"/>
  </cols>
  <sheetData>
    <row r="1" spans="1:15" x14ac:dyDescent="0.2">
      <c r="B1" t="s">
        <v>259</v>
      </c>
      <c r="C1" t="s">
        <v>260</v>
      </c>
      <c r="D1" t="s">
        <v>261</v>
      </c>
      <c r="E1" t="s">
        <v>260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</row>
    <row r="2" spans="1:15" x14ac:dyDescent="0.2">
      <c r="B2">
        <f>Baza!J1</f>
        <v>5</v>
      </c>
      <c r="C2">
        <f>Baza!K1</f>
        <v>5</v>
      </c>
      <c r="D2">
        <f>Baza!L1</f>
        <v>6</v>
      </c>
      <c r="E2">
        <f>Baza!M1</f>
        <v>6</v>
      </c>
      <c r="F2">
        <f>Baza!N1</f>
        <v>13</v>
      </c>
      <c r="G2">
        <f>Baza!O1</f>
        <v>13</v>
      </c>
      <c r="H2">
        <f>Baza!P1</f>
        <v>14</v>
      </c>
      <c r="I2">
        <f>Baza!Q1</f>
        <v>14</v>
      </c>
    </row>
    <row r="3" spans="1:15" x14ac:dyDescent="0.2">
      <c r="B3" t="str">
        <f>Baza!J2</f>
        <v>Amp</v>
      </c>
      <c r="C3" t="str">
        <f>Baza!K2</f>
        <v>Aev</v>
      </c>
      <c r="D3" t="str">
        <f>Baza!L2</f>
        <v>Amp</v>
      </c>
      <c r="E3" t="str">
        <f>Baza!M2</f>
        <v>Aev</v>
      </c>
      <c r="F3" t="str">
        <f>Baza!N2</f>
        <v>Amp</v>
      </c>
      <c r="G3" t="str">
        <f>Baza!O2</f>
        <v>Aev</v>
      </c>
      <c r="H3" t="str">
        <f>Baza!P2</f>
        <v>Amp</v>
      </c>
      <c r="I3" t="str">
        <f>Baza!Q2</f>
        <v>Aev</v>
      </c>
    </row>
    <row r="4" spans="1:15" x14ac:dyDescent="0.2">
      <c r="B4" t="str">
        <f>Baza!J3</f>
        <v>mm²</v>
      </c>
      <c r="C4" t="str">
        <f>Baza!K3</f>
        <v>mm²</v>
      </c>
      <c r="D4" t="str">
        <f>Baza!L3</f>
        <v>mm²</v>
      </c>
      <c r="E4" t="str">
        <f>Baza!M3</f>
        <v>mm²</v>
      </c>
      <c r="F4" t="str">
        <f>Baza!N3</f>
        <v>mm²</v>
      </c>
      <c r="G4" t="str">
        <f>Baza!O3</f>
        <v>mm²</v>
      </c>
      <c r="H4" t="str">
        <f>Baza!P3</f>
        <v>mm²</v>
      </c>
      <c r="I4" t="str">
        <f>Baza!Q3</f>
        <v>mm²</v>
      </c>
    </row>
    <row r="5" spans="1:15" x14ac:dyDescent="0.2">
      <c r="A5" s="1" t="s">
        <v>245</v>
      </c>
      <c r="B5">
        <f>Baza!J4</f>
        <v>32.50364957</v>
      </c>
      <c r="C5">
        <f>Baza!K4</f>
        <v>32.553624839999998</v>
      </c>
      <c r="D5">
        <f>Baza!L4</f>
        <v>32.553624839999998</v>
      </c>
      <c r="E5">
        <f>Baza!M4</f>
        <v>32.553624839999998</v>
      </c>
      <c r="F5">
        <f>Baza!N4</f>
        <v>32.457435500000003</v>
      </c>
      <c r="G5">
        <f>Baza!O4</f>
        <v>32.553624839999998</v>
      </c>
      <c r="H5">
        <f>Baza!P4</f>
        <v>32.075959429999997</v>
      </c>
      <c r="I5">
        <f>Baza!Q4</f>
        <v>32.553624839999998</v>
      </c>
      <c r="J5" s="4">
        <f>C5-B5</f>
        <v>4.9975269999997352E-2</v>
      </c>
      <c r="K5" s="4">
        <f>G5-F5</f>
        <v>9.6189339999995127E-2</v>
      </c>
      <c r="L5" s="4">
        <f>I5-H5</f>
        <v>0.47766541000000018</v>
      </c>
      <c r="M5" s="5">
        <f>(J5/C5)</f>
        <v>1.5351675964082087E-3</v>
      </c>
      <c r="N5" s="5">
        <f t="shared" ref="N5:O17" si="0">(K5/D5)</f>
        <v>2.9547966001562832E-3</v>
      </c>
      <c r="O5" s="5">
        <f t="shared" si="0"/>
        <v>1.4673186545206872E-2</v>
      </c>
    </row>
    <row r="6" spans="1:15" x14ac:dyDescent="0.2">
      <c r="A6" s="1" t="s">
        <v>246</v>
      </c>
      <c r="B6">
        <f>Baza!J5</f>
        <v>32.518741939999998</v>
      </c>
      <c r="C6">
        <f>Baza!K5</f>
        <v>32.553624839999998</v>
      </c>
      <c r="D6">
        <f>Baza!L5</f>
        <v>32.553624839999998</v>
      </c>
      <c r="E6">
        <f>Baza!M5</f>
        <v>32.553624839999998</v>
      </c>
      <c r="F6">
        <f>Baza!N5</f>
        <v>32.471907039999998</v>
      </c>
      <c r="G6">
        <f>Baza!O5</f>
        <v>32.553624839999998</v>
      </c>
      <c r="H6">
        <f>Baza!P5</f>
        <v>32.07944638</v>
      </c>
      <c r="I6">
        <f>Baza!Q5</f>
        <v>32.553624839999998</v>
      </c>
      <c r="J6" s="4">
        <f t="shared" ref="J6:J17" si="1">C6-B6</f>
        <v>3.4882899999999495E-2</v>
      </c>
      <c r="K6" s="4">
        <f t="shared" ref="K6:K17" si="2">G6-F6</f>
        <v>8.1717799999999841E-2</v>
      </c>
      <c r="L6" s="4">
        <f t="shared" ref="L6:L17" si="3">I6-H6</f>
        <v>0.47417845999999741</v>
      </c>
      <c r="M6" s="5">
        <f t="shared" ref="M6:M17" si="4">(J6/C6)</f>
        <v>1.071551944566782E-3</v>
      </c>
      <c r="N6" s="5">
        <f t="shared" si="0"/>
        <v>2.5102519428063744E-3</v>
      </c>
      <c r="O6" s="5">
        <f t="shared" si="0"/>
        <v>1.4566072513600837E-2</v>
      </c>
    </row>
    <row r="7" spans="1:15" x14ac:dyDescent="0.2">
      <c r="A7" s="1" t="s">
        <v>247</v>
      </c>
      <c r="B7">
        <f>Baza!J6</f>
        <v>32.490732029999997</v>
      </c>
      <c r="C7">
        <f>Baza!K6</f>
        <v>32.553624839999998</v>
      </c>
      <c r="D7">
        <f>Baza!L6</f>
        <v>32.553624839999998</v>
      </c>
      <c r="E7">
        <f>Baza!M6</f>
        <v>32.553624839999998</v>
      </c>
      <c r="F7">
        <f>Baza!N6</f>
        <v>32.443731440000001</v>
      </c>
      <c r="G7">
        <f>Baza!O6</f>
        <v>32.553624839999998</v>
      </c>
      <c r="H7">
        <f>Baza!P6</f>
        <v>32.04538238</v>
      </c>
      <c r="I7">
        <f>Baza!Q6</f>
        <v>32.553624839999998</v>
      </c>
      <c r="J7" s="4">
        <f t="shared" si="1"/>
        <v>6.289281000000102E-2</v>
      </c>
      <c r="K7" s="4">
        <f t="shared" si="2"/>
        <v>0.10989339999999714</v>
      </c>
      <c r="L7" s="4">
        <f t="shared" si="3"/>
        <v>0.50824245999999818</v>
      </c>
      <c r="M7" s="5">
        <f t="shared" si="4"/>
        <v>1.9319756343300363E-3</v>
      </c>
      <c r="N7" s="5">
        <f t="shared" si="0"/>
        <v>3.3757653883436825E-3</v>
      </c>
      <c r="O7" s="5">
        <f t="shared" si="0"/>
        <v>1.5612469041404552E-2</v>
      </c>
    </row>
    <row r="8" spans="1:15" x14ac:dyDescent="0.2">
      <c r="A8" s="1" t="s">
        <v>248</v>
      </c>
      <c r="B8">
        <f>Baza!J7</f>
        <v>32.552565989999998</v>
      </c>
      <c r="C8">
        <f>Baza!K7</f>
        <v>32.553624839999998</v>
      </c>
      <c r="D8">
        <f>Baza!L7</f>
        <v>32.553624839999998</v>
      </c>
      <c r="E8">
        <f>Baza!M7</f>
        <v>32.553624839999998</v>
      </c>
      <c r="F8">
        <f>Baza!N7</f>
        <v>32.496902290000001</v>
      </c>
      <c r="G8">
        <f>Baza!O7</f>
        <v>32.553624839999998</v>
      </c>
      <c r="H8">
        <f>Baza!P7</f>
        <v>32.054687280000003</v>
      </c>
      <c r="I8">
        <f>Baza!Q7</f>
        <v>32.553624839999998</v>
      </c>
      <c r="J8" s="4">
        <f t="shared" si="1"/>
        <v>1.0588499999997225E-3</v>
      </c>
      <c r="K8" s="4">
        <f t="shared" si="2"/>
        <v>5.6722549999996374E-2</v>
      </c>
      <c r="L8" s="4">
        <f t="shared" si="3"/>
        <v>0.49893755999999456</v>
      </c>
      <c r="M8" s="5">
        <f t="shared" si="4"/>
        <v>3.2526331712794988E-5</v>
      </c>
      <c r="N8" s="5">
        <f t="shared" si="0"/>
        <v>1.7424342228795058E-3</v>
      </c>
      <c r="O8" s="5">
        <f t="shared" si="0"/>
        <v>1.5326636049050033E-2</v>
      </c>
    </row>
    <row r="9" spans="1:15" x14ac:dyDescent="0.2">
      <c r="A9" s="1" t="s">
        <v>249</v>
      </c>
      <c r="B9">
        <f>Baza!J8</f>
        <v>32.553179210000003</v>
      </c>
      <c r="C9">
        <f>Baza!K8</f>
        <v>32.553624839999998</v>
      </c>
      <c r="D9">
        <f>Baza!L8</f>
        <v>32.553624839999998</v>
      </c>
      <c r="E9">
        <f>Baza!M8</f>
        <v>32.553624839999998</v>
      </c>
      <c r="F9">
        <f>Baza!N8</f>
        <v>32.492638329999998</v>
      </c>
      <c r="G9">
        <f>Baza!O8</f>
        <v>32.553624839999998</v>
      </c>
      <c r="H9">
        <f>Baza!P8</f>
        <v>32.040590909999999</v>
      </c>
      <c r="I9">
        <f>Baza!Q8</f>
        <v>32.553624839999998</v>
      </c>
      <c r="J9" s="4">
        <f t="shared" si="1"/>
        <v>4.4562999999442354E-4</v>
      </c>
      <c r="K9" s="4">
        <f t="shared" si="2"/>
        <v>6.0986509999999328E-2</v>
      </c>
      <c r="L9" s="4">
        <f t="shared" si="3"/>
        <v>0.51303392999999886</v>
      </c>
      <c r="M9" s="5">
        <f t="shared" si="4"/>
        <v>1.3689105351083955E-5</v>
      </c>
      <c r="N9" s="5">
        <f t="shared" si="0"/>
        <v>1.8734168713851692E-3</v>
      </c>
      <c r="O9" s="5">
        <f t="shared" si="0"/>
        <v>1.575965602975226E-2</v>
      </c>
    </row>
    <row r="10" spans="1:15" x14ac:dyDescent="0.2">
      <c r="A10" s="1" t="s">
        <v>250</v>
      </c>
      <c r="B10">
        <f>Baza!J9</f>
        <v>32.553082089999997</v>
      </c>
      <c r="C10">
        <f>Baza!K9</f>
        <v>32.553624839999998</v>
      </c>
      <c r="D10">
        <f>Baza!L9</f>
        <v>32.553624839999998</v>
      </c>
      <c r="E10">
        <f>Baza!M9</f>
        <v>32.553624839999998</v>
      </c>
      <c r="F10">
        <f>Baza!N9</f>
        <v>32.490516829999997</v>
      </c>
      <c r="G10">
        <f>Baza!O9</f>
        <v>32.553624839999998</v>
      </c>
      <c r="H10">
        <f>Baza!P9</f>
        <v>32.02751911</v>
      </c>
      <c r="I10">
        <f>Baza!Q9</f>
        <v>32.553624839999998</v>
      </c>
      <c r="J10" s="4">
        <f t="shared" si="1"/>
        <v>5.4275000000103546E-4</v>
      </c>
      <c r="K10" s="4">
        <f t="shared" si="2"/>
        <v>6.3108010000000547E-2</v>
      </c>
      <c r="L10" s="4">
        <f t="shared" si="3"/>
        <v>0.52610572999999761</v>
      </c>
      <c r="M10" s="5">
        <f t="shared" si="4"/>
        <v>1.6672490472831643E-5</v>
      </c>
      <c r="N10" s="5">
        <f t="shared" si="0"/>
        <v>1.9385862652830323E-3</v>
      </c>
      <c r="O10" s="5">
        <f t="shared" si="0"/>
        <v>1.6161202710475102E-2</v>
      </c>
    </row>
    <row r="11" spans="1:15" x14ac:dyDescent="0.2">
      <c r="A11" s="1" t="s">
        <v>251</v>
      </c>
      <c r="B11">
        <f>Baza!J10</f>
        <v>32.61599013</v>
      </c>
      <c r="C11">
        <f>Baza!K10</f>
        <v>32.616896619999999</v>
      </c>
      <c r="D11">
        <f>Baza!L10</f>
        <v>32.616896619999999</v>
      </c>
      <c r="E11">
        <f>Baza!M10</f>
        <v>32.616896619999999</v>
      </c>
      <c r="F11">
        <f>Baza!N10</f>
        <v>32.574744639999999</v>
      </c>
      <c r="G11">
        <f>Baza!O10</f>
        <v>32.616896619999999</v>
      </c>
      <c r="H11">
        <f>Baza!P10</f>
        <v>32.230785240000003</v>
      </c>
      <c r="I11">
        <f>Baza!Q10</f>
        <v>32.616896619999999</v>
      </c>
      <c r="J11" s="4">
        <f t="shared" si="1"/>
        <v>9.0648999999842772E-4</v>
      </c>
      <c r="K11" s="4">
        <f t="shared" si="2"/>
        <v>4.2151979999999867E-2</v>
      </c>
      <c r="L11" s="4">
        <f t="shared" si="3"/>
        <v>0.38611137999999556</v>
      </c>
      <c r="M11" s="5">
        <f t="shared" si="4"/>
        <v>2.7792037070828714E-5</v>
      </c>
      <c r="N11" s="5">
        <f t="shared" si="0"/>
        <v>1.2923357022922026E-3</v>
      </c>
      <c r="O11" s="5">
        <f t="shared" si="0"/>
        <v>1.1837771830298537E-2</v>
      </c>
    </row>
    <row r="12" spans="1:15" x14ac:dyDescent="0.2">
      <c r="A12" s="1" t="s">
        <v>252</v>
      </c>
      <c r="B12">
        <f>Baza!J11</f>
        <v>32.616630010000002</v>
      </c>
      <c r="C12">
        <f>Baza!K11</f>
        <v>32.616896619999999</v>
      </c>
      <c r="D12">
        <f>Baza!L11</f>
        <v>32.616896619999999</v>
      </c>
      <c r="E12">
        <f>Baza!M11</f>
        <v>32.616896619999999</v>
      </c>
      <c r="F12">
        <f>Baza!N11</f>
        <v>32.57707181</v>
      </c>
      <c r="G12">
        <f>Baza!O11</f>
        <v>32.616896619999999</v>
      </c>
      <c r="H12">
        <f>Baza!P11</f>
        <v>32.235428169999999</v>
      </c>
      <c r="I12">
        <f>Baza!Q11</f>
        <v>32.616896619999999</v>
      </c>
      <c r="J12" s="4">
        <f t="shared" si="1"/>
        <v>2.6660999999705837E-4</v>
      </c>
      <c r="K12" s="4">
        <f t="shared" si="2"/>
        <v>3.9824809999998934E-2</v>
      </c>
      <c r="L12" s="4">
        <f t="shared" si="3"/>
        <v>0.38146844999999985</v>
      </c>
      <c r="M12" s="5">
        <f t="shared" si="4"/>
        <v>8.1739842727274883E-6</v>
      </c>
      <c r="N12" s="5">
        <f t="shared" si="0"/>
        <v>1.2209870995384395E-3</v>
      </c>
      <c r="O12" s="5">
        <f t="shared" si="0"/>
        <v>1.1695424443479745E-2</v>
      </c>
    </row>
    <row r="13" spans="1:15" x14ac:dyDescent="0.2">
      <c r="A13" s="1" t="s">
        <v>253</v>
      </c>
      <c r="B13">
        <f>Baza!J12</f>
        <v>32.616462419999998</v>
      </c>
      <c r="C13">
        <f>Baza!K12</f>
        <v>32.616896619999999</v>
      </c>
      <c r="D13">
        <f>Baza!L12</f>
        <v>32.616896619999999</v>
      </c>
      <c r="E13">
        <f>Baza!M12</f>
        <v>32.616896619999999</v>
      </c>
      <c r="F13">
        <f>Baza!N12</f>
        <v>32.57518074</v>
      </c>
      <c r="G13">
        <f>Baza!O12</f>
        <v>32.616896619999999</v>
      </c>
      <c r="H13">
        <f>Baza!P12</f>
        <v>32.222409689999999</v>
      </c>
      <c r="I13">
        <f>Baza!Q12</f>
        <v>32.616896619999999</v>
      </c>
      <c r="J13" s="4">
        <f t="shared" si="1"/>
        <v>4.3420000000082837E-4</v>
      </c>
      <c r="K13" s="4">
        <f t="shared" si="2"/>
        <v>4.1715879999998151E-2</v>
      </c>
      <c r="L13" s="4">
        <f t="shared" si="3"/>
        <v>0.39448692999999935</v>
      </c>
      <c r="M13" s="5">
        <f t="shared" si="4"/>
        <v>1.3312118717468235E-5</v>
      </c>
      <c r="N13" s="5">
        <f t="shared" si="0"/>
        <v>1.2789653315582099E-3</v>
      </c>
      <c r="O13" s="5">
        <f t="shared" si="0"/>
        <v>1.2094557449653509E-2</v>
      </c>
    </row>
    <row r="14" spans="1:15" x14ac:dyDescent="0.2">
      <c r="A14" s="1" t="s">
        <v>254</v>
      </c>
      <c r="B14">
        <f>Baza!J13</f>
        <v>32.56040831</v>
      </c>
      <c r="C14">
        <f>Baza!K13</f>
        <v>32.616896619999999</v>
      </c>
      <c r="D14">
        <f>Baza!L13</f>
        <v>32.616896619999999</v>
      </c>
      <c r="E14">
        <f>Baza!M13</f>
        <v>32.616896619999999</v>
      </c>
      <c r="F14">
        <f>Baza!N13</f>
        <v>32.516186240000003</v>
      </c>
      <c r="G14">
        <f>Baza!O13</f>
        <v>32.616896619999999</v>
      </c>
      <c r="H14">
        <f>Baza!P13</f>
        <v>32.156159420000002</v>
      </c>
      <c r="I14">
        <f>Baza!Q13</f>
        <v>32.616896619999999</v>
      </c>
      <c r="J14" s="4">
        <f t="shared" si="1"/>
        <v>5.6488309999998876E-2</v>
      </c>
      <c r="K14" s="4">
        <f t="shared" si="2"/>
        <v>0.10071037999999533</v>
      </c>
      <c r="L14" s="4">
        <f t="shared" si="3"/>
        <v>0.46073719999999696</v>
      </c>
      <c r="M14" s="5">
        <f t="shared" si="4"/>
        <v>1.7318726136980617E-3</v>
      </c>
      <c r="N14" s="5">
        <f t="shared" si="0"/>
        <v>3.0876751143222446E-3</v>
      </c>
      <c r="O14" s="5">
        <f t="shared" si="0"/>
        <v>1.4125721565965369E-2</v>
      </c>
    </row>
    <row r="15" spans="1:15" x14ac:dyDescent="0.2">
      <c r="A15" s="1" t="s">
        <v>255</v>
      </c>
      <c r="B15">
        <f>Baza!J14</f>
        <v>32.616146290000003</v>
      </c>
      <c r="C15">
        <f>Baza!K14</f>
        <v>32.616896619999999</v>
      </c>
      <c r="D15">
        <f>Baza!L14</f>
        <v>32.616896619999999</v>
      </c>
      <c r="E15">
        <f>Baza!M14</f>
        <v>32.616896619999999</v>
      </c>
      <c r="F15">
        <f>Baza!N14</f>
        <v>32.577856420000003</v>
      </c>
      <c r="G15">
        <f>Baza!O14</f>
        <v>32.616896619999999</v>
      </c>
      <c r="H15">
        <f>Baza!P14</f>
        <v>32.2480391</v>
      </c>
      <c r="I15">
        <f>Baza!Q14</f>
        <v>32.616896619999999</v>
      </c>
      <c r="J15" s="4">
        <f t="shared" si="1"/>
        <v>7.5032999999535832E-4</v>
      </c>
      <c r="K15" s="4">
        <f t="shared" si="2"/>
        <v>3.9040199999995195E-2</v>
      </c>
      <c r="L15" s="4">
        <f t="shared" si="3"/>
        <v>0.36885751999999883</v>
      </c>
      <c r="M15" s="5">
        <f t="shared" si="4"/>
        <v>2.3004334493774972E-5</v>
      </c>
      <c r="N15" s="5">
        <f t="shared" si="0"/>
        <v>1.1969317760309717E-3</v>
      </c>
      <c r="O15" s="5">
        <f t="shared" si="0"/>
        <v>1.1308786494844611E-2</v>
      </c>
    </row>
    <row r="16" spans="1:15" x14ac:dyDescent="0.2">
      <c r="A16" s="1" t="s">
        <v>256</v>
      </c>
      <c r="B16">
        <f>Baza!J15</f>
        <v>32.616527169999998</v>
      </c>
      <c r="C16">
        <f>Baza!K15</f>
        <v>32.616896619999999</v>
      </c>
      <c r="D16">
        <f>Baza!L15</f>
        <v>32.616896619999999</v>
      </c>
      <c r="E16">
        <f>Baza!M15</f>
        <v>32.616896619999999</v>
      </c>
      <c r="F16">
        <f>Baza!N15</f>
        <v>32.576226259999999</v>
      </c>
      <c r="G16">
        <f>Baza!O15</f>
        <v>32.616896619999999</v>
      </c>
      <c r="H16">
        <f>Baza!P15</f>
        <v>32.229370269999997</v>
      </c>
      <c r="I16">
        <f>Baza!Q15</f>
        <v>32.616896619999999</v>
      </c>
      <c r="J16" s="4">
        <f t="shared" si="1"/>
        <v>3.6945000000088157E-4</v>
      </c>
      <c r="K16" s="4">
        <f t="shared" si="2"/>
        <v>4.0670360000000016E-2</v>
      </c>
      <c r="L16" s="4">
        <f t="shared" si="3"/>
        <v>0.38752635000000168</v>
      </c>
      <c r="M16" s="5">
        <f t="shared" si="4"/>
        <v>1.1326951313152906E-5</v>
      </c>
      <c r="N16" s="5">
        <f t="shared" si="0"/>
        <v>1.2469107798275879E-3</v>
      </c>
      <c r="O16" s="5">
        <f t="shared" si="0"/>
        <v>1.1881153333342531E-2</v>
      </c>
    </row>
    <row r="17" spans="1:15" x14ac:dyDescent="0.2">
      <c r="A17" s="1" t="s">
        <v>257</v>
      </c>
      <c r="B17">
        <f>Baza!J16</f>
        <v>32.615677810000001</v>
      </c>
      <c r="C17">
        <f>Baza!K16</f>
        <v>32.616896619999999</v>
      </c>
      <c r="D17">
        <f>Baza!L16</f>
        <v>32.616896619999999</v>
      </c>
      <c r="E17">
        <f>Baza!M16</f>
        <v>32.616896619999999</v>
      </c>
      <c r="F17">
        <f>Baza!N16</f>
        <v>32.577376520000001</v>
      </c>
      <c r="G17">
        <f>Baza!O16</f>
        <v>32.616896619999999</v>
      </c>
      <c r="H17">
        <f>Baza!P16</f>
        <v>32.247705830000001</v>
      </c>
      <c r="I17">
        <f>Baza!Q16</f>
        <v>32.616896619999999</v>
      </c>
      <c r="J17" s="4">
        <f t="shared" si="1"/>
        <v>1.2188099999974611E-3</v>
      </c>
      <c r="K17" s="4">
        <f t="shared" si="2"/>
        <v>3.9520099999997171E-2</v>
      </c>
      <c r="L17" s="4">
        <f t="shared" si="3"/>
        <v>0.36919078999999755</v>
      </c>
      <c r="M17" s="5">
        <f t="shared" si="4"/>
        <v>3.7367442224718348E-5</v>
      </c>
      <c r="N17" s="5">
        <f t="shared" si="0"/>
        <v>1.2116450090400163E-3</v>
      </c>
      <c r="O17" s="5">
        <f t="shared" si="0"/>
        <v>1.1319004205127764E-2</v>
      </c>
    </row>
    <row r="18" spans="1:15" x14ac:dyDescent="0.2">
      <c r="J18" s="4"/>
      <c r="K18" s="4"/>
      <c r="L18" s="4"/>
      <c r="M18" s="5"/>
      <c r="N18" s="5"/>
      <c r="O18" s="5"/>
    </row>
    <row r="19" spans="1:15" x14ac:dyDescent="0.2">
      <c r="A19" s="1"/>
    </row>
    <row r="21" spans="1:15" x14ac:dyDescent="0.2">
      <c r="B21" t="s">
        <v>272</v>
      </c>
    </row>
    <row r="22" spans="1:15" x14ac:dyDescent="0.2">
      <c r="B22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Baza</vt:lpstr>
      <vt:lpstr>Par_S_005</vt:lpstr>
      <vt:lpstr>Par_S_05</vt:lpstr>
      <vt:lpstr>Par_P_005</vt:lpstr>
      <vt:lpstr>Par_P_05</vt:lpstr>
      <vt:lpstr>Par_R_005</vt:lpstr>
      <vt:lpstr>Par_R_05</vt:lpstr>
      <vt:lpstr>Punty 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Dawid Kucharski</cp:lastModifiedBy>
  <dcterms:created xsi:type="dcterms:W3CDTF">2025-02-17T10:03:57Z</dcterms:created>
  <dcterms:modified xsi:type="dcterms:W3CDTF">2025-09-02T12:22:38Z</dcterms:modified>
</cp:coreProperties>
</file>