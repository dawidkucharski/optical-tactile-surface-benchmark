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wid/Library/Mobile Documents/com~apple~CloudDocs/Dokumenty/Projekty/NSMT/AI_GUM/2024/Opole/analizy_vs_opole/optics/"/>
    </mc:Choice>
  </mc:AlternateContent>
  <xr:revisionPtr revIDLastSave="0" documentId="13_ncr:1_{DC365FCF-15CD-5C45-B700-AE30884DADAE}" xr6:coauthVersionLast="47" xr6:coauthVersionMax="47" xr10:uidLastSave="{00000000-0000-0000-0000-000000000000}"/>
  <bookViews>
    <workbookView xWindow="0" yWindow="500" windowWidth="29040" windowHeight="15840" xr2:uid="{00000000-000D-0000-FFFF-FFFF00000000}"/>
  </bookViews>
  <sheets>
    <sheet name="Baza" sheetId="1" r:id="rId1"/>
    <sheet name="Par_S_005" sheetId="2" r:id="rId2"/>
    <sheet name="Par_S_05" sheetId="3" r:id="rId3"/>
    <sheet name="Par_P_005" sheetId="4" r:id="rId4"/>
    <sheet name="Par_P_05" sheetId="5" r:id="rId5"/>
    <sheet name="Par_R_005" sheetId="6" r:id="rId6"/>
    <sheet name="Par_R_05" sheetId="7" r:id="rId7"/>
    <sheet name="Punty NM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I17" i="8" l="1"/>
  <c r="H17" i="8"/>
  <c r="G17" i="8"/>
  <c r="F17" i="8"/>
  <c r="E17" i="8"/>
  <c r="D17" i="8"/>
  <c r="C17" i="8"/>
  <c r="B17" i="8"/>
  <c r="I16" i="8"/>
  <c r="H16" i="8"/>
  <c r="L16" i="8" s="1"/>
  <c r="G16" i="8"/>
  <c r="F16" i="8"/>
  <c r="E16" i="8"/>
  <c r="D16" i="8"/>
  <c r="C16" i="8"/>
  <c r="B16" i="8"/>
  <c r="I15" i="8"/>
  <c r="H15" i="8"/>
  <c r="G15" i="8"/>
  <c r="F15" i="8"/>
  <c r="E15" i="8"/>
  <c r="D15" i="8"/>
  <c r="C15" i="8"/>
  <c r="B15" i="8"/>
  <c r="I14" i="8"/>
  <c r="H14" i="8"/>
  <c r="G14" i="8"/>
  <c r="F14" i="8"/>
  <c r="E14" i="8"/>
  <c r="D14" i="8"/>
  <c r="C14" i="8"/>
  <c r="B14" i="8"/>
  <c r="I13" i="8"/>
  <c r="H13" i="8"/>
  <c r="G13" i="8"/>
  <c r="F13" i="8"/>
  <c r="E13" i="8"/>
  <c r="D13" i="8"/>
  <c r="C13" i="8"/>
  <c r="B13" i="8"/>
  <c r="I12" i="8"/>
  <c r="L12" i="8" s="1"/>
  <c r="H12" i="8"/>
  <c r="G12" i="8"/>
  <c r="F12" i="8"/>
  <c r="E12" i="8"/>
  <c r="D12" i="8"/>
  <c r="C12" i="8"/>
  <c r="B12" i="8"/>
  <c r="I11" i="8"/>
  <c r="H11" i="8"/>
  <c r="G11" i="8"/>
  <c r="F11" i="8"/>
  <c r="E11" i="8"/>
  <c r="D11" i="8"/>
  <c r="C11" i="8"/>
  <c r="B11" i="8"/>
  <c r="I10" i="8"/>
  <c r="H10" i="8"/>
  <c r="G10" i="8"/>
  <c r="F10" i="8"/>
  <c r="E10" i="8"/>
  <c r="D10" i="8"/>
  <c r="C10" i="8"/>
  <c r="B10" i="8"/>
  <c r="I9" i="8"/>
  <c r="H9" i="8"/>
  <c r="G9" i="8"/>
  <c r="F9" i="8"/>
  <c r="E9" i="8"/>
  <c r="D9" i="8"/>
  <c r="C9" i="8"/>
  <c r="B9" i="8"/>
  <c r="I8" i="8"/>
  <c r="H8" i="8"/>
  <c r="G8" i="8"/>
  <c r="F8" i="8"/>
  <c r="E8" i="8"/>
  <c r="D8" i="8"/>
  <c r="C8" i="8"/>
  <c r="B8" i="8"/>
  <c r="I7" i="8"/>
  <c r="H7" i="8"/>
  <c r="L7" i="8" s="1"/>
  <c r="G7" i="8"/>
  <c r="F7" i="8"/>
  <c r="E7" i="8"/>
  <c r="D7" i="8"/>
  <c r="C7" i="8"/>
  <c r="B7" i="8"/>
  <c r="I6" i="8"/>
  <c r="H6" i="8"/>
  <c r="G6" i="8"/>
  <c r="F6" i="8"/>
  <c r="E6" i="8"/>
  <c r="D6" i="8"/>
  <c r="C6" i="8"/>
  <c r="B6" i="8"/>
  <c r="I5" i="8"/>
  <c r="H5" i="8"/>
  <c r="G5" i="8"/>
  <c r="F5" i="8"/>
  <c r="E5" i="8"/>
  <c r="D5" i="8"/>
  <c r="C5" i="8"/>
  <c r="B5" i="8"/>
  <c r="I4" i="8"/>
  <c r="H4" i="8"/>
  <c r="G4" i="8"/>
  <c r="F4" i="8"/>
  <c r="E4" i="8"/>
  <c r="D4" i="8"/>
  <c r="C4" i="8"/>
  <c r="B4" i="8"/>
  <c r="I3" i="8"/>
  <c r="H3" i="8"/>
  <c r="G3" i="8"/>
  <c r="F3" i="8"/>
  <c r="E3" i="8"/>
  <c r="D3" i="8"/>
  <c r="C3" i="8"/>
  <c r="B3" i="8"/>
  <c r="I2" i="8"/>
  <c r="H2" i="8"/>
  <c r="G2" i="8"/>
  <c r="F2" i="8"/>
  <c r="E2" i="8"/>
  <c r="D2" i="8"/>
  <c r="C2" i="8"/>
  <c r="B2" i="8"/>
  <c r="C18" i="7"/>
  <c r="B18" i="7"/>
  <c r="C17" i="7"/>
  <c r="B17" i="7"/>
  <c r="C16" i="7"/>
  <c r="B16" i="7"/>
  <c r="C15" i="7"/>
  <c r="B15" i="7"/>
  <c r="C14" i="7"/>
  <c r="B14" i="7"/>
  <c r="D13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C1" i="7" s="1"/>
  <c r="B4" i="7"/>
  <c r="B1" i="7" s="1"/>
  <c r="C3" i="7"/>
  <c r="B3" i="7"/>
  <c r="C18" i="6"/>
  <c r="B18" i="6"/>
  <c r="C17" i="6"/>
  <c r="B17" i="6"/>
  <c r="C16" i="6"/>
  <c r="B16" i="6"/>
  <c r="C15" i="6"/>
  <c r="B15" i="6"/>
  <c r="C14" i="6"/>
  <c r="B14" i="6"/>
  <c r="C13" i="6"/>
  <c r="B13" i="6"/>
  <c r="C12" i="6"/>
  <c r="B12" i="6"/>
  <c r="C11" i="6"/>
  <c r="B11" i="6"/>
  <c r="C10" i="6"/>
  <c r="B10" i="6"/>
  <c r="C9" i="6"/>
  <c r="B9" i="6"/>
  <c r="C8" i="6"/>
  <c r="B8" i="6"/>
  <c r="C7" i="6"/>
  <c r="B7" i="6"/>
  <c r="C6" i="6"/>
  <c r="B6" i="6"/>
  <c r="C5" i="6"/>
  <c r="B5" i="6"/>
  <c r="C4" i="6"/>
  <c r="C1" i="6" s="1"/>
  <c r="B4" i="6"/>
  <c r="B1" i="6" s="1"/>
  <c r="C3" i="6"/>
  <c r="B3" i="6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C1" i="5" s="1"/>
  <c r="B4" i="5"/>
  <c r="B1" i="5" s="1"/>
  <c r="C3" i="5"/>
  <c r="B3" i="5"/>
  <c r="D18" i="4"/>
  <c r="C18" i="4"/>
  <c r="B18" i="4"/>
  <c r="C17" i="4"/>
  <c r="B17" i="4"/>
  <c r="C16" i="4"/>
  <c r="B16" i="4"/>
  <c r="D15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D6" i="4"/>
  <c r="C6" i="4"/>
  <c r="B6" i="4"/>
  <c r="C5" i="4"/>
  <c r="B5" i="4"/>
  <c r="C4" i="4"/>
  <c r="C1" i="4" s="1"/>
  <c r="B4" i="4"/>
  <c r="B1" i="4" s="1"/>
  <c r="D3" i="4"/>
  <c r="C3" i="4"/>
  <c r="B3" i="4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C9" i="3"/>
  <c r="B9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C8" i="3"/>
  <c r="B8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B7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C6" i="3"/>
  <c r="B6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  <c r="S4" i="3"/>
  <c r="S1" i="3" s="1"/>
  <c r="R4" i="3"/>
  <c r="R1" i="3" s="1"/>
  <c r="Q4" i="3"/>
  <c r="Q1" i="3" s="1"/>
  <c r="P4" i="3"/>
  <c r="P1" i="3" s="1"/>
  <c r="O4" i="3"/>
  <c r="O1" i="3" s="1"/>
  <c r="N4" i="3"/>
  <c r="N1" i="3" s="1"/>
  <c r="M4" i="3"/>
  <c r="M1" i="3" s="1"/>
  <c r="L4" i="3"/>
  <c r="L1" i="3" s="1"/>
  <c r="K4" i="3"/>
  <c r="K1" i="3" s="1"/>
  <c r="J4" i="3"/>
  <c r="J1" i="3" s="1"/>
  <c r="I4" i="3"/>
  <c r="I1" i="3" s="1"/>
  <c r="H4" i="3"/>
  <c r="H1" i="3" s="1"/>
  <c r="G4" i="3"/>
  <c r="G1" i="3" s="1"/>
  <c r="F4" i="3"/>
  <c r="F1" i="3" s="1"/>
  <c r="E4" i="3"/>
  <c r="E1" i="3" s="1"/>
  <c r="D4" i="3"/>
  <c r="D1" i="3" s="1"/>
  <c r="C4" i="3"/>
  <c r="C1" i="3" s="1"/>
  <c r="B4" i="3"/>
  <c r="B1" i="3" s="1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C3" i="3"/>
  <c r="B3" i="3"/>
  <c r="L17" i="8"/>
  <c r="O17" i="8" s="1"/>
  <c r="K9" i="8"/>
  <c r="N9" i="8" s="1"/>
  <c r="D2" i="7"/>
  <c r="D17" i="7" s="1"/>
  <c r="D2" i="6"/>
  <c r="D2" i="5"/>
  <c r="D2" i="4"/>
  <c r="D13" i="4" s="1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S4" i="2"/>
  <c r="S1" i="2" s="1"/>
  <c r="R4" i="2"/>
  <c r="R1" i="2" s="1"/>
  <c r="Q4" i="2"/>
  <c r="Q1" i="2" s="1"/>
  <c r="P4" i="2"/>
  <c r="P1" i="2" s="1"/>
  <c r="O4" i="2"/>
  <c r="O1" i="2" s="1"/>
  <c r="N4" i="2"/>
  <c r="N1" i="2" s="1"/>
  <c r="M4" i="2"/>
  <c r="M1" i="2" s="1"/>
  <c r="L4" i="2"/>
  <c r="L1" i="2" s="1"/>
  <c r="K4" i="2"/>
  <c r="K1" i="2" s="1"/>
  <c r="J4" i="2"/>
  <c r="J1" i="2" s="1"/>
  <c r="I4" i="2"/>
  <c r="I1" i="2" s="1"/>
  <c r="H4" i="2"/>
  <c r="H1" i="2" s="1"/>
  <c r="G4" i="2"/>
  <c r="G1" i="2" s="1"/>
  <c r="F4" i="2"/>
  <c r="F1" i="2" s="1"/>
  <c r="E4" i="2"/>
  <c r="E1" i="2" s="1"/>
  <c r="D4" i="2"/>
  <c r="D1" i="2" s="1"/>
  <c r="C4" i="2"/>
  <c r="C1" i="2" s="1"/>
  <c r="B4" i="2"/>
  <c r="B1" i="2" s="1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B3" i="2"/>
  <c r="J8" i="8" l="1"/>
  <c r="M8" i="8" s="1"/>
  <c r="U6" i="6"/>
  <c r="U8" i="6"/>
  <c r="U10" i="6"/>
  <c r="U12" i="6"/>
  <c r="U14" i="6"/>
  <c r="U16" i="6"/>
  <c r="U18" i="6"/>
  <c r="D12" i="4"/>
  <c r="U7" i="6"/>
  <c r="U9" i="6"/>
  <c r="U11" i="6"/>
  <c r="U13" i="6"/>
  <c r="U15" i="6"/>
  <c r="U17" i="6"/>
  <c r="D9" i="4"/>
  <c r="D5" i="7"/>
  <c r="D14" i="7"/>
  <c r="L6" i="8"/>
  <c r="O6" i="8" s="1"/>
  <c r="L5" i="8"/>
  <c r="O5" i="8" s="1"/>
  <c r="L11" i="8"/>
  <c r="O11" i="8" s="1"/>
  <c r="K16" i="8"/>
  <c r="N16" i="8" s="1"/>
  <c r="J17" i="8"/>
  <c r="M17" i="8" s="1"/>
  <c r="O7" i="8"/>
  <c r="O16" i="8"/>
  <c r="K6" i="8"/>
  <c r="N6" i="8" s="1"/>
  <c r="K12" i="8"/>
  <c r="N12" i="8" s="1"/>
  <c r="J14" i="8"/>
  <c r="M14" i="8" s="1"/>
  <c r="J6" i="8"/>
  <c r="M6" i="8" s="1"/>
  <c r="K7" i="8"/>
  <c r="N7" i="8" s="1"/>
  <c r="J9" i="8"/>
  <c r="M9" i="8" s="1"/>
  <c r="K10" i="8"/>
  <c r="N10" i="8" s="1"/>
  <c r="J12" i="8"/>
  <c r="M12" i="8" s="1"/>
  <c r="K13" i="8"/>
  <c r="N13" i="8" s="1"/>
  <c r="J15" i="8"/>
  <c r="M15" i="8" s="1"/>
  <c r="L10" i="8"/>
  <c r="O10" i="8" s="1"/>
  <c r="L13" i="8"/>
  <c r="O13" i="8" s="1"/>
  <c r="K5" i="8"/>
  <c r="N5" i="8" s="1"/>
  <c r="J7" i="8"/>
  <c r="M7" i="8" s="1"/>
  <c r="K8" i="8"/>
  <c r="N8" i="8" s="1"/>
  <c r="J10" i="8"/>
  <c r="M10" i="8" s="1"/>
  <c r="K11" i="8"/>
  <c r="N11" i="8" s="1"/>
  <c r="J13" i="8"/>
  <c r="M13" i="8" s="1"/>
  <c r="K14" i="8"/>
  <c r="N14" i="8" s="1"/>
  <c r="J16" i="8"/>
  <c r="M16" i="8" s="1"/>
  <c r="K17" i="8"/>
  <c r="N17" i="8" s="1"/>
  <c r="D10" i="6"/>
  <c r="D15" i="6"/>
  <c r="D3" i="6"/>
  <c r="D8" i="6"/>
  <c r="D13" i="6"/>
  <c r="D18" i="6"/>
  <c r="D5" i="6"/>
  <c r="D9" i="6"/>
  <c r="D17" i="6"/>
  <c r="D7" i="6"/>
  <c r="D16" i="6"/>
  <c r="D6" i="6"/>
  <c r="D14" i="6"/>
  <c r="D4" i="6"/>
  <c r="D1" i="6" s="1"/>
  <c r="D12" i="6"/>
  <c r="D11" i="6"/>
  <c r="D13" i="5"/>
  <c r="D7" i="5"/>
  <c r="D18" i="5"/>
  <c r="D12" i="5"/>
  <c r="D6" i="5"/>
  <c r="D15" i="5"/>
  <c r="D9" i="5"/>
  <c r="D3" i="5"/>
  <c r="D16" i="5"/>
  <c r="D10" i="5"/>
  <c r="D4" i="5"/>
  <c r="D1" i="5" s="1"/>
  <c r="D11" i="5"/>
  <c r="D5" i="5"/>
  <c r="D17" i="5"/>
  <c r="D14" i="5"/>
  <c r="D8" i="5"/>
  <c r="D15" i="7"/>
  <c r="D18" i="7"/>
  <c r="D6" i="7"/>
  <c r="D11" i="7"/>
  <c r="D16" i="7"/>
  <c r="D4" i="7"/>
  <c r="D1" i="7" s="1"/>
  <c r="D9" i="7"/>
  <c r="D7" i="7"/>
  <c r="D8" i="7"/>
  <c r="J5" i="8"/>
  <c r="M5" i="8" s="1"/>
  <c r="K15" i="8"/>
  <c r="N15" i="8" s="1"/>
  <c r="D10" i="7"/>
  <c r="L9" i="8"/>
  <c r="O9" i="8" s="1"/>
  <c r="L15" i="8"/>
  <c r="O15" i="8" s="1"/>
  <c r="D8" i="4"/>
  <c r="D14" i="4"/>
  <c r="D7" i="4"/>
  <c r="D3" i="7"/>
  <c r="D17" i="4"/>
  <c r="D11" i="4"/>
  <c r="D5" i="4"/>
  <c r="D16" i="4"/>
  <c r="D10" i="4"/>
  <c r="D4" i="4"/>
  <c r="D1" i="4" s="1"/>
  <c r="D12" i="7"/>
  <c r="E2" i="7"/>
  <c r="L8" i="8"/>
  <c r="O8" i="8" s="1"/>
  <c r="J11" i="8"/>
  <c r="M11" i="8" s="1"/>
  <c r="L14" i="8"/>
  <c r="O14" i="8" s="1"/>
  <c r="E2" i="4"/>
  <c r="O12" i="8"/>
  <c r="E2" i="6"/>
  <c r="E2" i="5"/>
  <c r="E17" i="4" l="1"/>
  <c r="E11" i="4"/>
  <c r="E5" i="4"/>
  <c r="E16" i="4"/>
  <c r="E10" i="4"/>
  <c r="E4" i="4"/>
  <c r="E1" i="4" s="1"/>
  <c r="E13" i="4"/>
  <c r="E7" i="4"/>
  <c r="E14" i="4"/>
  <c r="E8" i="4"/>
  <c r="E15" i="4"/>
  <c r="E9" i="4"/>
  <c r="E3" i="4"/>
  <c r="E12" i="4"/>
  <c r="E18" i="4"/>
  <c r="E6" i="4"/>
  <c r="E13" i="5"/>
  <c r="E7" i="5"/>
  <c r="E18" i="5"/>
  <c r="E12" i="5"/>
  <c r="E6" i="5"/>
  <c r="E15" i="5"/>
  <c r="E9" i="5"/>
  <c r="E3" i="5"/>
  <c r="E16" i="5"/>
  <c r="E10" i="5"/>
  <c r="E4" i="5"/>
  <c r="E1" i="5" s="1"/>
  <c r="E17" i="5"/>
  <c r="E11" i="5"/>
  <c r="E5" i="5"/>
  <c r="E14" i="5"/>
  <c r="E8" i="5"/>
  <c r="E11" i="7"/>
  <c r="E16" i="7"/>
  <c r="E4" i="7"/>
  <c r="E1" i="7" s="1"/>
  <c r="E9" i="7"/>
  <c r="E14" i="7"/>
  <c r="E3" i="7"/>
  <c r="E7" i="7"/>
  <c r="E10" i="7"/>
  <c r="E8" i="7"/>
  <c r="E18" i="7"/>
  <c r="E17" i="7"/>
  <c r="E15" i="7"/>
  <c r="E6" i="7"/>
  <c r="E5" i="7"/>
  <c r="E13" i="7"/>
  <c r="E12" i="7"/>
  <c r="E15" i="6"/>
  <c r="E3" i="6"/>
  <c r="E8" i="6"/>
  <c r="E13" i="6"/>
  <c r="E18" i="6"/>
  <c r="E6" i="6"/>
  <c r="E10" i="6"/>
  <c r="E9" i="6"/>
  <c r="E17" i="6"/>
  <c r="E16" i="6"/>
  <c r="E7" i="6"/>
  <c r="E4" i="6"/>
  <c r="E1" i="6" s="1"/>
  <c r="E5" i="6"/>
  <c r="E14" i="6"/>
  <c r="E12" i="6"/>
  <c r="E11" i="6"/>
  <c r="F2" i="7"/>
  <c r="F2" i="5"/>
  <c r="F2" i="6"/>
  <c r="F2" i="4"/>
  <c r="F18" i="5" l="1"/>
  <c r="F12" i="5"/>
  <c r="F6" i="5"/>
  <c r="F17" i="5"/>
  <c r="F11" i="5"/>
  <c r="F5" i="5"/>
  <c r="F16" i="5"/>
  <c r="F10" i="5"/>
  <c r="F4" i="5"/>
  <c r="F1" i="5" s="1"/>
  <c r="F14" i="5"/>
  <c r="F13" i="5"/>
  <c r="F8" i="5"/>
  <c r="F7" i="5"/>
  <c r="F15" i="5"/>
  <c r="F9" i="5"/>
  <c r="F3" i="5"/>
  <c r="F16" i="7"/>
  <c r="F4" i="7"/>
  <c r="F1" i="7" s="1"/>
  <c r="F9" i="7"/>
  <c r="F14" i="7"/>
  <c r="F7" i="7"/>
  <c r="F15" i="7"/>
  <c r="F11" i="7"/>
  <c r="F10" i="7"/>
  <c r="F8" i="7"/>
  <c r="F18" i="7"/>
  <c r="F17" i="7"/>
  <c r="F6" i="7"/>
  <c r="F5" i="7"/>
  <c r="F13" i="7"/>
  <c r="F12" i="7"/>
  <c r="F3" i="7"/>
  <c r="F16" i="4"/>
  <c r="F10" i="4"/>
  <c r="F4" i="4"/>
  <c r="F1" i="4" s="1"/>
  <c r="F15" i="4"/>
  <c r="F9" i="4"/>
  <c r="F3" i="4"/>
  <c r="F14" i="4"/>
  <c r="F8" i="4"/>
  <c r="F18" i="4"/>
  <c r="F17" i="4"/>
  <c r="F12" i="4"/>
  <c r="F11" i="4"/>
  <c r="F6" i="4"/>
  <c r="F5" i="4"/>
  <c r="F13" i="4"/>
  <c r="F7" i="4"/>
  <c r="F8" i="6"/>
  <c r="F13" i="6"/>
  <c r="F18" i="6"/>
  <c r="F6" i="6"/>
  <c r="F11" i="6"/>
  <c r="F9" i="6"/>
  <c r="F17" i="6"/>
  <c r="F16" i="6"/>
  <c r="F5" i="6"/>
  <c r="F7" i="6"/>
  <c r="F15" i="6"/>
  <c r="F14" i="6"/>
  <c r="F4" i="6"/>
  <c r="F1" i="6" s="1"/>
  <c r="F12" i="6"/>
  <c r="F3" i="6"/>
  <c r="F10" i="6"/>
  <c r="G2" i="5"/>
  <c r="G2" i="4"/>
  <c r="G2" i="6"/>
  <c r="G2" i="7"/>
  <c r="G9" i="7" l="1"/>
  <c r="G14" i="7"/>
  <c r="G7" i="7"/>
  <c r="G12" i="7"/>
  <c r="G17" i="7"/>
  <c r="G11" i="7"/>
  <c r="G10" i="7"/>
  <c r="G5" i="7"/>
  <c r="G8" i="7"/>
  <c r="G18" i="7"/>
  <c r="G16" i="7"/>
  <c r="G15" i="7"/>
  <c r="G6" i="7"/>
  <c r="G13" i="7"/>
  <c r="G4" i="7"/>
  <c r="G1" i="7" s="1"/>
  <c r="G3" i="7"/>
  <c r="G13" i="6"/>
  <c r="G18" i="6"/>
  <c r="G6" i="6"/>
  <c r="G11" i="6"/>
  <c r="G16" i="6"/>
  <c r="G4" i="6"/>
  <c r="G1" i="6" s="1"/>
  <c r="G17" i="6"/>
  <c r="G8" i="6"/>
  <c r="G7" i="6"/>
  <c r="G14" i="6"/>
  <c r="G15" i="6"/>
  <c r="G5" i="6"/>
  <c r="G12" i="6"/>
  <c r="G3" i="6"/>
  <c r="G10" i="6"/>
  <c r="G9" i="6"/>
  <c r="G18" i="5"/>
  <c r="G12" i="5"/>
  <c r="G6" i="5"/>
  <c r="G17" i="5"/>
  <c r="G11" i="5"/>
  <c r="G5" i="5"/>
  <c r="G16" i="5"/>
  <c r="G10" i="5"/>
  <c r="G4" i="5"/>
  <c r="G1" i="5" s="1"/>
  <c r="G14" i="5"/>
  <c r="G13" i="5"/>
  <c r="G8" i="5"/>
  <c r="G7" i="5"/>
  <c r="G15" i="5"/>
  <c r="G3" i="5"/>
  <c r="G9" i="5"/>
  <c r="G16" i="4"/>
  <c r="G10" i="4"/>
  <c r="G4" i="4"/>
  <c r="G1" i="4" s="1"/>
  <c r="G15" i="4"/>
  <c r="G9" i="4"/>
  <c r="G3" i="4"/>
  <c r="G14" i="4"/>
  <c r="G8" i="4"/>
  <c r="G5" i="4"/>
  <c r="G12" i="4"/>
  <c r="G18" i="4"/>
  <c r="G17" i="4"/>
  <c r="G11" i="4"/>
  <c r="G6" i="4"/>
  <c r="G7" i="4"/>
  <c r="G13" i="4"/>
  <c r="H2" i="4"/>
  <c r="H2" i="6"/>
  <c r="H2" i="5"/>
  <c r="H2" i="7"/>
  <c r="H14" i="7" l="1"/>
  <c r="H7" i="7"/>
  <c r="H12" i="7"/>
  <c r="H17" i="7"/>
  <c r="H5" i="7"/>
  <c r="H10" i="7"/>
  <c r="H8" i="7"/>
  <c r="H18" i="7"/>
  <c r="H9" i="7"/>
  <c r="H6" i="7"/>
  <c r="H13" i="7"/>
  <c r="H16" i="7"/>
  <c r="H15" i="7"/>
  <c r="H4" i="7"/>
  <c r="H1" i="7" s="1"/>
  <c r="H3" i="7"/>
  <c r="H11" i="7"/>
  <c r="H17" i="5"/>
  <c r="H11" i="5"/>
  <c r="H5" i="5"/>
  <c r="H16" i="5"/>
  <c r="H10" i="5"/>
  <c r="H4" i="5"/>
  <c r="H1" i="5" s="1"/>
  <c r="H12" i="5"/>
  <c r="H13" i="5"/>
  <c r="H6" i="5"/>
  <c r="H7" i="5"/>
  <c r="H14" i="5"/>
  <c r="H8" i="5"/>
  <c r="H18" i="5"/>
  <c r="H15" i="5"/>
  <c r="H9" i="5"/>
  <c r="H3" i="5"/>
  <c r="H18" i="6"/>
  <c r="H6" i="6"/>
  <c r="H11" i="6"/>
  <c r="H16" i="6"/>
  <c r="H4" i="6"/>
  <c r="H1" i="6" s="1"/>
  <c r="H9" i="6"/>
  <c r="H8" i="6"/>
  <c r="H7" i="6"/>
  <c r="H3" i="6"/>
  <c r="H13" i="6"/>
  <c r="H15" i="6"/>
  <c r="H5" i="6"/>
  <c r="H14" i="6"/>
  <c r="H12" i="6"/>
  <c r="H10" i="6"/>
  <c r="H17" i="6"/>
  <c r="H15" i="4"/>
  <c r="H9" i="4"/>
  <c r="H3" i="4"/>
  <c r="H14" i="4"/>
  <c r="H8" i="4"/>
  <c r="H6" i="4"/>
  <c r="H4" i="4"/>
  <c r="H1" i="4" s="1"/>
  <c r="H12" i="4"/>
  <c r="H10" i="4"/>
  <c r="H5" i="4"/>
  <c r="H11" i="4"/>
  <c r="H18" i="4"/>
  <c r="H16" i="4"/>
  <c r="H17" i="4"/>
  <c r="H13" i="4"/>
  <c r="H7" i="4"/>
  <c r="I2" i="6"/>
  <c r="I2" i="7"/>
  <c r="I2" i="5"/>
  <c r="I2" i="4"/>
  <c r="I17" i="5" l="1"/>
  <c r="I11" i="5"/>
  <c r="I5" i="5"/>
  <c r="I16" i="5"/>
  <c r="I10" i="5"/>
  <c r="I4" i="5"/>
  <c r="I1" i="5" s="1"/>
  <c r="I15" i="5"/>
  <c r="I18" i="5"/>
  <c r="I14" i="5"/>
  <c r="I13" i="5"/>
  <c r="I12" i="5"/>
  <c r="I8" i="5"/>
  <c r="I7" i="5"/>
  <c r="I6" i="5"/>
  <c r="I9" i="5"/>
  <c r="I3" i="5"/>
  <c r="I15" i="4"/>
  <c r="I9" i="4"/>
  <c r="I3" i="4"/>
  <c r="I14" i="4"/>
  <c r="I8" i="4"/>
  <c r="I13" i="4"/>
  <c r="I7" i="4"/>
  <c r="I18" i="4"/>
  <c r="I17" i="4"/>
  <c r="I16" i="4"/>
  <c r="I12" i="4"/>
  <c r="I11" i="4"/>
  <c r="I10" i="4"/>
  <c r="I6" i="4"/>
  <c r="I5" i="4"/>
  <c r="I4" i="4"/>
  <c r="I1" i="4" s="1"/>
  <c r="I11" i="6"/>
  <c r="I16" i="6"/>
  <c r="I4" i="6"/>
  <c r="I1" i="6" s="1"/>
  <c r="I9" i="6"/>
  <c r="I14" i="6"/>
  <c r="I8" i="6"/>
  <c r="I7" i="6"/>
  <c r="I12" i="6"/>
  <c r="I15" i="6"/>
  <c r="I5" i="6"/>
  <c r="I6" i="6"/>
  <c r="I13" i="6"/>
  <c r="I3" i="6"/>
  <c r="I10" i="6"/>
  <c r="I17" i="6"/>
  <c r="I18" i="6"/>
  <c r="I7" i="7"/>
  <c r="I12" i="7"/>
  <c r="I17" i="7"/>
  <c r="I5" i="7"/>
  <c r="I10" i="7"/>
  <c r="I8" i="7"/>
  <c r="I14" i="7"/>
  <c r="I18" i="7"/>
  <c r="I9" i="7"/>
  <c r="I16" i="7"/>
  <c r="I15" i="7"/>
  <c r="I6" i="7"/>
  <c r="I13" i="7"/>
  <c r="I4" i="7"/>
  <c r="I1" i="7" s="1"/>
  <c r="I3" i="7"/>
  <c r="I11" i="7"/>
  <c r="J2" i="4"/>
  <c r="J2" i="6"/>
  <c r="J2" i="5"/>
  <c r="J2" i="7"/>
  <c r="J16" i="5" l="1"/>
  <c r="J10" i="5"/>
  <c r="J4" i="5"/>
  <c r="J15" i="5"/>
  <c r="J9" i="5"/>
  <c r="J3" i="5"/>
  <c r="J8" i="5"/>
  <c r="J18" i="5"/>
  <c r="J12" i="5"/>
  <c r="J6" i="5"/>
  <c r="J17" i="5"/>
  <c r="J11" i="5"/>
  <c r="J5" i="5"/>
  <c r="J14" i="5"/>
  <c r="J7" i="5"/>
  <c r="J13" i="5"/>
  <c r="J12" i="7"/>
  <c r="J17" i="7"/>
  <c r="J5" i="7"/>
  <c r="J10" i="7"/>
  <c r="J15" i="7"/>
  <c r="J3" i="7"/>
  <c r="J8" i="7"/>
  <c r="J4" i="7"/>
  <c r="J1" i="7" s="1"/>
  <c r="J18" i="7"/>
  <c r="J9" i="7"/>
  <c r="J16" i="7"/>
  <c r="J6" i="7"/>
  <c r="J7" i="7"/>
  <c r="J13" i="7"/>
  <c r="J14" i="7"/>
  <c r="J11" i="7"/>
  <c r="J16" i="6"/>
  <c r="J4" i="6"/>
  <c r="J1" i="6" s="1"/>
  <c r="J9" i="6"/>
  <c r="J14" i="6"/>
  <c r="J7" i="6"/>
  <c r="J10" i="6"/>
  <c r="J15" i="6"/>
  <c r="J5" i="6"/>
  <c r="J3" i="6"/>
  <c r="J6" i="6"/>
  <c r="J12" i="6"/>
  <c r="J13" i="6"/>
  <c r="J11" i="6"/>
  <c r="J17" i="6"/>
  <c r="J18" i="6"/>
  <c r="J8" i="6"/>
  <c r="J14" i="4"/>
  <c r="J8" i="4"/>
  <c r="J13" i="4"/>
  <c r="J7" i="4"/>
  <c r="J12" i="4"/>
  <c r="J5" i="4"/>
  <c r="J16" i="4"/>
  <c r="J15" i="4"/>
  <c r="J9" i="4"/>
  <c r="J3" i="4"/>
  <c r="J18" i="4"/>
  <c r="J4" i="4"/>
  <c r="J1" i="4" s="1"/>
  <c r="J17" i="4"/>
  <c r="J11" i="4"/>
  <c r="J6" i="4"/>
  <c r="J10" i="4"/>
  <c r="K2" i="7"/>
  <c r="K2" i="4"/>
  <c r="J1" i="5"/>
  <c r="K2" i="5"/>
  <c r="K2" i="6"/>
  <c r="K9" i="6" l="1"/>
  <c r="K14" i="6"/>
  <c r="K7" i="6"/>
  <c r="K12" i="6"/>
  <c r="K15" i="6"/>
  <c r="K5" i="6"/>
  <c r="K16" i="6"/>
  <c r="K6" i="6"/>
  <c r="K4" i="6"/>
  <c r="K1" i="6" s="1"/>
  <c r="K13" i="6"/>
  <c r="K3" i="6"/>
  <c r="K11" i="6"/>
  <c r="K10" i="6"/>
  <c r="K17" i="6"/>
  <c r="K18" i="6"/>
  <c r="K8" i="6"/>
  <c r="K16" i="5"/>
  <c r="K10" i="5"/>
  <c r="K4" i="5"/>
  <c r="K1" i="5" s="1"/>
  <c r="K15" i="5"/>
  <c r="K9" i="5"/>
  <c r="K3" i="5"/>
  <c r="K17" i="5"/>
  <c r="K11" i="5"/>
  <c r="K5" i="5"/>
  <c r="K18" i="5"/>
  <c r="K14" i="5"/>
  <c r="K13" i="5"/>
  <c r="K12" i="5"/>
  <c r="K8" i="5"/>
  <c r="K7" i="5"/>
  <c r="K6" i="5"/>
  <c r="K14" i="4"/>
  <c r="K8" i="4"/>
  <c r="K13" i="4"/>
  <c r="K7" i="4"/>
  <c r="K15" i="4"/>
  <c r="K9" i="4"/>
  <c r="K3" i="4"/>
  <c r="K18" i="4"/>
  <c r="K17" i="4"/>
  <c r="K16" i="4"/>
  <c r="K12" i="4"/>
  <c r="K11" i="4"/>
  <c r="K10" i="4"/>
  <c r="K6" i="4"/>
  <c r="K5" i="4"/>
  <c r="K4" i="4"/>
  <c r="K1" i="4" s="1"/>
  <c r="K17" i="7"/>
  <c r="K5" i="7"/>
  <c r="K10" i="7"/>
  <c r="K15" i="7"/>
  <c r="K3" i="7"/>
  <c r="K8" i="7"/>
  <c r="K18" i="7"/>
  <c r="K9" i="7"/>
  <c r="K16" i="7"/>
  <c r="K6" i="7"/>
  <c r="K7" i="7"/>
  <c r="K13" i="7"/>
  <c r="K14" i="7"/>
  <c r="K4" i="7"/>
  <c r="K1" i="7" s="1"/>
  <c r="K11" i="7"/>
  <c r="K12" i="7"/>
  <c r="L2" i="4"/>
  <c r="L2" i="7"/>
  <c r="L2" i="5"/>
  <c r="L2" i="6"/>
  <c r="L10" i="7" l="1"/>
  <c r="L15" i="7"/>
  <c r="L3" i="7"/>
  <c r="L8" i="7"/>
  <c r="L13" i="7"/>
  <c r="L18" i="7"/>
  <c r="L16" i="7"/>
  <c r="L6" i="7"/>
  <c r="L7" i="7"/>
  <c r="L11" i="7"/>
  <c r="L17" i="7"/>
  <c r="L14" i="7"/>
  <c r="L4" i="7"/>
  <c r="L1" i="7" s="1"/>
  <c r="L5" i="7"/>
  <c r="L12" i="7"/>
  <c r="L9" i="7"/>
  <c r="L15" i="5"/>
  <c r="L9" i="5"/>
  <c r="L3" i="5"/>
  <c r="L14" i="5"/>
  <c r="L8" i="5"/>
  <c r="L17" i="5"/>
  <c r="L11" i="5"/>
  <c r="L5" i="5"/>
  <c r="L18" i="5"/>
  <c r="L13" i="5"/>
  <c r="L12" i="5"/>
  <c r="L7" i="5"/>
  <c r="L6" i="5"/>
  <c r="L16" i="5"/>
  <c r="L10" i="5"/>
  <c r="L4" i="5"/>
  <c r="L1" i="5" s="1"/>
  <c r="L14" i="6"/>
  <c r="L7" i="6"/>
  <c r="L12" i="6"/>
  <c r="L17" i="6"/>
  <c r="L5" i="6"/>
  <c r="L16" i="6"/>
  <c r="L6" i="6"/>
  <c r="L13" i="6"/>
  <c r="L3" i="6"/>
  <c r="L4" i="6"/>
  <c r="L1" i="6" s="1"/>
  <c r="L10" i="6"/>
  <c r="L11" i="6"/>
  <c r="L18" i="6"/>
  <c r="L8" i="6"/>
  <c r="L9" i="6"/>
  <c r="L15" i="6"/>
  <c r="L13" i="4"/>
  <c r="L7" i="4"/>
  <c r="L18" i="4"/>
  <c r="L12" i="4"/>
  <c r="L6" i="4"/>
  <c r="L15" i="4"/>
  <c r="L9" i="4"/>
  <c r="L3" i="4"/>
  <c r="L17" i="4"/>
  <c r="L16" i="4"/>
  <c r="L11" i="4"/>
  <c r="L10" i="4"/>
  <c r="L5" i="4"/>
  <c r="L4" i="4"/>
  <c r="L1" i="4" s="1"/>
  <c r="L14" i="4"/>
  <c r="L8" i="4"/>
  <c r="M2" i="6"/>
  <c r="M2" i="7"/>
  <c r="M2" i="4"/>
  <c r="M2" i="5"/>
  <c r="M13" i="4" l="1"/>
  <c r="M7" i="4"/>
  <c r="M18" i="4"/>
  <c r="M12" i="4"/>
  <c r="M6" i="4"/>
  <c r="M15" i="4"/>
  <c r="M9" i="4"/>
  <c r="M3" i="4"/>
  <c r="M17" i="4"/>
  <c r="M16" i="4"/>
  <c r="M11" i="4"/>
  <c r="M10" i="4"/>
  <c r="M5" i="4"/>
  <c r="M4" i="4"/>
  <c r="M1" i="4" s="1"/>
  <c r="M8" i="4"/>
  <c r="M14" i="4"/>
  <c r="M15" i="5"/>
  <c r="M9" i="5"/>
  <c r="M3" i="5"/>
  <c r="M14" i="5"/>
  <c r="M8" i="5"/>
  <c r="M17" i="5"/>
  <c r="M11" i="5"/>
  <c r="M5" i="5"/>
  <c r="M18" i="5"/>
  <c r="M13" i="5"/>
  <c r="M12" i="5"/>
  <c r="M7" i="5"/>
  <c r="M6" i="5"/>
  <c r="M16" i="5"/>
  <c r="M4" i="5"/>
  <c r="M1" i="5" s="1"/>
  <c r="M10" i="5"/>
  <c r="M15" i="7"/>
  <c r="M3" i="7"/>
  <c r="M8" i="7"/>
  <c r="M13" i="7"/>
  <c r="M18" i="7"/>
  <c r="M6" i="7"/>
  <c r="M16" i="7"/>
  <c r="M7" i="7"/>
  <c r="M5" i="7"/>
  <c r="M12" i="7"/>
  <c r="M17" i="7"/>
  <c r="M14" i="7"/>
  <c r="M4" i="7"/>
  <c r="M1" i="7" s="1"/>
  <c r="M11" i="7"/>
  <c r="M9" i="7"/>
  <c r="M10" i="7"/>
  <c r="M7" i="6"/>
  <c r="M12" i="6"/>
  <c r="M17" i="6"/>
  <c r="M5" i="6"/>
  <c r="M10" i="6"/>
  <c r="M13" i="6"/>
  <c r="M3" i="6"/>
  <c r="M14" i="6"/>
  <c r="M4" i="6"/>
  <c r="M1" i="6" s="1"/>
  <c r="M11" i="6"/>
  <c r="M18" i="6"/>
  <c r="M8" i="6"/>
  <c r="M9" i="6"/>
  <c r="M15" i="6"/>
  <c r="M16" i="6"/>
  <c r="M6" i="6"/>
  <c r="N2" i="7"/>
  <c r="N2" i="5"/>
  <c r="N2" i="6"/>
  <c r="N2" i="4"/>
  <c r="N14" i="5" l="1"/>
  <c r="N8" i="5"/>
  <c r="N13" i="5"/>
  <c r="N7" i="5"/>
  <c r="N18" i="5"/>
  <c r="N12" i="5"/>
  <c r="N6" i="5"/>
  <c r="N9" i="5"/>
  <c r="N3" i="5"/>
  <c r="N15" i="5"/>
  <c r="N16" i="5"/>
  <c r="N10" i="5"/>
  <c r="N4" i="5"/>
  <c r="N1" i="5" s="1"/>
  <c r="N17" i="5"/>
  <c r="N11" i="5"/>
  <c r="N5" i="5"/>
  <c r="N12" i="6"/>
  <c r="N17" i="6"/>
  <c r="N5" i="6"/>
  <c r="N10" i="6"/>
  <c r="N15" i="6"/>
  <c r="N3" i="6"/>
  <c r="N13" i="6"/>
  <c r="N14" i="6"/>
  <c r="N4" i="6"/>
  <c r="N1" i="6" s="1"/>
  <c r="N8" i="6"/>
  <c r="N11" i="6"/>
  <c r="N18" i="6"/>
  <c r="N9" i="6"/>
  <c r="N16" i="6"/>
  <c r="N6" i="6"/>
  <c r="N7" i="6"/>
  <c r="N8" i="7"/>
  <c r="N13" i="7"/>
  <c r="N18" i="7"/>
  <c r="N6" i="7"/>
  <c r="N11" i="7"/>
  <c r="N16" i="7"/>
  <c r="N7" i="7"/>
  <c r="N17" i="7"/>
  <c r="N14" i="7"/>
  <c r="N15" i="7"/>
  <c r="N4" i="7"/>
  <c r="N1" i="7" s="1"/>
  <c r="N5" i="7"/>
  <c r="N12" i="7"/>
  <c r="N3" i="7"/>
  <c r="N9" i="7"/>
  <c r="N10" i="7"/>
  <c r="N18" i="4"/>
  <c r="N12" i="4"/>
  <c r="N6" i="4"/>
  <c r="N17" i="4"/>
  <c r="N11" i="4"/>
  <c r="N5" i="4"/>
  <c r="N16" i="4"/>
  <c r="N10" i="4"/>
  <c r="N4" i="4"/>
  <c r="N1" i="4" s="1"/>
  <c r="N13" i="4"/>
  <c r="N7" i="4"/>
  <c r="N14" i="4"/>
  <c r="N8" i="4"/>
  <c r="N15" i="4"/>
  <c r="N9" i="4"/>
  <c r="N3" i="4"/>
  <c r="O2" i="4"/>
  <c r="O2" i="5"/>
  <c r="O2" i="6"/>
  <c r="O2" i="7"/>
  <c r="O13" i="7" l="1"/>
  <c r="O18" i="7"/>
  <c r="O6" i="7"/>
  <c r="O11" i="7"/>
  <c r="O16" i="7"/>
  <c r="O4" i="7"/>
  <c r="O1" i="7" s="1"/>
  <c r="O17" i="7"/>
  <c r="O14" i="7"/>
  <c r="O15" i="7"/>
  <c r="O5" i="7"/>
  <c r="O12" i="7"/>
  <c r="O3" i="7"/>
  <c r="O9" i="7"/>
  <c r="O10" i="7"/>
  <c r="O8" i="7"/>
  <c r="O7" i="7"/>
  <c r="O17" i="6"/>
  <c r="O5" i="6"/>
  <c r="O10" i="6"/>
  <c r="O15" i="6"/>
  <c r="O3" i="6"/>
  <c r="O8" i="6"/>
  <c r="O13" i="6"/>
  <c r="O14" i="6"/>
  <c r="O4" i="6"/>
  <c r="O1" i="6" s="1"/>
  <c r="O9" i="6"/>
  <c r="O12" i="6"/>
  <c r="O11" i="6"/>
  <c r="O18" i="6"/>
  <c r="O16" i="6"/>
  <c r="O6" i="6"/>
  <c r="O7" i="6"/>
  <c r="O14" i="5"/>
  <c r="O8" i="5"/>
  <c r="O13" i="5"/>
  <c r="O7" i="5"/>
  <c r="O18" i="5"/>
  <c r="O12" i="5"/>
  <c r="O6" i="5"/>
  <c r="O16" i="5"/>
  <c r="O4" i="5"/>
  <c r="O1" i="5" s="1"/>
  <c r="O15" i="5"/>
  <c r="O9" i="5"/>
  <c r="O3" i="5"/>
  <c r="O10" i="5"/>
  <c r="O17" i="5"/>
  <c r="O11" i="5"/>
  <c r="O5" i="5"/>
  <c r="O18" i="4"/>
  <c r="O12" i="4"/>
  <c r="O6" i="4"/>
  <c r="O17" i="4"/>
  <c r="O11" i="4"/>
  <c r="O5" i="4"/>
  <c r="O16" i="4"/>
  <c r="O10" i="4"/>
  <c r="O4" i="4"/>
  <c r="O1" i="4" s="1"/>
  <c r="O8" i="4"/>
  <c r="O13" i="4"/>
  <c r="O7" i="4"/>
  <c r="O14" i="4"/>
  <c r="O15" i="4"/>
  <c r="O3" i="4"/>
  <c r="O9" i="4"/>
  <c r="P2" i="7"/>
  <c r="P2" i="6"/>
  <c r="P2" i="5"/>
  <c r="P10" i="6" l="1"/>
  <c r="P15" i="6"/>
  <c r="P3" i="6"/>
  <c r="P8" i="6"/>
  <c r="P13" i="6"/>
  <c r="P14" i="6"/>
  <c r="P4" i="6"/>
  <c r="P1" i="6" s="1"/>
  <c r="P12" i="6"/>
  <c r="P11" i="6"/>
  <c r="P18" i="6"/>
  <c r="P17" i="6"/>
  <c r="P9" i="6"/>
  <c r="P16" i="6"/>
  <c r="P6" i="6"/>
  <c r="P7" i="6"/>
  <c r="P5" i="6"/>
  <c r="P18" i="7"/>
  <c r="P6" i="7"/>
  <c r="P11" i="7"/>
  <c r="P16" i="7"/>
  <c r="P4" i="7"/>
  <c r="P1" i="7" s="1"/>
  <c r="P9" i="7"/>
  <c r="P17" i="7"/>
  <c r="P14" i="7"/>
  <c r="P15" i="7"/>
  <c r="P5" i="7"/>
  <c r="P3" i="7"/>
  <c r="P13" i="7"/>
  <c r="P12" i="7"/>
  <c r="P10" i="7"/>
  <c r="P8" i="7"/>
  <c r="P7" i="7"/>
  <c r="Q2" i="7"/>
  <c r="Q2" i="6"/>
  <c r="Q15" i="6" l="1"/>
  <c r="Q3" i="6"/>
  <c r="Q8" i="6"/>
  <c r="Q13" i="6"/>
  <c r="Q18" i="6"/>
  <c r="Q6" i="6"/>
  <c r="Q12" i="6"/>
  <c r="Q11" i="6"/>
  <c r="Q16" i="6"/>
  <c r="Q9" i="6"/>
  <c r="Q10" i="6"/>
  <c r="Q17" i="6"/>
  <c r="Q7" i="6"/>
  <c r="Q5" i="6"/>
  <c r="Q14" i="6"/>
  <c r="Q4" i="6"/>
  <c r="Q1" i="6" s="1"/>
  <c r="Q11" i="7"/>
  <c r="Q16" i="7"/>
  <c r="Q4" i="7"/>
  <c r="Q1" i="7" s="1"/>
  <c r="Q9" i="7"/>
  <c r="Q14" i="7"/>
  <c r="Q15" i="7"/>
  <c r="Q6" i="7"/>
  <c r="Q5" i="7"/>
  <c r="Q13" i="7"/>
  <c r="Q12" i="7"/>
  <c r="Q3" i="7"/>
  <c r="Q10" i="7"/>
  <c r="Q8" i="7"/>
  <c r="Q7" i="7"/>
  <c r="Q18" i="7"/>
  <c r="Q17" i="7"/>
  <c r="R2" i="7"/>
  <c r="R2" i="6"/>
  <c r="R16" i="7" l="1"/>
  <c r="R4" i="7"/>
  <c r="R9" i="7"/>
  <c r="R14" i="7"/>
  <c r="R7" i="7"/>
  <c r="R5" i="7"/>
  <c r="R13" i="7"/>
  <c r="R12" i="7"/>
  <c r="R3" i="7"/>
  <c r="R11" i="7"/>
  <c r="R10" i="7"/>
  <c r="R8" i="7"/>
  <c r="R18" i="7"/>
  <c r="R17" i="7"/>
  <c r="R15" i="7"/>
  <c r="R6" i="7"/>
  <c r="R8" i="6"/>
  <c r="R13" i="6"/>
  <c r="R18" i="6"/>
  <c r="R6" i="6"/>
  <c r="R11" i="6"/>
  <c r="R12" i="6"/>
  <c r="R3" i="6"/>
  <c r="R17" i="6"/>
  <c r="R10" i="6"/>
  <c r="R9" i="6"/>
  <c r="R7" i="6"/>
  <c r="R16" i="6"/>
  <c r="R15" i="6"/>
  <c r="R5" i="6"/>
  <c r="R14" i="6"/>
  <c r="R4" i="6"/>
  <c r="R1" i="6" s="1"/>
  <c r="S2" i="6"/>
  <c r="S2" i="7"/>
  <c r="R1" i="7"/>
  <c r="S9" i="7" l="1"/>
  <c r="S14" i="7"/>
  <c r="S7" i="7"/>
  <c r="S12" i="7"/>
  <c r="S13" i="7"/>
  <c r="S4" i="7"/>
  <c r="S1" i="7" s="1"/>
  <c r="S3" i="7"/>
  <c r="S11" i="7"/>
  <c r="S10" i="7"/>
  <c r="S8" i="7"/>
  <c r="S18" i="7"/>
  <c r="S17" i="7"/>
  <c r="S15" i="7"/>
  <c r="S6" i="7"/>
  <c r="S16" i="7"/>
  <c r="S5" i="7"/>
  <c r="S13" i="6"/>
  <c r="S18" i="6"/>
  <c r="S6" i="6"/>
  <c r="S11" i="6"/>
  <c r="S16" i="6"/>
  <c r="S4" i="6"/>
  <c r="S1" i="6" s="1"/>
  <c r="S3" i="6"/>
  <c r="S10" i="6"/>
  <c r="S9" i="6"/>
  <c r="S17" i="6"/>
  <c r="S8" i="6"/>
  <c r="S7" i="6"/>
  <c r="S15" i="6"/>
  <c r="S5" i="6"/>
  <c r="S14" i="6"/>
  <c r="S12" i="6"/>
  <c r="T2" i="6"/>
  <c r="U2" i="6" s="1"/>
  <c r="T2" i="7"/>
  <c r="T18" i="6" l="1"/>
  <c r="T6" i="6"/>
  <c r="T11" i="6"/>
  <c r="T16" i="6"/>
  <c r="T4" i="6"/>
  <c r="T1" i="6" s="1"/>
  <c r="T9" i="6"/>
  <c r="T10" i="6"/>
  <c r="T7" i="6"/>
  <c r="T17" i="6"/>
  <c r="T8" i="6"/>
  <c r="T5" i="6"/>
  <c r="T15" i="6"/>
  <c r="T14" i="6"/>
  <c r="T12" i="6"/>
  <c r="T13" i="6"/>
  <c r="T3" i="6"/>
  <c r="T14" i="7"/>
  <c r="T7" i="7"/>
  <c r="T12" i="7"/>
  <c r="T17" i="7"/>
  <c r="T5" i="7"/>
  <c r="T4" i="7"/>
  <c r="T1" i="7" s="1"/>
  <c r="T3" i="7"/>
  <c r="T11" i="7"/>
  <c r="T10" i="7"/>
  <c r="T8" i="7"/>
  <c r="T9" i="7"/>
  <c r="T18" i="7"/>
  <c r="T15" i="7"/>
  <c r="T6" i="7"/>
  <c r="T16" i="7"/>
  <c r="T13" i="7"/>
  <c r="V2" i="6"/>
  <c r="W2" i="6" s="1"/>
  <c r="U2" i="7"/>
  <c r="V2" i="7" s="1"/>
  <c r="W2" i="7" s="1"/>
</calcChain>
</file>

<file path=xl/sharedStrings.xml><?xml version="1.0" encoding="utf-8"?>
<sst xmlns="http://schemas.openxmlformats.org/spreadsheetml/2006/main" count="1056" uniqueCount="287">
  <si>
    <t>OPERATOR:2</t>
  </si>
  <si>
    <t>OPERATOR:4</t>
  </si>
  <si>
    <t>OPERATOR:8</t>
  </si>
  <si>
    <t>OPERATOR:9</t>
  </si>
  <si>
    <t>OPERATOR:5</t>
  </si>
  <si>
    <t>OPERATOR:10</t>
  </si>
  <si>
    <t>OPERATOR:11</t>
  </si>
  <si>
    <t>Kąt obrotu osi X</t>
  </si>
  <si>
    <t>Kąt obrotu osi Y</t>
  </si>
  <si>
    <t>Area_NM (Amp_full-Amp_NM)</t>
  </si>
  <si>
    <t>Area NM_005 (Aev_005-Amp_005)</t>
  </si>
  <si>
    <t>Area NM_05 (Aev_05-Amp_05)</t>
  </si>
  <si>
    <t>Procent_NM (((Area_NM/Aev)*100))</t>
  </si>
  <si>
    <t>Procent NM_005 (((Area_NM_005/Aev)*100))</t>
  </si>
  <si>
    <t>Procent NM_05 (((Area_NM_05/Aev)*100))</t>
  </si>
  <si>
    <t>Amp</t>
  </si>
  <si>
    <t>Aev</t>
  </si>
  <si>
    <t>Pp[Średnia]</t>
  </si>
  <si>
    <t>Pp[Std odch]</t>
  </si>
  <si>
    <t>Pp[Min]</t>
  </si>
  <si>
    <t>Pp[Max]</t>
  </si>
  <si>
    <t>Pv[Średnia]</t>
  </si>
  <si>
    <t>Pv[Std odch]</t>
  </si>
  <si>
    <t>Pv[Min]</t>
  </si>
  <si>
    <t>Pv[Max]</t>
  </si>
  <si>
    <t>Pz[Średnia]</t>
  </si>
  <si>
    <t>Pz[Std odch]</t>
  </si>
  <si>
    <t>Pz[Min]</t>
  </si>
  <si>
    <t>Pz[Max]</t>
  </si>
  <si>
    <t>Pc (Brak uśredniania (pojedyncza wartość))[Średnia]</t>
  </si>
  <si>
    <t>Pc (Brak uśredniania (pojedyncza wartość))[Std odch]</t>
  </si>
  <si>
    <t>Pc (Brak uśredniania (pojedyncza wartość))[Min]</t>
  </si>
  <si>
    <t>Pc (Brak uśredniania (pojedyncza wartość))[Max]</t>
  </si>
  <si>
    <t>Pt[Średnia]</t>
  </si>
  <si>
    <t>Pt[Std odch]</t>
  </si>
  <si>
    <t>Pt[Min]</t>
  </si>
  <si>
    <t>Pt[Max]</t>
  </si>
  <si>
    <t>Pa[Średnia]</t>
  </si>
  <si>
    <t>Pa[Std odch]</t>
  </si>
  <si>
    <t>Pa[Min]</t>
  </si>
  <si>
    <t>Pa[Max]</t>
  </si>
  <si>
    <t>Pq[Średnia]</t>
  </si>
  <si>
    <t>Pq[Std odch]</t>
  </si>
  <si>
    <t>Pq[Min]</t>
  </si>
  <si>
    <t>Pq[Max]</t>
  </si>
  <si>
    <t>Psk[Średnia]</t>
  </si>
  <si>
    <t>Psk[Std odch]</t>
  </si>
  <si>
    <t>Psk[Min]</t>
  </si>
  <si>
    <t>Psk[Max]</t>
  </si>
  <si>
    <t>Pku[Średnia]</t>
  </si>
  <si>
    <t>Pku[Std odch]</t>
  </si>
  <si>
    <t>Pku[Min]</t>
  </si>
  <si>
    <t>Pku[Max]</t>
  </si>
  <si>
    <t>PSm (Brak uśredniania (pojedyncza wartość))[Średnia]</t>
  </si>
  <si>
    <t>PSm (Brak uśredniania (pojedyncza wartość))[Std odch]</t>
  </si>
  <si>
    <t>PSm (Brak uśredniania (pojedyncza wartość))[Min]</t>
  </si>
  <si>
    <t>PSm (Brak uśredniania (pojedyncza wartość))[Max]</t>
  </si>
  <si>
    <t>Pdq[Średnia]</t>
  </si>
  <si>
    <t>Pdq[Std odch]</t>
  </si>
  <si>
    <t>Pdq[Min]</t>
  </si>
  <si>
    <t>Pdq[Max]</t>
  </si>
  <si>
    <t>Pmr (c = 1 µm poniżej najwyższego wypiętrzenia)[Średnia]</t>
  </si>
  <si>
    <t>Pmr (c = 1 µm poniżej najwyższego wypiętrzenia)[Std odch]</t>
  </si>
  <si>
    <t>Pmr (c = 1 µm poniżej najwyższego wypiętrzenia)[Min]</t>
  </si>
  <si>
    <t>Pmr (c = 1 µm poniżej najwyższego wypiętrzenia)[Max]</t>
  </si>
  <si>
    <t>Pdc (p = 20%, q = 80%)[Średnia]</t>
  </si>
  <si>
    <t>Pdc (p = 20%, q = 80%)[Std odch]</t>
  </si>
  <si>
    <t>Pdc (p = 20%, q = 80%)[Min]</t>
  </si>
  <si>
    <t>Pdc (p = 20%, q = 80%)[Max]</t>
  </si>
  <si>
    <t>PPc (Brak uśredniania (pojedyncza wartość))[Średnia]</t>
  </si>
  <si>
    <t>PPc (Brak uśredniania (pojedyncza wartość))[Std odch]</t>
  </si>
  <si>
    <t>PPc (Brak uśredniania (pojedyncza wartość))[Min]</t>
  </si>
  <si>
    <t>PPc (Brak uśredniania (pojedyncza wartość))[Max]</t>
  </si>
  <si>
    <t>Rp[Średnia]</t>
  </si>
  <si>
    <t>Rp[Std odch]</t>
  </si>
  <si>
    <t>Rp[Min]</t>
  </si>
  <si>
    <t>Rp[Max]</t>
  </si>
  <si>
    <t>Rv[Średnia]</t>
  </si>
  <si>
    <t>Rv[Std odch]</t>
  </si>
  <si>
    <t>Rv[Min]</t>
  </si>
  <si>
    <t>Rv[Max]</t>
  </si>
  <si>
    <t>Rz[Średnia]</t>
  </si>
  <si>
    <t>Rz[Std odch]</t>
  </si>
  <si>
    <t>Rz[Min]</t>
  </si>
  <si>
    <t>Rz[Max]</t>
  </si>
  <si>
    <t>Rc (Brak uśredniania (pojedyncza wartość))[Średnia]</t>
  </si>
  <si>
    <t>Rc (Brak uśredniania (pojedyncza wartość))[Std odch]</t>
  </si>
  <si>
    <t>Rc (Brak uśredniania (pojedyncza wartość))[Min]</t>
  </si>
  <si>
    <t>Rc (Brak uśredniania (pojedyncza wartość))[Max]</t>
  </si>
  <si>
    <t>Rt[Średnia]</t>
  </si>
  <si>
    <t>Rt[Std odch]</t>
  </si>
  <si>
    <t>Rt[Min]</t>
  </si>
  <si>
    <t>Rt[Max]</t>
  </si>
  <si>
    <t>Ra[Średnia]</t>
  </si>
  <si>
    <t>Ra[Std odch]</t>
  </si>
  <si>
    <t>Ra[Min]</t>
  </si>
  <si>
    <t>Ra[Max]</t>
  </si>
  <si>
    <t>Rq[Średnia]</t>
  </si>
  <si>
    <t>Rq[Std odch]</t>
  </si>
  <si>
    <t>Rq[Min]</t>
  </si>
  <si>
    <t>Rq[Max]</t>
  </si>
  <si>
    <t>Rsk[Średnia]</t>
  </si>
  <si>
    <t>Rsk[Std odch]</t>
  </si>
  <si>
    <t>Rsk[Min]</t>
  </si>
  <si>
    <t>Rsk[Max]</t>
  </si>
  <si>
    <t>Rku[Średnia]</t>
  </si>
  <si>
    <t>Rku[Std odch]</t>
  </si>
  <si>
    <t>Rku[Min]</t>
  </si>
  <si>
    <t>Rku[Max]</t>
  </si>
  <si>
    <t>Rp1max[Średnia]</t>
  </si>
  <si>
    <t>Rp1max[Std odch]</t>
  </si>
  <si>
    <t>Rp1max[Min]</t>
  </si>
  <si>
    <t>Rp1max[Max]</t>
  </si>
  <si>
    <t>Rv1max[Średnia]</t>
  </si>
  <si>
    <t>Rv1max[Std odch]</t>
  </si>
  <si>
    <t>Rv1max[Min]</t>
  </si>
  <si>
    <t>Rv1max[Max]</t>
  </si>
  <si>
    <t>Rz1max[Średnia]</t>
  </si>
  <si>
    <t>Rz1max[Std odch]</t>
  </si>
  <si>
    <t>Rz1max[Min]</t>
  </si>
  <si>
    <t>Rz1max[Max]</t>
  </si>
  <si>
    <t>Rz(n) (Wskaźnik λc = 1)[Średnia]</t>
  </si>
  <si>
    <t>Rz(n) (Wskaźnik λc = 1)[Std odch]</t>
  </si>
  <si>
    <t>Rz(n) (Wskaźnik λc = 1)[Min]</t>
  </si>
  <si>
    <t>Rz(n) (Wskaźnik λc = 1)[Max]</t>
  </si>
  <si>
    <t>RSm (Brak uśredniania (pojedyncza wartość))[Średnia]</t>
  </si>
  <si>
    <t>RSm (Brak uśredniania (pojedyncza wartość))[Std odch]</t>
  </si>
  <si>
    <t>RSm (Brak uśredniania (pojedyncza wartość))[Min]</t>
  </si>
  <si>
    <t>RSm (Brak uśredniania (pojedyncza wartość))[Max]</t>
  </si>
  <si>
    <t>Rdq[Średnia]</t>
  </si>
  <si>
    <t>Rdq[Std odch]</t>
  </si>
  <si>
    <t>Rdq[Min]</t>
  </si>
  <si>
    <t>Rdq[Max]</t>
  </si>
  <si>
    <t>Rmr (c = 1 µm poniżej najwyższego wypiętrzenia)[Średnia]</t>
  </si>
  <si>
    <t>Rmr (c = 1 µm poniżej najwyższego wypiętrzenia)[Std odch]</t>
  </si>
  <si>
    <t>Rmr (c = 1 µm poniżej najwyższego wypiętrzenia)[Min]</t>
  </si>
  <si>
    <t>Rmr (c = 1 µm poniżej najwyższego wypiętrzenia)[Max]</t>
  </si>
  <si>
    <t>Rdc (p = 20%, q = 80%)[Średnia]</t>
  </si>
  <si>
    <t>Rdc (p = 20%, q = 80%)[Std odch]</t>
  </si>
  <si>
    <t>Rdc (p = 20%, q = 80%)[Min]</t>
  </si>
  <si>
    <t>Rdc (p = 20%, q = 80%)[Max]</t>
  </si>
  <si>
    <t>Rmr (Rz/4) (c = Rz/4 µm powyżej płaszczyzny średniej)[Średnia]</t>
  </si>
  <si>
    <t>Rmr (Rz/4) (c = Rz/4 µm powyżej płaszczyzny średniej)[Std odch]</t>
  </si>
  <si>
    <t>Rmr (Rz/4) (c = Rz/4 µm powyżej płaszczyzny średniej)[Min]</t>
  </si>
  <si>
    <t>Rmr (Rz/4) (c = Rz/4 µm powyżej płaszczyzny średniej)[Max]</t>
  </si>
  <si>
    <t>RPc (Brak uśredniania (pojedyncza wartość))[Średnia]</t>
  </si>
  <si>
    <t>RPc (Brak uśredniania (pojedyncza wartość))[Std odch]</t>
  </si>
  <si>
    <t>RPc (Brak uśredniania (pojedyncza wartość))[Min]</t>
  </si>
  <si>
    <t>RPc (Brak uśredniania (pojedyncza wartość))[Max]</t>
  </si>
  <si>
    <t>Wp[Średnia]</t>
  </si>
  <si>
    <t>Wp[Std odch]</t>
  </si>
  <si>
    <t>Wp[Min]</t>
  </si>
  <si>
    <t>Wp[Max]</t>
  </si>
  <si>
    <t>Wv[Średnia]</t>
  </si>
  <si>
    <t>Wv[Std odch]</t>
  </si>
  <si>
    <t>Wv[Min]</t>
  </si>
  <si>
    <t>Wv[Max]</t>
  </si>
  <si>
    <t>Wz[Średnia]</t>
  </si>
  <si>
    <t>Wz[Std odch]</t>
  </si>
  <si>
    <t>Wz[Min]</t>
  </si>
  <si>
    <t>Wz[Max]</t>
  </si>
  <si>
    <t>Wc[Średnia]</t>
  </si>
  <si>
    <t>Wc[Std odch]</t>
  </si>
  <si>
    <t>Wc[Min]</t>
  </si>
  <si>
    <t>Wc[Max]</t>
  </si>
  <si>
    <t>Wt[Średnia]</t>
  </si>
  <si>
    <t>Wt[Std odch]</t>
  </si>
  <si>
    <t>Wt[Min]</t>
  </si>
  <si>
    <t>Wt[Max]</t>
  </si>
  <si>
    <t>Wa[Średnia]</t>
  </si>
  <si>
    <t>Wa[Std odch]</t>
  </si>
  <si>
    <t>Wa[Min]</t>
  </si>
  <si>
    <t>Wa[Max]</t>
  </si>
  <si>
    <t>Wq[Średnia]</t>
  </si>
  <si>
    <t>Wq[Std odch]</t>
  </si>
  <si>
    <t>Wq[Min]</t>
  </si>
  <si>
    <t>Wq[Max]</t>
  </si>
  <si>
    <t>Wsk[Średnia]</t>
  </si>
  <si>
    <t>Wsk[Std odch]</t>
  </si>
  <si>
    <t>Wsk[Min]</t>
  </si>
  <si>
    <t>Wsk[Max]</t>
  </si>
  <si>
    <t>Wku[Średnia]</t>
  </si>
  <si>
    <t>Wku[Std odch]</t>
  </si>
  <si>
    <t>Wku[Min]</t>
  </si>
  <si>
    <t>Wku[Max]</t>
  </si>
  <si>
    <t>WSm[Średnia]</t>
  </si>
  <si>
    <t>WSm[Std odch]</t>
  </si>
  <si>
    <t>WSm[Min]</t>
  </si>
  <si>
    <t>WSm[Max]</t>
  </si>
  <si>
    <t>Wdq[Średnia]</t>
  </si>
  <si>
    <t>Wdq[Std odch]</t>
  </si>
  <si>
    <t>Wdq[Min]</t>
  </si>
  <si>
    <t>Wdq[Max]</t>
  </si>
  <si>
    <t>Wmr (c = 1 µm poniżej najwyższego wypiętrzenia)[Średnia]</t>
  </si>
  <si>
    <t>Wmr (c = 1 µm poniżej najwyższego wypiętrzenia)[Std odch]</t>
  </si>
  <si>
    <t>Wmr (c = 1 µm poniżej najwyższego wypiętrzenia)[Min]</t>
  </si>
  <si>
    <t>Wmr (c = 1 µm poniżej najwyższego wypiętrzenia)[Max]</t>
  </si>
  <si>
    <t>Wdc (p = 20%, q = 80%)[Średnia]</t>
  </si>
  <si>
    <t>Wdc (p = 20%, q = 80%)[Std odch]</t>
  </si>
  <si>
    <t>Wdc (p = 20%, q = 80%)[Min]</t>
  </si>
  <si>
    <t>Wdc (p = 20%, q = 80%)[Max]</t>
  </si>
  <si>
    <t>Wmr (Wz/4)[Średnia]</t>
  </si>
  <si>
    <t>Wmr (Wz/4)[Std odch]</t>
  </si>
  <si>
    <t>Wmr (Wz/4)[Min]</t>
  </si>
  <si>
    <t>Wmr (Wz/4)[Max]</t>
  </si>
  <si>
    <t>WPc[Średnia]</t>
  </si>
  <si>
    <t>WPc[Std odch]</t>
  </si>
  <si>
    <t>WPc[Min]</t>
  </si>
  <si>
    <t>WPc[Max]</t>
  </si>
  <si>
    <t>Sq</t>
  </si>
  <si>
    <t>Ssk</t>
  </si>
  <si>
    <t>Sku</t>
  </si>
  <si>
    <t>Sp</t>
  </si>
  <si>
    <t>Sv</t>
  </si>
  <si>
    <t>Sz</t>
  </si>
  <si>
    <t>Sa</t>
  </si>
  <si>
    <t>Vm (p = 10%)</t>
  </si>
  <si>
    <t>Vv (p = 10%)</t>
  </si>
  <si>
    <t>Vmp (p = 10%)</t>
  </si>
  <si>
    <t>Vmc (p = 10%, q = 80%)</t>
  </si>
  <si>
    <t>Vvc (p = 10%, q = 80%)</t>
  </si>
  <si>
    <t>Vvv (p = 80%)</t>
  </si>
  <si>
    <t>Sk</t>
  </si>
  <si>
    <t>Spk</t>
  </si>
  <si>
    <t>Svk</t>
  </si>
  <si>
    <t>Smrk1</t>
  </si>
  <si>
    <t>Smrk2</t>
  </si>
  <si>
    <t>Vmp</t>
  </si>
  <si>
    <t>Vmc</t>
  </si>
  <si>
    <t>Vvc</t>
  </si>
  <si>
    <t>Vvv</t>
  </si>
  <si>
    <t>Izotropię</t>
  </si>
  <si>
    <t>Pierwszy kierunek</t>
  </si>
  <si>
    <t>Drugi kierunek</t>
  </si>
  <si>
    <t>Trzeci kierunek</t>
  </si>
  <si>
    <t>°</t>
  </si>
  <si>
    <t>mm²</t>
  </si>
  <si>
    <t>mm2</t>
  </si>
  <si>
    <t>%</t>
  </si>
  <si>
    <t>µm</t>
  </si>
  <si>
    <t>&lt;no unit&gt;</t>
  </si>
  <si>
    <t>mm</t>
  </si>
  <si>
    <t>1/cm</t>
  </si>
  <si>
    <t>mm³/mm²</t>
  </si>
  <si>
    <t>Conf blue</t>
  </si>
  <si>
    <t>Conf green</t>
  </si>
  <si>
    <t>Conf red</t>
  </si>
  <si>
    <t>Fusion blue</t>
  </si>
  <si>
    <t>Fusion green</t>
  </si>
  <si>
    <t>Fusion red</t>
  </si>
  <si>
    <t>FV blue</t>
  </si>
  <si>
    <t>FV green</t>
  </si>
  <si>
    <t>FV red</t>
  </si>
  <si>
    <t>Int blue</t>
  </si>
  <si>
    <t>Int gree</t>
  </si>
  <si>
    <t>Int red</t>
  </si>
  <si>
    <t>Int white</t>
  </si>
  <si>
    <t>O ile przesunięte</t>
  </si>
  <si>
    <t>Amp_baza</t>
  </si>
  <si>
    <t>Aev_baza</t>
  </si>
  <si>
    <t>Amp_wypełnione NM</t>
  </si>
  <si>
    <t>Amp_005</t>
  </si>
  <si>
    <t>Aev_005</t>
  </si>
  <si>
    <t>Amp_05</t>
  </si>
  <si>
    <t>Aev_05</t>
  </si>
  <si>
    <t>Baza</t>
  </si>
  <si>
    <t>Threshold 005</t>
  </si>
  <si>
    <t>Threshold 05</t>
  </si>
  <si>
    <t>%Baza</t>
  </si>
  <si>
    <t>%Threshold 005</t>
  </si>
  <si>
    <t>%Threshold 05</t>
  </si>
  <si>
    <t>Amp - powierzchnia zmierzonych punktów rzeczywistych</t>
  </si>
  <si>
    <t>Aev  -obszar oceny teoretyczny</t>
  </si>
  <si>
    <t>Rp/Rv</t>
  </si>
  <si>
    <t>C45_5x5\C45_5x5\C45_MF\C45_5x5 --- C45_MF_x10_conf_blue_5x5.mnt</t>
  </si>
  <si>
    <t>C45_5x5\C45_5x5\C45_MF\C45_5x5 --- C45_MF_x10_conf_green_5x5.mnt</t>
  </si>
  <si>
    <t>C45_5x5\C45_5x5\C45_MF\C45_5x5 --- C45_MF_x10_conf_red_5x5.mnt</t>
  </si>
  <si>
    <t>C45_5x5\C45_5x5\C45_MF\C45_5x5 --- C45_MF_x10_fusion_blue_5x5.mnt</t>
  </si>
  <si>
    <t>C45_5x5\C45_5x5\C45_MF\C45_5x5 --- C45_MF_x10_fusion_green_5x5.mnt</t>
  </si>
  <si>
    <t>C45_5x5\C45_5x5\C45_MF\C45_5x5 --- C45_MF_x10_fusion_red_5x5.mnt</t>
  </si>
  <si>
    <t>C45_5x5\C45_5x5\C45_MF\C45_5x5 --- C45_MF_x10_FV_blue_5x5.mnt</t>
  </si>
  <si>
    <t>C45_5x5\C45_5x5\C45_MF\C45_5x5 --- C45_MF_x10_FV_green_5x5.mnt</t>
  </si>
  <si>
    <t>C45_5x5\C45_5x5\C45_MF\C45_5x5 --- C45_MF_x10_FV_red_5x5.mnt</t>
  </si>
  <si>
    <t>C45_5x5\C45_5x5\C45_MF\C45_5x5 --- C45_MF_x10_int_blue_5x5.mnt</t>
  </si>
  <si>
    <t>C45_5x5\C45_5x5\C45_MF\C45_5x5 --- C45_MF_x10_int_green_5x5.mnt</t>
  </si>
  <si>
    <t>C45_5x5\C45_5x5\C45_MF\C45_5x5 --- C45_MF_x10_int_red_5x5.mnt</t>
  </si>
  <si>
    <t>C45_5x5\C45_5x5\C45_MF\C45_5x5 --- C45_MF_x10_int_white_5x5.mnt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</si>
</sst>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%"/>
    <numFmt numFmtId="166" formatCode="0.0000"/>
  </numFmts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0" fillId="33" borderId="0" xfId="0" applyFill="1"/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166" fontId="0" fillId="33" borderId="0" xfId="0" applyNumberFormat="1" applyFill="1"/>
  </cellXfs>
  <cellStyles count="43">
    <cellStyle name="20% — akcent 1" xfId="20" builtinId="30" customBuiltin="1"/>
    <cellStyle name="20% — akcent 2" xfId="24" builtinId="34" customBuiltin="1"/>
    <cellStyle name="20% — akcent 3" xfId="28" builtinId="38" customBuiltin="1"/>
    <cellStyle name="20% — akcent 4" xfId="32" builtinId="42" customBuiltin="1"/>
    <cellStyle name="20% — akcent 5" xfId="36" builtinId="46" customBuiltin="1"/>
    <cellStyle name="20% — akcent 6" xfId="40" builtinId="50" customBuiltin="1"/>
    <cellStyle name="40% — akcent 1" xfId="21" builtinId="31" customBuiltin="1"/>
    <cellStyle name="40% — akcent 2" xfId="25" builtinId="35" customBuiltin="1"/>
    <cellStyle name="40% — akcent 3" xfId="29" builtinId="39" customBuiltin="1"/>
    <cellStyle name="40% — akcent 4" xfId="33" builtinId="43" customBuiltin="1"/>
    <cellStyle name="40% — akcent 5" xfId="37" builtinId="47" customBuiltin="1"/>
    <cellStyle name="40% — akcent 6" xfId="41" builtinId="51" customBuiltin="1"/>
    <cellStyle name="60% — akcent 1" xfId="22" builtinId="32" customBuiltin="1"/>
    <cellStyle name="60% — akcent 2" xfId="26" builtinId="36" customBuiltin="1"/>
    <cellStyle name="60% — akcent 3" xfId="30" builtinId="40" customBuiltin="1"/>
    <cellStyle name="60% — akcent 4" xfId="34" builtinId="44" customBuiltin="1"/>
    <cellStyle name="60% — akcent 5" xfId="38" builtinId="48" customBuiltin="1"/>
    <cellStyle name="60% — akcent 6" xfId="42" builtinId="52" customBuiltin="1"/>
    <cellStyle name="Akcent 1" xfId="19" builtinId="29" customBuiltin="1"/>
    <cellStyle name="Akcent 2" xfId="23" builtinId="33" customBuiltin="1"/>
    <cellStyle name="Akcent 3" xfId="27" builtinId="37" customBuiltin="1"/>
    <cellStyle name="Akcent 4" xfId="31" builtinId="41" customBuiltin="1"/>
    <cellStyle name="Akcent 5" xfId="35" builtinId="45" customBuiltin="1"/>
    <cellStyle name="Akcent 6" xfId="39" builtinId="49" customBuiltin="1"/>
    <cellStyle name="Dane wejściowe" xfId="10" builtinId="20" customBuiltin="1"/>
    <cellStyle name="Dane wyjściowe" xfId="11" builtinId="21" customBuiltin="1"/>
    <cellStyle name="Dobry" xfId="7" builtinId="26" customBuiltin="1"/>
    <cellStyle name="Komórka połączona" xfId="13" builtinId="24" customBuiltin="1"/>
    <cellStyle name="Komórka zaznaczona" xfId="14" builtinId="23" customBuiltin="1"/>
    <cellStyle name="Nagłówek 1" xfId="3" builtinId="16" customBuiltin="1"/>
    <cellStyle name="Nagłówek 2" xfId="4" builtinId="17" customBuiltin="1"/>
    <cellStyle name="Nagłówek 3" xfId="5" builtinId="18" customBuiltin="1"/>
    <cellStyle name="Nagłówek 4" xfId="6" builtinId="19" customBuiltin="1"/>
    <cellStyle name="Neutralny" xfId="9" builtinId="28" customBuiltin="1"/>
    <cellStyle name="Normalny" xfId="0" builtinId="0"/>
    <cellStyle name="Obliczenia" xfId="12" builtinId="22" customBuiltin="1"/>
    <cellStyle name="Procentowy" xfId="1" builtinId="5"/>
    <cellStyle name="Suma" xfId="18" builtinId="25" customBuiltin="1"/>
    <cellStyle name="Tekst objaśnienia" xfId="17" builtinId="53" customBuiltin="1"/>
    <cellStyle name="Tekst ostrzeżenia" xfId="15" builtinId="11" customBuiltin="1"/>
    <cellStyle name="Tytuł" xfId="2" builtinId="15" customBuiltin="1"/>
    <cellStyle name="Uwaga" xfId="16" builtinId="10" customBuiltin="1"/>
    <cellStyle name="Zły" xfId="8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U16"/>
  <sheetViews>
    <sheetView tabSelected="1" workbookViewId="0">
      <selection sqref="A1:A1048576"/>
    </sheetView>
  </sheetViews>
  <sheetFormatPr baseColWidth="10" defaultColWidth="8.83203125" defaultRowHeight="15" x14ac:dyDescent="0.2"/>
  <cols>
    <col min="2" max="2" width="14" bestFit="1" customWidth="1"/>
  </cols>
  <sheetData>
    <row r="1" spans="1:463" x14ac:dyDescent="0.2">
      <c r="B1" t="s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>
        <v>5</v>
      </c>
      <c r="K1">
        <v>5</v>
      </c>
      <c r="L1">
        <v>6</v>
      </c>
      <c r="M1">
        <v>6</v>
      </c>
      <c r="N1">
        <v>13</v>
      </c>
      <c r="O1">
        <v>13</v>
      </c>
      <c r="P1">
        <v>14</v>
      </c>
      <c r="Q1">
        <v>14</v>
      </c>
      <c r="R1">
        <v>40</v>
      </c>
      <c r="S1">
        <v>40</v>
      </c>
      <c r="T1">
        <v>40</v>
      </c>
      <c r="U1">
        <v>40</v>
      </c>
      <c r="V1">
        <v>40</v>
      </c>
      <c r="W1">
        <v>40</v>
      </c>
      <c r="X1">
        <v>40</v>
      </c>
      <c r="Y1">
        <v>40</v>
      </c>
      <c r="Z1">
        <v>40</v>
      </c>
      <c r="AA1">
        <v>40</v>
      </c>
      <c r="AB1">
        <v>40</v>
      </c>
      <c r="AC1">
        <v>40</v>
      </c>
      <c r="AD1">
        <v>40</v>
      </c>
      <c r="AE1">
        <v>40</v>
      </c>
      <c r="AF1">
        <v>40</v>
      </c>
      <c r="AG1">
        <v>40</v>
      </c>
      <c r="AH1">
        <v>40</v>
      </c>
      <c r="AI1">
        <v>40</v>
      </c>
      <c r="AJ1">
        <v>40</v>
      </c>
      <c r="AK1">
        <v>40</v>
      </c>
      <c r="AL1">
        <v>40</v>
      </c>
      <c r="AM1">
        <v>40</v>
      </c>
      <c r="AN1">
        <v>40</v>
      </c>
      <c r="AO1">
        <v>40</v>
      </c>
      <c r="AP1">
        <v>40</v>
      </c>
      <c r="AQ1">
        <v>40</v>
      </c>
      <c r="AR1">
        <v>40</v>
      </c>
      <c r="AS1">
        <v>40</v>
      </c>
      <c r="AT1">
        <v>40</v>
      </c>
      <c r="AU1">
        <v>40</v>
      </c>
      <c r="AV1">
        <v>40</v>
      </c>
      <c r="AW1">
        <v>40</v>
      </c>
      <c r="AX1">
        <v>40</v>
      </c>
      <c r="AY1">
        <v>40</v>
      </c>
      <c r="AZ1">
        <v>40</v>
      </c>
      <c r="BA1">
        <v>40</v>
      </c>
      <c r="BB1">
        <v>40</v>
      </c>
      <c r="BC1">
        <v>40</v>
      </c>
      <c r="BD1">
        <v>40</v>
      </c>
      <c r="BE1">
        <v>40</v>
      </c>
      <c r="BF1">
        <v>40</v>
      </c>
      <c r="BG1">
        <v>40</v>
      </c>
      <c r="BH1">
        <v>40</v>
      </c>
      <c r="BI1">
        <v>40</v>
      </c>
      <c r="BJ1">
        <v>40</v>
      </c>
      <c r="BK1">
        <v>40</v>
      </c>
      <c r="BL1">
        <v>40</v>
      </c>
      <c r="BM1">
        <v>40</v>
      </c>
      <c r="BN1">
        <v>40</v>
      </c>
      <c r="BO1">
        <v>40</v>
      </c>
      <c r="BP1">
        <v>40</v>
      </c>
      <c r="BQ1">
        <v>40</v>
      </c>
      <c r="BR1">
        <v>40</v>
      </c>
      <c r="BS1">
        <v>40</v>
      </c>
      <c r="BT1">
        <v>40</v>
      </c>
      <c r="BU1">
        <v>40</v>
      </c>
      <c r="BV1">
        <v>41</v>
      </c>
      <c r="BW1">
        <v>41</v>
      </c>
      <c r="BX1">
        <v>41</v>
      </c>
      <c r="BY1">
        <v>41</v>
      </c>
      <c r="BZ1">
        <v>41</v>
      </c>
      <c r="CA1">
        <v>41</v>
      </c>
      <c r="CB1">
        <v>41</v>
      </c>
      <c r="CC1">
        <v>41</v>
      </c>
      <c r="CD1">
        <v>41</v>
      </c>
      <c r="CE1">
        <v>41</v>
      </c>
      <c r="CF1">
        <v>41</v>
      </c>
      <c r="CG1">
        <v>41</v>
      </c>
      <c r="CH1">
        <v>41</v>
      </c>
      <c r="CI1">
        <v>41</v>
      </c>
      <c r="CJ1">
        <v>41</v>
      </c>
      <c r="CK1">
        <v>41</v>
      </c>
      <c r="CL1">
        <v>41</v>
      </c>
      <c r="CM1">
        <v>41</v>
      </c>
      <c r="CN1">
        <v>41</v>
      </c>
      <c r="CO1">
        <v>41</v>
      </c>
      <c r="CP1">
        <v>41</v>
      </c>
      <c r="CQ1">
        <v>41</v>
      </c>
      <c r="CR1">
        <v>41</v>
      </c>
      <c r="CS1">
        <v>41</v>
      </c>
      <c r="CT1">
        <v>41</v>
      </c>
      <c r="CU1">
        <v>41</v>
      </c>
      <c r="CV1">
        <v>41</v>
      </c>
      <c r="CW1">
        <v>41</v>
      </c>
      <c r="CX1">
        <v>41</v>
      </c>
      <c r="CY1">
        <v>41</v>
      </c>
      <c r="CZ1">
        <v>41</v>
      </c>
      <c r="DA1">
        <v>41</v>
      </c>
      <c r="DB1">
        <v>41</v>
      </c>
      <c r="DC1">
        <v>41</v>
      </c>
      <c r="DD1">
        <v>41</v>
      </c>
      <c r="DE1">
        <v>41</v>
      </c>
      <c r="DF1">
        <v>41</v>
      </c>
      <c r="DG1">
        <v>41</v>
      </c>
      <c r="DH1">
        <v>41</v>
      </c>
      <c r="DI1">
        <v>41</v>
      </c>
      <c r="DJ1">
        <v>41</v>
      </c>
      <c r="DK1">
        <v>41</v>
      </c>
      <c r="DL1">
        <v>41</v>
      </c>
      <c r="DM1">
        <v>41</v>
      </c>
      <c r="DN1">
        <v>41</v>
      </c>
      <c r="DO1">
        <v>41</v>
      </c>
      <c r="DP1">
        <v>41</v>
      </c>
      <c r="DQ1">
        <v>41</v>
      </c>
      <c r="DR1">
        <v>41</v>
      </c>
      <c r="DS1">
        <v>41</v>
      </c>
      <c r="DT1">
        <v>41</v>
      </c>
      <c r="DU1">
        <v>41</v>
      </c>
      <c r="DV1">
        <v>41</v>
      </c>
      <c r="DW1">
        <v>41</v>
      </c>
      <c r="DX1">
        <v>41</v>
      </c>
      <c r="DY1">
        <v>41</v>
      </c>
      <c r="DZ1">
        <v>50</v>
      </c>
      <c r="EA1">
        <v>50</v>
      </c>
      <c r="EB1">
        <v>50</v>
      </c>
      <c r="EC1">
        <v>50</v>
      </c>
      <c r="ED1">
        <v>50</v>
      </c>
      <c r="EE1">
        <v>50</v>
      </c>
      <c r="EF1">
        <v>50</v>
      </c>
      <c r="EG1">
        <v>50</v>
      </c>
      <c r="EH1">
        <v>50</v>
      </c>
      <c r="EI1">
        <v>50</v>
      </c>
      <c r="EJ1">
        <v>50</v>
      </c>
      <c r="EK1">
        <v>50</v>
      </c>
      <c r="EL1">
        <v>50</v>
      </c>
      <c r="EM1">
        <v>50</v>
      </c>
      <c r="EN1">
        <v>50</v>
      </c>
      <c r="EO1">
        <v>50</v>
      </c>
      <c r="EP1">
        <v>50</v>
      </c>
      <c r="EQ1">
        <v>50</v>
      </c>
      <c r="ER1">
        <v>50</v>
      </c>
      <c r="ES1">
        <v>50</v>
      </c>
      <c r="ET1">
        <v>50</v>
      </c>
      <c r="EU1">
        <v>50</v>
      </c>
      <c r="EV1">
        <v>50</v>
      </c>
      <c r="EW1">
        <v>50</v>
      </c>
      <c r="EX1">
        <v>50</v>
      </c>
      <c r="EY1">
        <v>50</v>
      </c>
      <c r="EZ1">
        <v>50</v>
      </c>
      <c r="FA1">
        <v>50</v>
      </c>
      <c r="FB1">
        <v>50</v>
      </c>
      <c r="FC1">
        <v>50</v>
      </c>
      <c r="FD1">
        <v>50</v>
      </c>
      <c r="FE1">
        <v>50</v>
      </c>
      <c r="FF1">
        <v>50</v>
      </c>
      <c r="FG1">
        <v>50</v>
      </c>
      <c r="FH1">
        <v>50</v>
      </c>
      <c r="FI1">
        <v>50</v>
      </c>
      <c r="FJ1">
        <v>50</v>
      </c>
      <c r="FK1">
        <v>50</v>
      </c>
      <c r="FL1">
        <v>50</v>
      </c>
      <c r="FM1">
        <v>50</v>
      </c>
      <c r="FN1">
        <v>50</v>
      </c>
      <c r="FO1">
        <v>50</v>
      </c>
      <c r="FP1">
        <v>50</v>
      </c>
      <c r="FQ1">
        <v>50</v>
      </c>
      <c r="FR1">
        <v>50</v>
      </c>
      <c r="FS1">
        <v>50</v>
      </c>
      <c r="FT1">
        <v>50</v>
      </c>
      <c r="FU1">
        <v>50</v>
      </c>
      <c r="FV1">
        <v>50</v>
      </c>
      <c r="FW1">
        <v>50</v>
      </c>
      <c r="FX1">
        <v>50</v>
      </c>
      <c r="FY1">
        <v>50</v>
      </c>
      <c r="FZ1">
        <v>50</v>
      </c>
      <c r="GA1">
        <v>50</v>
      </c>
      <c r="GB1">
        <v>50</v>
      </c>
      <c r="GC1">
        <v>50</v>
      </c>
      <c r="GD1">
        <v>50</v>
      </c>
      <c r="GE1">
        <v>50</v>
      </c>
      <c r="GF1">
        <v>50</v>
      </c>
      <c r="GG1">
        <v>50</v>
      </c>
      <c r="GH1">
        <v>50</v>
      </c>
      <c r="GI1">
        <v>50</v>
      </c>
      <c r="GJ1">
        <v>50</v>
      </c>
      <c r="GK1">
        <v>50</v>
      </c>
      <c r="GL1">
        <v>50</v>
      </c>
      <c r="GM1">
        <v>50</v>
      </c>
      <c r="GN1">
        <v>50</v>
      </c>
      <c r="GO1">
        <v>50</v>
      </c>
      <c r="GP1">
        <v>50</v>
      </c>
      <c r="GQ1">
        <v>50</v>
      </c>
      <c r="GR1">
        <v>50</v>
      </c>
      <c r="GS1">
        <v>50</v>
      </c>
      <c r="GT1">
        <v>50</v>
      </c>
      <c r="GU1">
        <v>50</v>
      </c>
      <c r="GV1">
        <v>50</v>
      </c>
      <c r="GW1">
        <v>50</v>
      </c>
      <c r="GX1">
        <v>51</v>
      </c>
      <c r="GY1">
        <v>51</v>
      </c>
      <c r="GZ1">
        <v>51</v>
      </c>
      <c r="HA1">
        <v>51</v>
      </c>
      <c r="HB1">
        <v>51</v>
      </c>
      <c r="HC1">
        <v>51</v>
      </c>
      <c r="HD1">
        <v>51</v>
      </c>
      <c r="HE1">
        <v>51</v>
      </c>
      <c r="HF1">
        <v>51</v>
      </c>
      <c r="HG1">
        <v>51</v>
      </c>
      <c r="HH1">
        <v>51</v>
      </c>
      <c r="HI1">
        <v>51</v>
      </c>
      <c r="HJ1">
        <v>51</v>
      </c>
      <c r="HK1">
        <v>51</v>
      </c>
      <c r="HL1">
        <v>51</v>
      </c>
      <c r="HM1">
        <v>51</v>
      </c>
      <c r="HN1">
        <v>51</v>
      </c>
      <c r="HO1">
        <v>51</v>
      </c>
      <c r="HP1">
        <v>51</v>
      </c>
      <c r="HQ1">
        <v>51</v>
      </c>
      <c r="HR1">
        <v>51</v>
      </c>
      <c r="HS1">
        <v>51</v>
      </c>
      <c r="HT1">
        <v>51</v>
      </c>
      <c r="HU1">
        <v>51</v>
      </c>
      <c r="HV1">
        <v>51</v>
      </c>
      <c r="HW1">
        <v>51</v>
      </c>
      <c r="HX1">
        <v>51</v>
      </c>
      <c r="HY1">
        <v>51</v>
      </c>
      <c r="HZ1">
        <v>51</v>
      </c>
      <c r="IA1">
        <v>51</v>
      </c>
      <c r="IB1">
        <v>51</v>
      </c>
      <c r="IC1">
        <v>51</v>
      </c>
      <c r="ID1">
        <v>51</v>
      </c>
      <c r="IE1">
        <v>51</v>
      </c>
      <c r="IF1">
        <v>51</v>
      </c>
      <c r="IG1">
        <v>51</v>
      </c>
      <c r="IH1">
        <v>51</v>
      </c>
      <c r="II1">
        <v>51</v>
      </c>
      <c r="IJ1">
        <v>51</v>
      </c>
      <c r="IK1">
        <v>51</v>
      </c>
      <c r="IL1">
        <v>51</v>
      </c>
      <c r="IM1">
        <v>51</v>
      </c>
      <c r="IN1">
        <v>51</v>
      </c>
      <c r="IO1">
        <v>51</v>
      </c>
      <c r="IP1">
        <v>51</v>
      </c>
      <c r="IQ1">
        <v>51</v>
      </c>
      <c r="IR1">
        <v>51</v>
      </c>
      <c r="IS1">
        <v>51</v>
      </c>
      <c r="IT1">
        <v>51</v>
      </c>
      <c r="IU1">
        <v>51</v>
      </c>
      <c r="IV1">
        <v>51</v>
      </c>
      <c r="IW1">
        <v>51</v>
      </c>
      <c r="IX1">
        <v>51</v>
      </c>
      <c r="IY1">
        <v>51</v>
      </c>
      <c r="IZ1">
        <v>51</v>
      </c>
      <c r="JA1">
        <v>51</v>
      </c>
      <c r="JB1">
        <v>51</v>
      </c>
      <c r="JC1">
        <v>51</v>
      </c>
      <c r="JD1">
        <v>51</v>
      </c>
      <c r="JE1">
        <v>51</v>
      </c>
      <c r="JF1">
        <v>51</v>
      </c>
      <c r="JG1">
        <v>51</v>
      </c>
      <c r="JH1">
        <v>51</v>
      </c>
      <c r="JI1">
        <v>51</v>
      </c>
      <c r="JJ1">
        <v>51</v>
      </c>
      <c r="JK1">
        <v>51</v>
      </c>
      <c r="JL1">
        <v>51</v>
      </c>
      <c r="JM1">
        <v>51</v>
      </c>
      <c r="JN1">
        <v>51</v>
      </c>
      <c r="JO1">
        <v>51</v>
      </c>
      <c r="JP1">
        <v>51</v>
      </c>
      <c r="JQ1">
        <v>51</v>
      </c>
      <c r="JR1">
        <v>51</v>
      </c>
      <c r="JS1">
        <v>51</v>
      </c>
      <c r="JT1">
        <v>51</v>
      </c>
      <c r="JU1">
        <v>51</v>
      </c>
      <c r="JV1">
        <v>60</v>
      </c>
      <c r="JW1">
        <v>60</v>
      </c>
      <c r="JX1">
        <v>60</v>
      </c>
      <c r="JY1">
        <v>60</v>
      </c>
      <c r="JZ1">
        <v>60</v>
      </c>
      <c r="KA1">
        <v>60</v>
      </c>
      <c r="KB1">
        <v>60</v>
      </c>
      <c r="KC1">
        <v>60</v>
      </c>
      <c r="KD1">
        <v>60</v>
      </c>
      <c r="KE1">
        <v>60</v>
      </c>
      <c r="KF1">
        <v>60</v>
      </c>
      <c r="KG1">
        <v>60</v>
      </c>
      <c r="KH1">
        <v>60</v>
      </c>
      <c r="KI1">
        <v>60</v>
      </c>
      <c r="KJ1">
        <v>60</v>
      </c>
      <c r="KK1">
        <v>60</v>
      </c>
      <c r="KL1">
        <v>60</v>
      </c>
      <c r="KM1">
        <v>60</v>
      </c>
      <c r="KN1">
        <v>60</v>
      </c>
      <c r="KO1">
        <v>60</v>
      </c>
      <c r="KP1">
        <v>60</v>
      </c>
      <c r="KQ1">
        <v>60</v>
      </c>
      <c r="KR1">
        <v>60</v>
      </c>
      <c r="KS1">
        <v>60</v>
      </c>
      <c r="KT1">
        <v>60</v>
      </c>
      <c r="KU1">
        <v>60</v>
      </c>
      <c r="KV1">
        <v>60</v>
      </c>
      <c r="KW1">
        <v>60</v>
      </c>
      <c r="KX1">
        <v>60</v>
      </c>
      <c r="KY1">
        <v>60</v>
      </c>
      <c r="KZ1">
        <v>60</v>
      </c>
      <c r="LA1">
        <v>60</v>
      </c>
      <c r="LB1">
        <v>60</v>
      </c>
      <c r="LC1">
        <v>60</v>
      </c>
      <c r="LD1">
        <v>60</v>
      </c>
      <c r="LE1">
        <v>60</v>
      </c>
      <c r="LF1">
        <v>60</v>
      </c>
      <c r="LG1">
        <v>60</v>
      </c>
      <c r="LH1">
        <v>60</v>
      </c>
      <c r="LI1">
        <v>60</v>
      </c>
      <c r="LJ1">
        <v>60</v>
      </c>
      <c r="LK1">
        <v>60</v>
      </c>
      <c r="LL1">
        <v>60</v>
      </c>
      <c r="LM1">
        <v>60</v>
      </c>
      <c r="LN1">
        <v>60</v>
      </c>
      <c r="LO1">
        <v>60</v>
      </c>
      <c r="LP1">
        <v>60</v>
      </c>
      <c r="LQ1">
        <v>60</v>
      </c>
      <c r="LR1">
        <v>60</v>
      </c>
      <c r="LS1">
        <v>60</v>
      </c>
      <c r="LT1">
        <v>60</v>
      </c>
      <c r="LU1">
        <v>60</v>
      </c>
      <c r="LV1">
        <v>60</v>
      </c>
      <c r="LW1">
        <v>60</v>
      </c>
      <c r="LX1">
        <v>60</v>
      </c>
      <c r="LY1">
        <v>60</v>
      </c>
      <c r="LZ1">
        <v>60</v>
      </c>
      <c r="MA1">
        <v>60</v>
      </c>
      <c r="MB1">
        <v>60</v>
      </c>
      <c r="MC1">
        <v>60</v>
      </c>
      <c r="MD1">
        <v>61</v>
      </c>
      <c r="ME1">
        <v>61</v>
      </c>
      <c r="MF1">
        <v>61</v>
      </c>
      <c r="MG1">
        <v>61</v>
      </c>
      <c r="MH1">
        <v>61</v>
      </c>
      <c r="MI1">
        <v>61</v>
      </c>
      <c r="MJ1">
        <v>61</v>
      </c>
      <c r="MK1">
        <v>61</v>
      </c>
      <c r="ML1">
        <v>61</v>
      </c>
      <c r="MM1">
        <v>61</v>
      </c>
      <c r="MN1">
        <v>61</v>
      </c>
      <c r="MO1">
        <v>61</v>
      </c>
      <c r="MP1">
        <v>61</v>
      </c>
      <c r="MQ1">
        <v>61</v>
      </c>
      <c r="MR1">
        <v>61</v>
      </c>
      <c r="MS1">
        <v>61</v>
      </c>
      <c r="MT1">
        <v>61</v>
      </c>
      <c r="MU1">
        <v>61</v>
      </c>
      <c r="MV1">
        <v>61</v>
      </c>
      <c r="MW1">
        <v>61</v>
      </c>
      <c r="MX1">
        <v>61</v>
      </c>
      <c r="MY1">
        <v>61</v>
      </c>
      <c r="MZ1">
        <v>61</v>
      </c>
      <c r="NA1">
        <v>61</v>
      </c>
      <c r="NB1">
        <v>61</v>
      </c>
      <c r="NC1">
        <v>61</v>
      </c>
      <c r="ND1">
        <v>61</v>
      </c>
      <c r="NE1">
        <v>61</v>
      </c>
      <c r="NF1">
        <v>61</v>
      </c>
      <c r="NG1">
        <v>61</v>
      </c>
      <c r="NH1">
        <v>61</v>
      </c>
      <c r="NI1">
        <v>61</v>
      </c>
      <c r="NJ1">
        <v>61</v>
      </c>
      <c r="NK1">
        <v>61</v>
      </c>
      <c r="NL1">
        <v>61</v>
      </c>
      <c r="NM1">
        <v>61</v>
      </c>
      <c r="NN1">
        <v>61</v>
      </c>
      <c r="NO1">
        <v>61</v>
      </c>
      <c r="NP1">
        <v>61</v>
      </c>
      <c r="NQ1">
        <v>61</v>
      </c>
      <c r="NR1">
        <v>61</v>
      </c>
      <c r="NS1">
        <v>61</v>
      </c>
      <c r="NT1">
        <v>61</v>
      </c>
      <c r="NU1">
        <v>61</v>
      </c>
      <c r="NV1">
        <v>61</v>
      </c>
      <c r="NW1">
        <v>61</v>
      </c>
      <c r="NX1">
        <v>61</v>
      </c>
      <c r="NY1">
        <v>61</v>
      </c>
      <c r="NZ1">
        <v>61</v>
      </c>
      <c r="OA1">
        <v>61</v>
      </c>
      <c r="OB1">
        <v>61</v>
      </c>
      <c r="OC1">
        <v>61</v>
      </c>
      <c r="OD1">
        <v>61</v>
      </c>
      <c r="OE1">
        <v>61</v>
      </c>
      <c r="OF1">
        <v>61</v>
      </c>
      <c r="OG1">
        <v>61</v>
      </c>
      <c r="OH1">
        <v>61</v>
      </c>
      <c r="OI1">
        <v>61</v>
      </c>
      <c r="OJ1">
        <v>61</v>
      </c>
      <c r="OK1">
        <v>61</v>
      </c>
      <c r="OL1">
        <v>70</v>
      </c>
      <c r="OM1">
        <v>70</v>
      </c>
      <c r="ON1">
        <v>70</v>
      </c>
      <c r="OO1">
        <v>70</v>
      </c>
      <c r="OP1">
        <v>70</v>
      </c>
      <c r="OQ1">
        <v>70</v>
      </c>
      <c r="OR1">
        <v>70</v>
      </c>
      <c r="OS1">
        <v>70</v>
      </c>
      <c r="OT1">
        <v>70</v>
      </c>
      <c r="OU1">
        <v>70</v>
      </c>
      <c r="OV1">
        <v>70</v>
      </c>
      <c r="OW1">
        <v>70</v>
      </c>
      <c r="OX1">
        <v>70</v>
      </c>
      <c r="OY1">
        <v>70</v>
      </c>
      <c r="OZ1">
        <v>70</v>
      </c>
      <c r="PA1">
        <v>70</v>
      </c>
      <c r="PB1">
        <v>70</v>
      </c>
      <c r="PC1">
        <v>70</v>
      </c>
      <c r="PD1">
        <v>71</v>
      </c>
      <c r="PE1">
        <v>71</v>
      </c>
      <c r="PF1">
        <v>71</v>
      </c>
      <c r="PG1">
        <v>71</v>
      </c>
      <c r="PH1">
        <v>71</v>
      </c>
      <c r="PI1">
        <v>71</v>
      </c>
      <c r="PJ1">
        <v>71</v>
      </c>
      <c r="PK1">
        <v>71</v>
      </c>
      <c r="PL1">
        <v>71</v>
      </c>
      <c r="PM1">
        <v>71</v>
      </c>
      <c r="PN1">
        <v>71</v>
      </c>
      <c r="PO1">
        <v>71</v>
      </c>
      <c r="PP1">
        <v>71</v>
      </c>
      <c r="PQ1">
        <v>71</v>
      </c>
      <c r="PR1">
        <v>71</v>
      </c>
      <c r="PS1">
        <v>71</v>
      </c>
      <c r="PT1">
        <v>71</v>
      </c>
      <c r="PU1">
        <v>71</v>
      </c>
      <c r="PV1">
        <v>80</v>
      </c>
      <c r="PW1">
        <v>80</v>
      </c>
      <c r="PX1">
        <v>80</v>
      </c>
      <c r="PY1">
        <v>80</v>
      </c>
      <c r="PZ1">
        <v>80</v>
      </c>
      <c r="QA1">
        <v>81</v>
      </c>
      <c r="QB1">
        <v>81</v>
      </c>
      <c r="QC1">
        <v>81</v>
      </c>
      <c r="QD1">
        <v>81</v>
      </c>
      <c r="QE1">
        <v>81</v>
      </c>
      <c r="QF1">
        <v>90</v>
      </c>
      <c r="QG1">
        <v>90</v>
      </c>
      <c r="QH1">
        <v>90</v>
      </c>
      <c r="QI1">
        <v>90</v>
      </c>
      <c r="QJ1">
        <v>91</v>
      </c>
      <c r="QK1">
        <v>91</v>
      </c>
      <c r="QL1">
        <v>91</v>
      </c>
      <c r="QM1">
        <v>91</v>
      </c>
      <c r="QN1">
        <v>92</v>
      </c>
      <c r="QO1">
        <v>92</v>
      </c>
      <c r="QP1">
        <v>92</v>
      </c>
      <c r="QQ1">
        <v>92</v>
      </c>
      <c r="QR1">
        <v>93</v>
      </c>
      <c r="QS1">
        <v>93</v>
      </c>
      <c r="QT1">
        <v>93</v>
      </c>
      <c r="QU1">
        <v>93</v>
      </c>
    </row>
    <row r="2" spans="1:463" x14ac:dyDescent="0.2"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15</v>
      </c>
      <c r="M2" t="s">
        <v>16</v>
      </c>
      <c r="N2" t="s">
        <v>15</v>
      </c>
      <c r="O2" t="s">
        <v>16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17</v>
      </c>
      <c r="BW2" t="s">
        <v>18</v>
      </c>
      <c r="BX2" t="s">
        <v>19</v>
      </c>
      <c r="BY2" t="s">
        <v>20</v>
      </c>
      <c r="BZ2" t="s">
        <v>21</v>
      </c>
      <c r="CA2" t="s">
        <v>22</v>
      </c>
      <c r="CB2" t="s">
        <v>23</v>
      </c>
      <c r="CC2" t="s">
        <v>24</v>
      </c>
      <c r="CD2" t="s">
        <v>25</v>
      </c>
      <c r="CE2" t="s">
        <v>26</v>
      </c>
      <c r="CF2" t="s">
        <v>27</v>
      </c>
      <c r="CG2" t="s">
        <v>28</v>
      </c>
      <c r="CH2" t="s">
        <v>29</v>
      </c>
      <c r="CI2" t="s">
        <v>30</v>
      </c>
      <c r="CJ2" t="s">
        <v>31</v>
      </c>
      <c r="CK2" t="s">
        <v>32</v>
      </c>
      <c r="CL2" t="s">
        <v>33</v>
      </c>
      <c r="CM2" t="s">
        <v>34</v>
      </c>
      <c r="CN2" t="s">
        <v>35</v>
      </c>
      <c r="CO2" t="s">
        <v>36</v>
      </c>
      <c r="CP2" t="s">
        <v>37</v>
      </c>
      <c r="CQ2" t="s">
        <v>38</v>
      </c>
      <c r="CR2" t="s">
        <v>39</v>
      </c>
      <c r="CS2" t="s">
        <v>40</v>
      </c>
      <c r="CT2" t="s">
        <v>41</v>
      </c>
      <c r="CU2" t="s">
        <v>42</v>
      </c>
      <c r="CV2" t="s">
        <v>43</v>
      </c>
      <c r="CW2" t="s">
        <v>44</v>
      </c>
      <c r="CX2" t="s">
        <v>45</v>
      </c>
      <c r="CY2" t="s">
        <v>46</v>
      </c>
      <c r="CZ2" t="s">
        <v>47</v>
      </c>
      <c r="DA2" t="s">
        <v>48</v>
      </c>
      <c r="DB2" t="s">
        <v>49</v>
      </c>
      <c r="DC2" t="s">
        <v>50</v>
      </c>
      <c r="DD2" t="s">
        <v>51</v>
      </c>
      <c r="DE2" t="s">
        <v>52</v>
      </c>
      <c r="DF2" t="s">
        <v>53</v>
      </c>
      <c r="DG2" t="s">
        <v>54</v>
      </c>
      <c r="DH2" t="s">
        <v>55</v>
      </c>
      <c r="DI2" t="s">
        <v>56</v>
      </c>
      <c r="DJ2" t="s">
        <v>57</v>
      </c>
      <c r="DK2" t="s">
        <v>58</v>
      </c>
      <c r="DL2" t="s">
        <v>59</v>
      </c>
      <c r="DM2" t="s">
        <v>60</v>
      </c>
      <c r="DN2" t="s">
        <v>61</v>
      </c>
      <c r="DO2" t="s">
        <v>62</v>
      </c>
      <c r="DP2" t="s">
        <v>63</v>
      </c>
      <c r="DQ2" t="s">
        <v>64</v>
      </c>
      <c r="DR2" t="s">
        <v>65</v>
      </c>
      <c r="DS2" t="s">
        <v>66</v>
      </c>
      <c r="DT2" t="s">
        <v>67</v>
      </c>
      <c r="DU2" t="s">
        <v>68</v>
      </c>
      <c r="DV2" t="s">
        <v>69</v>
      </c>
      <c r="DW2" t="s">
        <v>70</v>
      </c>
      <c r="DX2" t="s">
        <v>71</v>
      </c>
      <c r="DY2" t="s">
        <v>72</v>
      </c>
      <c r="DZ2" t="s">
        <v>73</v>
      </c>
      <c r="EA2" t="s">
        <v>74</v>
      </c>
      <c r="EB2" t="s">
        <v>75</v>
      </c>
      <c r="EC2" t="s">
        <v>76</v>
      </c>
      <c r="ED2" t="s">
        <v>77</v>
      </c>
      <c r="EE2" t="s">
        <v>78</v>
      </c>
      <c r="EF2" t="s">
        <v>79</v>
      </c>
      <c r="EG2" t="s">
        <v>80</v>
      </c>
      <c r="EH2" t="s">
        <v>81</v>
      </c>
      <c r="EI2" t="s">
        <v>82</v>
      </c>
      <c r="EJ2" t="s">
        <v>83</v>
      </c>
      <c r="EK2" t="s">
        <v>84</v>
      </c>
      <c r="EL2" t="s">
        <v>85</v>
      </c>
      <c r="EM2" t="s">
        <v>86</v>
      </c>
      <c r="EN2" t="s">
        <v>87</v>
      </c>
      <c r="EO2" t="s">
        <v>88</v>
      </c>
      <c r="EP2" t="s">
        <v>89</v>
      </c>
      <c r="EQ2" t="s">
        <v>90</v>
      </c>
      <c r="ER2" t="s">
        <v>91</v>
      </c>
      <c r="ES2" t="s">
        <v>92</v>
      </c>
      <c r="ET2" t="s">
        <v>93</v>
      </c>
      <c r="EU2" t="s">
        <v>94</v>
      </c>
      <c r="EV2" t="s">
        <v>95</v>
      </c>
      <c r="EW2" t="s">
        <v>96</v>
      </c>
      <c r="EX2" t="s">
        <v>97</v>
      </c>
      <c r="EY2" t="s">
        <v>98</v>
      </c>
      <c r="EZ2" t="s">
        <v>99</v>
      </c>
      <c r="FA2" t="s">
        <v>100</v>
      </c>
      <c r="FB2" t="s">
        <v>101</v>
      </c>
      <c r="FC2" t="s">
        <v>102</v>
      </c>
      <c r="FD2" t="s">
        <v>103</v>
      </c>
      <c r="FE2" t="s">
        <v>104</v>
      </c>
      <c r="FF2" t="s">
        <v>105</v>
      </c>
      <c r="FG2" t="s">
        <v>106</v>
      </c>
      <c r="FH2" t="s">
        <v>107</v>
      </c>
      <c r="FI2" t="s">
        <v>108</v>
      </c>
      <c r="FJ2" t="s">
        <v>109</v>
      </c>
      <c r="FK2" t="s">
        <v>110</v>
      </c>
      <c r="FL2" t="s">
        <v>111</v>
      </c>
      <c r="FM2" t="s">
        <v>112</v>
      </c>
      <c r="FN2" t="s">
        <v>113</v>
      </c>
      <c r="FO2" t="s">
        <v>114</v>
      </c>
      <c r="FP2" t="s">
        <v>115</v>
      </c>
      <c r="FQ2" t="s">
        <v>116</v>
      </c>
      <c r="FR2" t="s">
        <v>117</v>
      </c>
      <c r="FS2" t="s">
        <v>118</v>
      </c>
      <c r="FT2" t="s">
        <v>119</v>
      </c>
      <c r="FU2" t="s">
        <v>120</v>
      </c>
      <c r="FV2" t="s">
        <v>121</v>
      </c>
      <c r="FW2" t="s">
        <v>122</v>
      </c>
      <c r="FX2" t="s">
        <v>123</v>
      </c>
      <c r="FY2" t="s">
        <v>124</v>
      </c>
      <c r="FZ2" t="s">
        <v>125</v>
      </c>
      <c r="GA2" t="s">
        <v>126</v>
      </c>
      <c r="GB2" t="s">
        <v>127</v>
      </c>
      <c r="GC2" t="s">
        <v>128</v>
      </c>
      <c r="GD2" t="s">
        <v>129</v>
      </c>
      <c r="GE2" t="s">
        <v>130</v>
      </c>
      <c r="GF2" t="s">
        <v>131</v>
      </c>
      <c r="GG2" t="s">
        <v>132</v>
      </c>
      <c r="GH2" t="s">
        <v>133</v>
      </c>
      <c r="GI2" t="s">
        <v>134</v>
      </c>
      <c r="GJ2" t="s">
        <v>135</v>
      </c>
      <c r="GK2" t="s">
        <v>136</v>
      </c>
      <c r="GL2" t="s">
        <v>137</v>
      </c>
      <c r="GM2" t="s">
        <v>138</v>
      </c>
      <c r="GN2" t="s">
        <v>139</v>
      </c>
      <c r="GO2" t="s">
        <v>140</v>
      </c>
      <c r="GP2" t="s">
        <v>141</v>
      </c>
      <c r="GQ2" t="s">
        <v>142</v>
      </c>
      <c r="GR2" t="s">
        <v>143</v>
      </c>
      <c r="GS2" t="s">
        <v>144</v>
      </c>
      <c r="GT2" t="s">
        <v>145</v>
      </c>
      <c r="GU2" t="s">
        <v>146</v>
      </c>
      <c r="GV2" t="s">
        <v>147</v>
      </c>
      <c r="GW2" t="s">
        <v>148</v>
      </c>
      <c r="GX2" t="s">
        <v>73</v>
      </c>
      <c r="GY2" t="s">
        <v>74</v>
      </c>
      <c r="GZ2" t="s">
        <v>75</v>
      </c>
      <c r="HA2" t="s">
        <v>76</v>
      </c>
      <c r="HB2" t="s">
        <v>77</v>
      </c>
      <c r="HC2" t="s">
        <v>78</v>
      </c>
      <c r="HD2" t="s">
        <v>79</v>
      </c>
      <c r="HE2" t="s">
        <v>80</v>
      </c>
      <c r="HF2" t="s">
        <v>81</v>
      </c>
      <c r="HG2" t="s">
        <v>82</v>
      </c>
      <c r="HH2" t="s">
        <v>83</v>
      </c>
      <c r="HI2" t="s">
        <v>84</v>
      </c>
      <c r="HJ2" t="s">
        <v>85</v>
      </c>
      <c r="HK2" t="s">
        <v>86</v>
      </c>
      <c r="HL2" t="s">
        <v>87</v>
      </c>
      <c r="HM2" t="s">
        <v>88</v>
      </c>
      <c r="HN2" t="s">
        <v>89</v>
      </c>
      <c r="HO2" t="s">
        <v>90</v>
      </c>
      <c r="HP2" t="s">
        <v>91</v>
      </c>
      <c r="HQ2" t="s">
        <v>92</v>
      </c>
      <c r="HR2" t="s">
        <v>93</v>
      </c>
      <c r="HS2" t="s">
        <v>94</v>
      </c>
      <c r="HT2" t="s">
        <v>95</v>
      </c>
      <c r="HU2" t="s">
        <v>96</v>
      </c>
      <c r="HV2" t="s">
        <v>97</v>
      </c>
      <c r="HW2" t="s">
        <v>98</v>
      </c>
      <c r="HX2" t="s">
        <v>99</v>
      </c>
      <c r="HY2" t="s">
        <v>100</v>
      </c>
      <c r="HZ2" t="s">
        <v>101</v>
      </c>
      <c r="IA2" t="s">
        <v>102</v>
      </c>
      <c r="IB2" t="s">
        <v>103</v>
      </c>
      <c r="IC2" t="s">
        <v>104</v>
      </c>
      <c r="ID2" t="s">
        <v>105</v>
      </c>
      <c r="IE2" t="s">
        <v>106</v>
      </c>
      <c r="IF2" t="s">
        <v>107</v>
      </c>
      <c r="IG2" t="s">
        <v>108</v>
      </c>
      <c r="IH2" t="s">
        <v>109</v>
      </c>
      <c r="II2" t="s">
        <v>110</v>
      </c>
      <c r="IJ2" t="s">
        <v>111</v>
      </c>
      <c r="IK2" t="s">
        <v>112</v>
      </c>
      <c r="IL2" t="s">
        <v>113</v>
      </c>
      <c r="IM2" t="s">
        <v>114</v>
      </c>
      <c r="IN2" t="s">
        <v>115</v>
      </c>
      <c r="IO2" t="s">
        <v>116</v>
      </c>
      <c r="IP2" t="s">
        <v>117</v>
      </c>
      <c r="IQ2" t="s">
        <v>118</v>
      </c>
      <c r="IR2" t="s">
        <v>119</v>
      </c>
      <c r="IS2" t="s">
        <v>120</v>
      </c>
      <c r="IT2" t="s">
        <v>121</v>
      </c>
      <c r="IU2" t="s">
        <v>122</v>
      </c>
      <c r="IV2" t="s">
        <v>123</v>
      </c>
      <c r="IW2" t="s">
        <v>124</v>
      </c>
      <c r="IX2" t="s">
        <v>125</v>
      </c>
      <c r="IY2" t="s">
        <v>126</v>
      </c>
      <c r="IZ2" t="s">
        <v>127</v>
      </c>
      <c r="JA2" t="s">
        <v>128</v>
      </c>
      <c r="JB2" t="s">
        <v>129</v>
      </c>
      <c r="JC2" t="s">
        <v>130</v>
      </c>
      <c r="JD2" t="s">
        <v>131</v>
      </c>
      <c r="JE2" t="s">
        <v>132</v>
      </c>
      <c r="JF2" t="s">
        <v>133</v>
      </c>
      <c r="JG2" t="s">
        <v>134</v>
      </c>
      <c r="JH2" t="s">
        <v>135</v>
      </c>
      <c r="JI2" t="s">
        <v>136</v>
      </c>
      <c r="JJ2" t="s">
        <v>137</v>
      </c>
      <c r="JK2" t="s">
        <v>138</v>
      </c>
      <c r="JL2" t="s">
        <v>139</v>
      </c>
      <c r="JM2" t="s">
        <v>140</v>
      </c>
      <c r="JN2" t="s">
        <v>141</v>
      </c>
      <c r="JO2" t="s">
        <v>142</v>
      </c>
      <c r="JP2" t="s">
        <v>143</v>
      </c>
      <c r="JQ2" t="s">
        <v>144</v>
      </c>
      <c r="JR2" t="s">
        <v>145</v>
      </c>
      <c r="JS2" t="s">
        <v>146</v>
      </c>
      <c r="JT2" t="s">
        <v>147</v>
      </c>
      <c r="JU2" t="s">
        <v>148</v>
      </c>
      <c r="JV2" t="s">
        <v>149</v>
      </c>
      <c r="JW2" t="s">
        <v>150</v>
      </c>
      <c r="JX2" t="s">
        <v>151</v>
      </c>
      <c r="JY2" t="s">
        <v>152</v>
      </c>
      <c r="JZ2" t="s">
        <v>153</v>
      </c>
      <c r="KA2" t="s">
        <v>154</v>
      </c>
      <c r="KB2" t="s">
        <v>155</v>
      </c>
      <c r="KC2" t="s">
        <v>156</v>
      </c>
      <c r="KD2" t="s">
        <v>157</v>
      </c>
      <c r="KE2" t="s">
        <v>158</v>
      </c>
      <c r="KF2" t="s">
        <v>159</v>
      </c>
      <c r="KG2" t="s">
        <v>160</v>
      </c>
      <c r="KH2" t="s">
        <v>161</v>
      </c>
      <c r="KI2" t="s">
        <v>162</v>
      </c>
      <c r="KJ2" t="s">
        <v>163</v>
      </c>
      <c r="KK2" t="s">
        <v>164</v>
      </c>
      <c r="KL2" t="s">
        <v>165</v>
      </c>
      <c r="KM2" t="s">
        <v>166</v>
      </c>
      <c r="KN2" t="s">
        <v>167</v>
      </c>
      <c r="KO2" t="s">
        <v>168</v>
      </c>
      <c r="KP2" t="s">
        <v>169</v>
      </c>
      <c r="KQ2" t="s">
        <v>170</v>
      </c>
      <c r="KR2" t="s">
        <v>171</v>
      </c>
      <c r="KS2" t="s">
        <v>172</v>
      </c>
      <c r="KT2" t="s">
        <v>173</v>
      </c>
      <c r="KU2" t="s">
        <v>174</v>
      </c>
      <c r="KV2" t="s">
        <v>175</v>
      </c>
      <c r="KW2" t="s">
        <v>176</v>
      </c>
      <c r="KX2" t="s">
        <v>177</v>
      </c>
      <c r="KY2" t="s">
        <v>178</v>
      </c>
      <c r="KZ2" t="s">
        <v>179</v>
      </c>
      <c r="LA2" t="s">
        <v>180</v>
      </c>
      <c r="LB2" t="s">
        <v>181</v>
      </c>
      <c r="LC2" t="s">
        <v>182</v>
      </c>
      <c r="LD2" t="s">
        <v>183</v>
      </c>
      <c r="LE2" t="s">
        <v>184</v>
      </c>
      <c r="LF2" t="s">
        <v>185</v>
      </c>
      <c r="LG2" t="s">
        <v>186</v>
      </c>
      <c r="LH2" t="s">
        <v>187</v>
      </c>
      <c r="LI2" t="s">
        <v>188</v>
      </c>
      <c r="LJ2" t="s">
        <v>189</v>
      </c>
      <c r="LK2" t="s">
        <v>190</v>
      </c>
      <c r="LL2" t="s">
        <v>191</v>
      </c>
      <c r="LM2" t="s">
        <v>192</v>
      </c>
      <c r="LN2" t="s">
        <v>193</v>
      </c>
      <c r="LO2" t="s">
        <v>194</v>
      </c>
      <c r="LP2" t="s">
        <v>195</v>
      </c>
      <c r="LQ2" t="s">
        <v>196</v>
      </c>
      <c r="LR2" t="s">
        <v>197</v>
      </c>
      <c r="LS2" t="s">
        <v>198</v>
      </c>
      <c r="LT2" t="s">
        <v>199</v>
      </c>
      <c r="LU2" t="s">
        <v>200</v>
      </c>
      <c r="LV2" t="s">
        <v>201</v>
      </c>
      <c r="LW2" t="s">
        <v>202</v>
      </c>
      <c r="LX2" t="s">
        <v>203</v>
      </c>
      <c r="LY2" t="s">
        <v>204</v>
      </c>
      <c r="LZ2" t="s">
        <v>205</v>
      </c>
      <c r="MA2" t="s">
        <v>206</v>
      </c>
      <c r="MB2" t="s">
        <v>207</v>
      </c>
      <c r="MC2" t="s">
        <v>208</v>
      </c>
      <c r="MD2" t="s">
        <v>149</v>
      </c>
      <c r="ME2" t="s">
        <v>150</v>
      </c>
      <c r="MF2" t="s">
        <v>151</v>
      </c>
      <c r="MG2" t="s">
        <v>152</v>
      </c>
      <c r="MH2" t="s">
        <v>153</v>
      </c>
      <c r="MI2" t="s">
        <v>154</v>
      </c>
      <c r="MJ2" t="s">
        <v>155</v>
      </c>
      <c r="MK2" t="s">
        <v>156</v>
      </c>
      <c r="ML2" t="s">
        <v>157</v>
      </c>
      <c r="MM2" t="s">
        <v>158</v>
      </c>
      <c r="MN2" t="s">
        <v>159</v>
      </c>
      <c r="MO2" t="s">
        <v>160</v>
      </c>
      <c r="MP2" t="s">
        <v>161</v>
      </c>
      <c r="MQ2" t="s">
        <v>162</v>
      </c>
      <c r="MR2" t="s">
        <v>163</v>
      </c>
      <c r="MS2" t="s">
        <v>164</v>
      </c>
      <c r="MT2" t="s">
        <v>165</v>
      </c>
      <c r="MU2" t="s">
        <v>166</v>
      </c>
      <c r="MV2" t="s">
        <v>167</v>
      </c>
      <c r="MW2" t="s">
        <v>168</v>
      </c>
      <c r="MX2" t="s">
        <v>169</v>
      </c>
      <c r="MY2" t="s">
        <v>170</v>
      </c>
      <c r="MZ2" t="s">
        <v>171</v>
      </c>
      <c r="NA2" t="s">
        <v>172</v>
      </c>
      <c r="NB2" t="s">
        <v>173</v>
      </c>
      <c r="NC2" t="s">
        <v>174</v>
      </c>
      <c r="ND2" t="s">
        <v>175</v>
      </c>
      <c r="NE2" t="s">
        <v>176</v>
      </c>
      <c r="NF2" t="s">
        <v>177</v>
      </c>
      <c r="NG2" t="s">
        <v>178</v>
      </c>
      <c r="NH2" t="s">
        <v>179</v>
      </c>
      <c r="NI2" t="s">
        <v>180</v>
      </c>
      <c r="NJ2" t="s">
        <v>181</v>
      </c>
      <c r="NK2" t="s">
        <v>182</v>
      </c>
      <c r="NL2" t="s">
        <v>183</v>
      </c>
      <c r="NM2" t="s">
        <v>184</v>
      </c>
      <c r="NN2" t="s">
        <v>185</v>
      </c>
      <c r="NO2" t="s">
        <v>186</v>
      </c>
      <c r="NP2" t="s">
        <v>187</v>
      </c>
      <c r="NQ2" t="s">
        <v>188</v>
      </c>
      <c r="NR2" t="s">
        <v>189</v>
      </c>
      <c r="NS2" t="s">
        <v>190</v>
      </c>
      <c r="NT2" t="s">
        <v>191</v>
      </c>
      <c r="NU2" t="s">
        <v>192</v>
      </c>
      <c r="NV2" t="s">
        <v>193</v>
      </c>
      <c r="NW2" t="s">
        <v>194</v>
      </c>
      <c r="NX2" t="s">
        <v>195</v>
      </c>
      <c r="NY2" t="s">
        <v>196</v>
      </c>
      <c r="NZ2" t="s">
        <v>197</v>
      </c>
      <c r="OA2" t="s">
        <v>198</v>
      </c>
      <c r="OB2" t="s">
        <v>199</v>
      </c>
      <c r="OC2" t="s">
        <v>200</v>
      </c>
      <c r="OD2" t="s">
        <v>201</v>
      </c>
      <c r="OE2" t="s">
        <v>202</v>
      </c>
      <c r="OF2" t="s">
        <v>203</v>
      </c>
      <c r="OG2" t="s">
        <v>204</v>
      </c>
      <c r="OH2" t="s">
        <v>205</v>
      </c>
      <c r="OI2" t="s">
        <v>206</v>
      </c>
      <c r="OJ2" t="s">
        <v>207</v>
      </c>
      <c r="OK2" t="s">
        <v>208</v>
      </c>
      <c r="OL2" t="s">
        <v>209</v>
      </c>
      <c r="OM2" t="s">
        <v>210</v>
      </c>
      <c r="ON2" t="s">
        <v>211</v>
      </c>
      <c r="OO2" t="s">
        <v>212</v>
      </c>
      <c r="OP2" t="s">
        <v>213</v>
      </c>
      <c r="OQ2" t="s">
        <v>214</v>
      </c>
      <c r="OR2" t="s">
        <v>215</v>
      </c>
      <c r="OS2" t="s">
        <v>216</v>
      </c>
      <c r="OT2" t="s">
        <v>217</v>
      </c>
      <c r="OU2" t="s">
        <v>218</v>
      </c>
      <c r="OV2" t="s">
        <v>219</v>
      </c>
      <c r="OW2" t="s">
        <v>220</v>
      </c>
      <c r="OX2" t="s">
        <v>221</v>
      </c>
      <c r="OY2" t="s">
        <v>222</v>
      </c>
      <c r="OZ2" t="s">
        <v>223</v>
      </c>
      <c r="PA2" t="s">
        <v>224</v>
      </c>
      <c r="PB2" t="s">
        <v>225</v>
      </c>
      <c r="PC2" t="s">
        <v>226</v>
      </c>
      <c r="PD2" t="s">
        <v>209</v>
      </c>
      <c r="PE2" t="s">
        <v>210</v>
      </c>
      <c r="PF2" t="s">
        <v>211</v>
      </c>
      <c r="PG2" t="s">
        <v>212</v>
      </c>
      <c r="PH2" t="s">
        <v>213</v>
      </c>
      <c r="PI2" t="s">
        <v>214</v>
      </c>
      <c r="PJ2" t="s">
        <v>215</v>
      </c>
      <c r="PK2" t="s">
        <v>216</v>
      </c>
      <c r="PL2" t="s">
        <v>217</v>
      </c>
      <c r="PM2" t="s">
        <v>218</v>
      </c>
      <c r="PN2" t="s">
        <v>219</v>
      </c>
      <c r="PO2" t="s">
        <v>220</v>
      </c>
      <c r="PP2" t="s">
        <v>221</v>
      </c>
      <c r="PQ2" t="s">
        <v>222</v>
      </c>
      <c r="PR2" t="s">
        <v>223</v>
      </c>
      <c r="PS2" t="s">
        <v>224</v>
      </c>
      <c r="PT2" t="s">
        <v>225</v>
      </c>
      <c r="PU2" t="s">
        <v>226</v>
      </c>
      <c r="PV2" t="s">
        <v>222</v>
      </c>
      <c r="PW2" t="s">
        <v>223</v>
      </c>
      <c r="PX2" t="s">
        <v>224</v>
      </c>
      <c r="PY2" t="s">
        <v>225</v>
      </c>
      <c r="PZ2" t="s">
        <v>226</v>
      </c>
      <c r="QA2" t="s">
        <v>222</v>
      </c>
      <c r="QB2" t="s">
        <v>223</v>
      </c>
      <c r="QC2" t="s">
        <v>224</v>
      </c>
      <c r="QD2" t="s">
        <v>225</v>
      </c>
      <c r="QE2" t="s">
        <v>226</v>
      </c>
      <c r="QF2" t="s">
        <v>227</v>
      </c>
      <c r="QG2" t="s">
        <v>228</v>
      </c>
      <c r="QH2" t="s">
        <v>229</v>
      </c>
      <c r="QI2" t="s">
        <v>230</v>
      </c>
      <c r="QJ2" t="s">
        <v>227</v>
      </c>
      <c r="QK2" t="s">
        <v>228</v>
      </c>
      <c r="QL2" t="s">
        <v>229</v>
      </c>
      <c r="QM2" t="s">
        <v>230</v>
      </c>
      <c r="QN2" t="s">
        <v>231</v>
      </c>
      <c r="QO2" t="s">
        <v>232</v>
      </c>
      <c r="QP2" t="s">
        <v>233</v>
      </c>
      <c r="QQ2" t="s">
        <v>234</v>
      </c>
      <c r="QR2" t="s">
        <v>231</v>
      </c>
      <c r="QS2" t="s">
        <v>232</v>
      </c>
      <c r="QT2" t="s">
        <v>233</v>
      </c>
      <c r="QU2" t="s">
        <v>234</v>
      </c>
    </row>
    <row r="3" spans="1:463" x14ac:dyDescent="0.2">
      <c r="B3" t="s">
        <v>235</v>
      </c>
      <c r="C3" t="s">
        <v>235</v>
      </c>
      <c r="D3" t="s">
        <v>236</v>
      </c>
      <c r="E3" t="s">
        <v>237</v>
      </c>
      <c r="F3" t="s">
        <v>237</v>
      </c>
      <c r="G3" t="s">
        <v>238</v>
      </c>
      <c r="H3" t="s">
        <v>238</v>
      </c>
      <c r="I3" t="s">
        <v>238</v>
      </c>
      <c r="J3" t="s">
        <v>236</v>
      </c>
      <c r="K3" t="s">
        <v>236</v>
      </c>
      <c r="L3" t="s">
        <v>236</v>
      </c>
      <c r="M3" t="s">
        <v>236</v>
      </c>
      <c r="N3" t="s">
        <v>236</v>
      </c>
      <c r="O3" t="s">
        <v>236</v>
      </c>
      <c r="P3" t="s">
        <v>236</v>
      </c>
      <c r="Q3" t="s">
        <v>236</v>
      </c>
      <c r="R3" t="s">
        <v>239</v>
      </c>
      <c r="S3" t="s">
        <v>239</v>
      </c>
      <c r="T3" t="s">
        <v>239</v>
      </c>
      <c r="U3" t="s">
        <v>239</v>
      </c>
      <c r="V3" t="s">
        <v>239</v>
      </c>
      <c r="W3" t="s">
        <v>239</v>
      </c>
      <c r="X3" t="s">
        <v>239</v>
      </c>
      <c r="Y3" t="s">
        <v>239</v>
      </c>
      <c r="Z3" t="s">
        <v>239</v>
      </c>
      <c r="AA3" t="s">
        <v>239</v>
      </c>
      <c r="AB3" t="s">
        <v>239</v>
      </c>
      <c r="AC3" t="s">
        <v>239</v>
      </c>
      <c r="AD3" t="s">
        <v>239</v>
      </c>
      <c r="AE3" t="s">
        <v>239</v>
      </c>
      <c r="AF3" t="s">
        <v>239</v>
      </c>
      <c r="AG3" t="s">
        <v>239</v>
      </c>
      <c r="AH3" t="s">
        <v>239</v>
      </c>
      <c r="AI3" t="s">
        <v>239</v>
      </c>
      <c r="AJ3" t="s">
        <v>239</v>
      </c>
      <c r="AK3" t="s">
        <v>239</v>
      </c>
      <c r="AL3" t="s">
        <v>239</v>
      </c>
      <c r="AM3" t="s">
        <v>239</v>
      </c>
      <c r="AN3" t="s">
        <v>239</v>
      </c>
      <c r="AO3" t="s">
        <v>239</v>
      </c>
      <c r="AP3" t="s">
        <v>239</v>
      </c>
      <c r="AQ3" t="s">
        <v>239</v>
      </c>
      <c r="AR3" t="s">
        <v>239</v>
      </c>
      <c r="AS3" t="s">
        <v>239</v>
      </c>
      <c r="AT3" t="s">
        <v>240</v>
      </c>
      <c r="AU3" t="s">
        <v>240</v>
      </c>
      <c r="AV3" t="s">
        <v>240</v>
      </c>
      <c r="AW3" t="s">
        <v>240</v>
      </c>
      <c r="AX3" t="s">
        <v>240</v>
      </c>
      <c r="AY3" t="s">
        <v>240</v>
      </c>
      <c r="AZ3" t="s">
        <v>240</v>
      </c>
      <c r="BA3" t="s">
        <v>240</v>
      </c>
      <c r="BB3" t="s">
        <v>241</v>
      </c>
      <c r="BC3" t="s">
        <v>241</v>
      </c>
      <c r="BD3" t="s">
        <v>241</v>
      </c>
      <c r="BE3" t="s">
        <v>241</v>
      </c>
      <c r="BF3" t="s">
        <v>235</v>
      </c>
      <c r="BG3" t="s">
        <v>235</v>
      </c>
      <c r="BH3" t="s">
        <v>235</v>
      </c>
      <c r="BI3" t="s">
        <v>235</v>
      </c>
      <c r="BJ3" t="s">
        <v>238</v>
      </c>
      <c r="BK3" t="s">
        <v>238</v>
      </c>
      <c r="BL3" t="s">
        <v>238</v>
      </c>
      <c r="BM3" t="s">
        <v>238</v>
      </c>
      <c r="BN3" t="s">
        <v>239</v>
      </c>
      <c r="BO3" t="s">
        <v>239</v>
      </c>
      <c r="BP3" t="s">
        <v>239</v>
      </c>
      <c r="BQ3" t="s">
        <v>239</v>
      </c>
      <c r="BR3" t="s">
        <v>242</v>
      </c>
      <c r="BS3" t="s">
        <v>242</v>
      </c>
      <c r="BT3" t="s">
        <v>242</v>
      </c>
      <c r="BU3" t="s">
        <v>242</v>
      </c>
      <c r="BV3" t="s">
        <v>239</v>
      </c>
      <c r="BW3" t="s">
        <v>239</v>
      </c>
      <c r="BX3" t="s">
        <v>239</v>
      </c>
      <c r="BY3" t="s">
        <v>239</v>
      </c>
      <c r="BZ3" t="s">
        <v>239</v>
      </c>
      <c r="CA3" t="s">
        <v>239</v>
      </c>
      <c r="CB3" t="s">
        <v>239</v>
      </c>
      <c r="CC3" t="s">
        <v>239</v>
      </c>
      <c r="CD3" t="s">
        <v>239</v>
      </c>
      <c r="CE3" t="s">
        <v>239</v>
      </c>
      <c r="CF3" t="s">
        <v>239</v>
      </c>
      <c r="CG3" t="s">
        <v>239</v>
      </c>
      <c r="CH3" t="s">
        <v>239</v>
      </c>
      <c r="CI3" t="s">
        <v>239</v>
      </c>
      <c r="CJ3" t="s">
        <v>239</v>
      </c>
      <c r="CK3" t="s">
        <v>239</v>
      </c>
      <c r="CL3" t="s">
        <v>239</v>
      </c>
      <c r="CM3" t="s">
        <v>239</v>
      </c>
      <c r="CN3" t="s">
        <v>239</v>
      </c>
      <c r="CO3" t="s">
        <v>239</v>
      </c>
      <c r="CP3" t="s">
        <v>239</v>
      </c>
      <c r="CQ3" t="s">
        <v>239</v>
      </c>
      <c r="CR3" t="s">
        <v>239</v>
      </c>
      <c r="CS3" t="s">
        <v>239</v>
      </c>
      <c r="CT3" t="s">
        <v>239</v>
      </c>
      <c r="CU3" t="s">
        <v>239</v>
      </c>
      <c r="CV3" t="s">
        <v>239</v>
      </c>
      <c r="CW3" t="s">
        <v>239</v>
      </c>
      <c r="CX3" t="s">
        <v>240</v>
      </c>
      <c r="CY3" t="s">
        <v>240</v>
      </c>
      <c r="CZ3" t="s">
        <v>240</v>
      </c>
      <c r="DA3" t="s">
        <v>240</v>
      </c>
      <c r="DB3" t="s">
        <v>240</v>
      </c>
      <c r="DC3" t="s">
        <v>240</v>
      </c>
      <c r="DD3" t="s">
        <v>240</v>
      </c>
      <c r="DE3" t="s">
        <v>240</v>
      </c>
      <c r="DF3" t="s">
        <v>241</v>
      </c>
      <c r="DG3" t="s">
        <v>241</v>
      </c>
      <c r="DH3" t="s">
        <v>241</v>
      </c>
      <c r="DI3" t="s">
        <v>241</v>
      </c>
      <c r="DJ3" t="s">
        <v>235</v>
      </c>
      <c r="DK3" t="s">
        <v>235</v>
      </c>
      <c r="DL3" t="s">
        <v>235</v>
      </c>
      <c r="DM3" t="s">
        <v>235</v>
      </c>
      <c r="DN3" t="s">
        <v>238</v>
      </c>
      <c r="DO3" t="s">
        <v>238</v>
      </c>
      <c r="DP3" t="s">
        <v>238</v>
      </c>
      <c r="DQ3" t="s">
        <v>238</v>
      </c>
      <c r="DR3" t="s">
        <v>239</v>
      </c>
      <c r="DS3" t="s">
        <v>239</v>
      </c>
      <c r="DT3" t="s">
        <v>239</v>
      </c>
      <c r="DU3" t="s">
        <v>239</v>
      </c>
      <c r="DV3" t="s">
        <v>242</v>
      </c>
      <c r="DW3" t="s">
        <v>242</v>
      </c>
      <c r="DX3" t="s">
        <v>242</v>
      </c>
      <c r="DY3" t="s">
        <v>242</v>
      </c>
      <c r="DZ3" t="s">
        <v>239</v>
      </c>
      <c r="EA3" t="s">
        <v>239</v>
      </c>
      <c r="EB3" t="s">
        <v>239</v>
      </c>
      <c r="EC3" t="s">
        <v>239</v>
      </c>
      <c r="ED3" t="s">
        <v>239</v>
      </c>
      <c r="EE3" t="s">
        <v>239</v>
      </c>
      <c r="EF3" t="s">
        <v>239</v>
      </c>
      <c r="EG3" t="s">
        <v>239</v>
      </c>
      <c r="EH3" t="s">
        <v>239</v>
      </c>
      <c r="EI3" t="s">
        <v>239</v>
      </c>
      <c r="EJ3" t="s">
        <v>239</v>
      </c>
      <c r="EK3" t="s">
        <v>239</v>
      </c>
      <c r="EL3" t="s">
        <v>239</v>
      </c>
      <c r="EM3" t="s">
        <v>239</v>
      </c>
      <c r="EN3" t="s">
        <v>239</v>
      </c>
      <c r="EO3" t="s">
        <v>239</v>
      </c>
      <c r="EP3" t="s">
        <v>239</v>
      </c>
      <c r="EQ3" t="s">
        <v>239</v>
      </c>
      <c r="ER3" t="s">
        <v>239</v>
      </c>
      <c r="ES3" t="s">
        <v>239</v>
      </c>
      <c r="ET3" t="s">
        <v>239</v>
      </c>
      <c r="EU3" t="s">
        <v>239</v>
      </c>
      <c r="EV3" t="s">
        <v>239</v>
      </c>
      <c r="EW3" t="s">
        <v>239</v>
      </c>
      <c r="EX3" t="s">
        <v>239</v>
      </c>
      <c r="EY3" t="s">
        <v>239</v>
      </c>
      <c r="EZ3" t="s">
        <v>239</v>
      </c>
      <c r="FA3" t="s">
        <v>239</v>
      </c>
      <c r="FB3" t="s">
        <v>240</v>
      </c>
      <c r="FC3" t="s">
        <v>240</v>
      </c>
      <c r="FD3" t="s">
        <v>240</v>
      </c>
      <c r="FE3" t="s">
        <v>240</v>
      </c>
      <c r="FF3" t="s">
        <v>240</v>
      </c>
      <c r="FG3" t="s">
        <v>240</v>
      </c>
      <c r="FH3" t="s">
        <v>240</v>
      </c>
      <c r="FI3" t="s">
        <v>240</v>
      </c>
      <c r="FJ3" t="s">
        <v>239</v>
      </c>
      <c r="FK3" t="s">
        <v>239</v>
      </c>
      <c r="FL3" t="s">
        <v>239</v>
      </c>
      <c r="FM3" t="s">
        <v>239</v>
      </c>
      <c r="FN3" t="s">
        <v>239</v>
      </c>
      <c r="FO3" t="s">
        <v>239</v>
      </c>
      <c r="FP3" t="s">
        <v>239</v>
      </c>
      <c r="FQ3" t="s">
        <v>239</v>
      </c>
      <c r="FR3" t="s">
        <v>239</v>
      </c>
      <c r="FS3" t="s">
        <v>239</v>
      </c>
      <c r="FT3" t="s">
        <v>239</v>
      </c>
      <c r="FU3" t="s">
        <v>239</v>
      </c>
      <c r="FV3" t="s">
        <v>239</v>
      </c>
      <c r="FW3" t="s">
        <v>239</v>
      </c>
      <c r="FX3" t="s">
        <v>239</v>
      </c>
      <c r="FY3" t="s">
        <v>239</v>
      </c>
      <c r="FZ3" t="s">
        <v>241</v>
      </c>
      <c r="GA3" t="s">
        <v>241</v>
      </c>
      <c r="GB3" t="s">
        <v>241</v>
      </c>
      <c r="GC3" t="s">
        <v>241</v>
      </c>
      <c r="GD3" t="s">
        <v>235</v>
      </c>
      <c r="GE3" t="s">
        <v>235</v>
      </c>
      <c r="GF3" t="s">
        <v>235</v>
      </c>
      <c r="GG3" t="s">
        <v>235</v>
      </c>
      <c r="GH3" t="s">
        <v>238</v>
      </c>
      <c r="GI3" t="s">
        <v>238</v>
      </c>
      <c r="GJ3" t="s">
        <v>238</v>
      </c>
      <c r="GK3" t="s">
        <v>238</v>
      </c>
      <c r="GL3" t="s">
        <v>239</v>
      </c>
      <c r="GM3" t="s">
        <v>239</v>
      </c>
      <c r="GN3" t="s">
        <v>239</v>
      </c>
      <c r="GO3" t="s">
        <v>239</v>
      </c>
      <c r="GP3" t="s">
        <v>238</v>
      </c>
      <c r="GQ3" t="s">
        <v>238</v>
      </c>
      <c r="GR3" t="s">
        <v>238</v>
      </c>
      <c r="GS3" t="s">
        <v>238</v>
      </c>
      <c r="GT3" t="s">
        <v>242</v>
      </c>
      <c r="GU3" t="s">
        <v>242</v>
      </c>
      <c r="GV3" t="s">
        <v>242</v>
      </c>
      <c r="GW3" t="s">
        <v>242</v>
      </c>
      <c r="GX3" t="s">
        <v>239</v>
      </c>
      <c r="GY3" t="s">
        <v>239</v>
      </c>
      <c r="GZ3" t="s">
        <v>239</v>
      </c>
      <c r="HA3" t="s">
        <v>239</v>
      </c>
      <c r="HB3" t="s">
        <v>239</v>
      </c>
      <c r="HC3" t="s">
        <v>239</v>
      </c>
      <c r="HD3" t="s">
        <v>239</v>
      </c>
      <c r="HE3" t="s">
        <v>239</v>
      </c>
      <c r="HF3" t="s">
        <v>239</v>
      </c>
      <c r="HG3" t="s">
        <v>239</v>
      </c>
      <c r="HH3" t="s">
        <v>239</v>
      </c>
      <c r="HI3" t="s">
        <v>239</v>
      </c>
      <c r="HJ3" t="s">
        <v>239</v>
      </c>
      <c r="HK3" t="s">
        <v>239</v>
      </c>
      <c r="HL3" t="s">
        <v>239</v>
      </c>
      <c r="HM3" t="s">
        <v>239</v>
      </c>
      <c r="HN3" t="s">
        <v>239</v>
      </c>
      <c r="HO3" t="s">
        <v>239</v>
      </c>
      <c r="HP3" t="s">
        <v>239</v>
      </c>
      <c r="HQ3" t="s">
        <v>239</v>
      </c>
      <c r="HR3" t="s">
        <v>239</v>
      </c>
      <c r="HS3" t="s">
        <v>239</v>
      </c>
      <c r="HT3" t="s">
        <v>239</v>
      </c>
      <c r="HU3" t="s">
        <v>239</v>
      </c>
      <c r="HV3" t="s">
        <v>239</v>
      </c>
      <c r="HW3" t="s">
        <v>239</v>
      </c>
      <c r="HX3" t="s">
        <v>239</v>
      </c>
      <c r="HY3" t="s">
        <v>239</v>
      </c>
      <c r="HZ3" t="s">
        <v>240</v>
      </c>
      <c r="IA3" t="s">
        <v>240</v>
      </c>
      <c r="IB3" t="s">
        <v>240</v>
      </c>
      <c r="IC3" t="s">
        <v>240</v>
      </c>
      <c r="ID3" t="s">
        <v>240</v>
      </c>
      <c r="IE3" t="s">
        <v>240</v>
      </c>
      <c r="IF3" t="s">
        <v>240</v>
      </c>
      <c r="IG3" t="s">
        <v>240</v>
      </c>
      <c r="IH3" t="s">
        <v>239</v>
      </c>
      <c r="II3" t="s">
        <v>239</v>
      </c>
      <c r="IJ3" t="s">
        <v>239</v>
      </c>
      <c r="IK3" t="s">
        <v>239</v>
      </c>
      <c r="IL3" t="s">
        <v>239</v>
      </c>
      <c r="IM3" t="s">
        <v>239</v>
      </c>
      <c r="IN3" t="s">
        <v>239</v>
      </c>
      <c r="IO3" t="s">
        <v>239</v>
      </c>
      <c r="IP3" t="s">
        <v>239</v>
      </c>
      <c r="IQ3" t="s">
        <v>239</v>
      </c>
      <c r="IR3" t="s">
        <v>239</v>
      </c>
      <c r="IS3" t="s">
        <v>239</v>
      </c>
      <c r="IT3" t="s">
        <v>239</v>
      </c>
      <c r="IU3" t="s">
        <v>239</v>
      </c>
      <c r="IV3" t="s">
        <v>239</v>
      </c>
      <c r="IW3" t="s">
        <v>239</v>
      </c>
      <c r="IX3" t="s">
        <v>241</v>
      </c>
      <c r="IY3" t="s">
        <v>241</v>
      </c>
      <c r="IZ3" t="s">
        <v>241</v>
      </c>
      <c r="JA3" t="s">
        <v>241</v>
      </c>
      <c r="JB3" t="s">
        <v>235</v>
      </c>
      <c r="JC3" t="s">
        <v>235</v>
      </c>
      <c r="JD3" t="s">
        <v>235</v>
      </c>
      <c r="JE3" t="s">
        <v>235</v>
      </c>
      <c r="JF3" t="s">
        <v>238</v>
      </c>
      <c r="JG3" t="s">
        <v>238</v>
      </c>
      <c r="JH3" t="s">
        <v>238</v>
      </c>
      <c r="JI3" t="s">
        <v>238</v>
      </c>
      <c r="JJ3" t="s">
        <v>239</v>
      </c>
      <c r="JK3" t="s">
        <v>239</v>
      </c>
      <c r="JL3" t="s">
        <v>239</v>
      </c>
      <c r="JM3" t="s">
        <v>239</v>
      </c>
      <c r="JN3" t="s">
        <v>238</v>
      </c>
      <c r="JO3" t="s">
        <v>238</v>
      </c>
      <c r="JP3" t="s">
        <v>238</v>
      </c>
      <c r="JQ3" t="s">
        <v>238</v>
      </c>
      <c r="JR3" t="s">
        <v>242</v>
      </c>
      <c r="JS3" t="s">
        <v>242</v>
      </c>
      <c r="JT3" t="s">
        <v>242</v>
      </c>
      <c r="JU3" t="s">
        <v>242</v>
      </c>
      <c r="JV3" t="s">
        <v>239</v>
      </c>
      <c r="JW3" t="s">
        <v>239</v>
      </c>
      <c r="JX3" t="s">
        <v>239</v>
      </c>
      <c r="JY3" t="s">
        <v>239</v>
      </c>
      <c r="JZ3" t="s">
        <v>239</v>
      </c>
      <c r="KA3" t="s">
        <v>239</v>
      </c>
      <c r="KB3" t="s">
        <v>239</v>
      </c>
      <c r="KC3" t="s">
        <v>239</v>
      </c>
      <c r="KD3" t="s">
        <v>239</v>
      </c>
      <c r="KE3" t="s">
        <v>239</v>
      </c>
      <c r="KF3" t="s">
        <v>239</v>
      </c>
      <c r="KG3" t="s">
        <v>239</v>
      </c>
      <c r="KH3" t="s">
        <v>239</v>
      </c>
      <c r="KI3" t="s">
        <v>239</v>
      </c>
      <c r="KJ3" t="s">
        <v>239</v>
      </c>
      <c r="KK3" t="s">
        <v>239</v>
      </c>
      <c r="KL3" t="s">
        <v>239</v>
      </c>
      <c r="KM3" t="s">
        <v>239</v>
      </c>
      <c r="KN3" t="s">
        <v>239</v>
      </c>
      <c r="KO3" t="s">
        <v>239</v>
      </c>
      <c r="KP3" t="s">
        <v>239</v>
      </c>
      <c r="KQ3" t="s">
        <v>239</v>
      </c>
      <c r="KR3" t="s">
        <v>239</v>
      </c>
      <c r="KS3" t="s">
        <v>239</v>
      </c>
      <c r="KT3" t="s">
        <v>239</v>
      </c>
      <c r="KU3" t="s">
        <v>239</v>
      </c>
      <c r="KV3" t="s">
        <v>239</v>
      </c>
      <c r="KW3" t="s">
        <v>239</v>
      </c>
      <c r="KX3" t="s">
        <v>240</v>
      </c>
      <c r="KY3" t="s">
        <v>240</v>
      </c>
      <c r="KZ3" t="s">
        <v>240</v>
      </c>
      <c r="LA3" t="s">
        <v>240</v>
      </c>
      <c r="LB3" t="s">
        <v>240</v>
      </c>
      <c r="LC3" t="s">
        <v>240</v>
      </c>
      <c r="LD3" t="s">
        <v>240</v>
      </c>
      <c r="LE3" t="s">
        <v>240</v>
      </c>
      <c r="LF3" t="s">
        <v>241</v>
      </c>
      <c r="LG3" t="s">
        <v>241</v>
      </c>
      <c r="LH3" t="s">
        <v>241</v>
      </c>
      <c r="LI3" t="s">
        <v>241</v>
      </c>
      <c r="LJ3" t="s">
        <v>235</v>
      </c>
      <c r="LK3" t="s">
        <v>235</v>
      </c>
      <c r="LL3" t="s">
        <v>235</v>
      </c>
      <c r="LM3" t="s">
        <v>235</v>
      </c>
      <c r="LN3" t="s">
        <v>238</v>
      </c>
      <c r="LO3" t="s">
        <v>238</v>
      </c>
      <c r="LP3" t="s">
        <v>238</v>
      </c>
      <c r="LQ3" t="s">
        <v>238</v>
      </c>
      <c r="LR3" t="s">
        <v>239</v>
      </c>
      <c r="LS3" t="s">
        <v>239</v>
      </c>
      <c r="LT3" t="s">
        <v>239</v>
      </c>
      <c r="LU3" t="s">
        <v>239</v>
      </c>
      <c r="LV3" t="s">
        <v>238</v>
      </c>
      <c r="LW3" t="s">
        <v>238</v>
      </c>
      <c r="LX3" t="s">
        <v>238</v>
      </c>
      <c r="LY3" t="s">
        <v>238</v>
      </c>
      <c r="LZ3" t="s">
        <v>242</v>
      </c>
      <c r="MA3" t="s">
        <v>242</v>
      </c>
      <c r="MB3" t="s">
        <v>242</v>
      </c>
      <c r="MC3" t="s">
        <v>242</v>
      </c>
      <c r="MD3" t="s">
        <v>239</v>
      </c>
      <c r="ME3" t="s">
        <v>239</v>
      </c>
      <c r="MF3" t="s">
        <v>239</v>
      </c>
      <c r="MG3" t="s">
        <v>239</v>
      </c>
      <c r="MH3" t="s">
        <v>239</v>
      </c>
      <c r="MI3" t="s">
        <v>239</v>
      </c>
      <c r="MJ3" t="s">
        <v>239</v>
      </c>
      <c r="MK3" t="s">
        <v>239</v>
      </c>
      <c r="ML3" t="s">
        <v>239</v>
      </c>
      <c r="MM3" t="s">
        <v>239</v>
      </c>
      <c r="MN3" t="s">
        <v>239</v>
      </c>
      <c r="MO3" t="s">
        <v>239</v>
      </c>
      <c r="MP3" t="s">
        <v>239</v>
      </c>
      <c r="MQ3" t="s">
        <v>239</v>
      </c>
      <c r="MR3" t="s">
        <v>239</v>
      </c>
      <c r="MS3" t="s">
        <v>239</v>
      </c>
      <c r="MT3" t="s">
        <v>239</v>
      </c>
      <c r="MU3" t="s">
        <v>239</v>
      </c>
      <c r="MV3" t="s">
        <v>239</v>
      </c>
      <c r="MW3" t="s">
        <v>239</v>
      </c>
      <c r="MX3" t="s">
        <v>239</v>
      </c>
      <c r="MY3" t="s">
        <v>239</v>
      </c>
      <c r="MZ3" t="s">
        <v>239</v>
      </c>
      <c r="NA3" t="s">
        <v>239</v>
      </c>
      <c r="NB3" t="s">
        <v>239</v>
      </c>
      <c r="NC3" t="s">
        <v>239</v>
      </c>
      <c r="ND3" t="s">
        <v>239</v>
      </c>
      <c r="NE3" t="s">
        <v>239</v>
      </c>
      <c r="NF3" t="s">
        <v>240</v>
      </c>
      <c r="NG3" t="s">
        <v>240</v>
      </c>
      <c r="NH3" t="s">
        <v>240</v>
      </c>
      <c r="NI3" t="s">
        <v>240</v>
      </c>
      <c r="NJ3" t="s">
        <v>240</v>
      </c>
      <c r="NK3" t="s">
        <v>240</v>
      </c>
      <c r="NL3" t="s">
        <v>240</v>
      </c>
      <c r="NM3" t="s">
        <v>240</v>
      </c>
      <c r="NN3" t="s">
        <v>241</v>
      </c>
      <c r="NO3" t="s">
        <v>241</v>
      </c>
      <c r="NP3" t="s">
        <v>241</v>
      </c>
      <c r="NQ3" t="s">
        <v>241</v>
      </c>
      <c r="NR3" t="s">
        <v>235</v>
      </c>
      <c r="NS3" t="s">
        <v>235</v>
      </c>
      <c r="NT3" t="s">
        <v>235</v>
      </c>
      <c r="NU3" t="s">
        <v>235</v>
      </c>
      <c r="NV3" t="s">
        <v>238</v>
      </c>
      <c r="NW3" t="s">
        <v>238</v>
      </c>
      <c r="NX3" t="s">
        <v>238</v>
      </c>
      <c r="NY3" t="s">
        <v>238</v>
      </c>
      <c r="NZ3" t="s">
        <v>239</v>
      </c>
      <c r="OA3" t="s">
        <v>239</v>
      </c>
      <c r="OB3" t="s">
        <v>239</v>
      </c>
      <c r="OC3" t="s">
        <v>239</v>
      </c>
      <c r="OD3" t="s">
        <v>238</v>
      </c>
      <c r="OE3" t="s">
        <v>238</v>
      </c>
      <c r="OF3" t="s">
        <v>238</v>
      </c>
      <c r="OG3" t="s">
        <v>238</v>
      </c>
      <c r="OH3" t="s">
        <v>242</v>
      </c>
      <c r="OI3" t="s">
        <v>242</v>
      </c>
      <c r="OJ3" t="s">
        <v>242</v>
      </c>
      <c r="OK3" t="s">
        <v>242</v>
      </c>
      <c r="OL3" t="s">
        <v>239</v>
      </c>
      <c r="OM3" t="s">
        <v>240</v>
      </c>
      <c r="ON3" t="s">
        <v>240</v>
      </c>
      <c r="OO3" t="s">
        <v>239</v>
      </c>
      <c r="OP3" t="s">
        <v>239</v>
      </c>
      <c r="OQ3" t="s">
        <v>239</v>
      </c>
      <c r="OR3" t="s">
        <v>239</v>
      </c>
      <c r="OS3" t="s">
        <v>243</v>
      </c>
      <c r="OT3" t="s">
        <v>243</v>
      </c>
      <c r="OU3" t="s">
        <v>243</v>
      </c>
      <c r="OV3" t="s">
        <v>243</v>
      </c>
      <c r="OW3" t="s">
        <v>243</v>
      </c>
      <c r="OX3" t="s">
        <v>243</v>
      </c>
      <c r="OY3" t="s">
        <v>239</v>
      </c>
      <c r="OZ3" t="s">
        <v>239</v>
      </c>
      <c r="PA3" t="s">
        <v>239</v>
      </c>
      <c r="PB3" t="s">
        <v>238</v>
      </c>
      <c r="PC3" t="s">
        <v>238</v>
      </c>
      <c r="PD3" t="s">
        <v>239</v>
      </c>
      <c r="PE3" t="s">
        <v>240</v>
      </c>
      <c r="PF3" t="s">
        <v>240</v>
      </c>
      <c r="PG3" t="s">
        <v>239</v>
      </c>
      <c r="PH3" t="s">
        <v>239</v>
      </c>
      <c r="PI3" t="s">
        <v>239</v>
      </c>
      <c r="PJ3" t="s">
        <v>239</v>
      </c>
      <c r="PK3" t="s">
        <v>243</v>
      </c>
      <c r="PL3" t="s">
        <v>243</v>
      </c>
      <c r="PM3" t="s">
        <v>243</v>
      </c>
      <c r="PN3" t="s">
        <v>243</v>
      </c>
      <c r="PO3" t="s">
        <v>243</v>
      </c>
      <c r="PP3" t="s">
        <v>243</v>
      </c>
      <c r="PQ3" t="s">
        <v>239</v>
      </c>
      <c r="PR3" t="s">
        <v>239</v>
      </c>
      <c r="PS3" t="s">
        <v>239</v>
      </c>
      <c r="PT3" t="s">
        <v>238</v>
      </c>
      <c r="PU3" t="s">
        <v>238</v>
      </c>
      <c r="PV3" t="s">
        <v>239</v>
      </c>
      <c r="PW3" t="s">
        <v>239</v>
      </c>
      <c r="PX3" t="s">
        <v>239</v>
      </c>
      <c r="PY3" t="s">
        <v>238</v>
      </c>
      <c r="PZ3" t="s">
        <v>238</v>
      </c>
      <c r="QA3" t="s">
        <v>239</v>
      </c>
      <c r="QB3" t="s">
        <v>239</v>
      </c>
      <c r="QC3" t="s">
        <v>239</v>
      </c>
      <c r="QD3" t="s">
        <v>238</v>
      </c>
      <c r="QE3" t="s">
        <v>238</v>
      </c>
      <c r="QF3" t="s">
        <v>243</v>
      </c>
      <c r="QG3" t="s">
        <v>243</v>
      </c>
      <c r="QH3" t="s">
        <v>243</v>
      </c>
      <c r="QI3" t="s">
        <v>243</v>
      </c>
      <c r="QJ3" t="s">
        <v>243</v>
      </c>
      <c r="QK3" t="s">
        <v>243</v>
      </c>
      <c r="QL3" t="s">
        <v>243</v>
      </c>
      <c r="QM3" t="s">
        <v>243</v>
      </c>
      <c r="QN3" t="s">
        <v>238</v>
      </c>
      <c r="QO3" t="s">
        <v>235</v>
      </c>
      <c r="QP3" t="s">
        <v>235</v>
      </c>
      <c r="QQ3" t="s">
        <v>235</v>
      </c>
      <c r="QR3" t="s">
        <v>238</v>
      </c>
      <c r="QS3" t="s">
        <v>235</v>
      </c>
      <c r="QT3" t="s">
        <v>235</v>
      </c>
      <c r="QU3" t="s">
        <v>235</v>
      </c>
    </row>
    <row r="4" spans="1:463" x14ac:dyDescent="0.2">
      <c r="A4" t="s">
        <v>274</v>
      </c>
      <c r="B4" s="2">
        <v>5.0285442479999996E-13</v>
      </c>
      <c r="C4" s="2">
        <v>-3.390832739E-11</v>
      </c>
      <c r="D4">
        <v>0.16579515850000001</v>
      </c>
      <c r="E4">
        <v>0.20671690540000001</v>
      </c>
      <c r="F4">
        <v>0.62083820450000005</v>
      </c>
      <c r="G4">
        <v>0.5092986089</v>
      </c>
      <c r="H4">
        <v>0.63500426259999998</v>
      </c>
      <c r="I4">
        <v>1.907124652</v>
      </c>
      <c r="J4">
        <v>32.387829680000003</v>
      </c>
      <c r="K4">
        <v>32.553624839999998</v>
      </c>
      <c r="L4">
        <v>32.553624839999998</v>
      </c>
      <c r="M4">
        <v>32.553624839999998</v>
      </c>
      <c r="N4">
        <v>32.34690793</v>
      </c>
      <c r="O4">
        <v>32.553624839999998</v>
      </c>
      <c r="P4">
        <v>31.932786629999999</v>
      </c>
      <c r="Q4">
        <v>32.553624839999998</v>
      </c>
      <c r="R4">
        <v>2.283927931</v>
      </c>
      <c r="S4">
        <v>0.58869647359999999</v>
      </c>
      <c r="T4">
        <v>1.0553837239999999</v>
      </c>
      <c r="U4">
        <v>3.5665862939999999</v>
      </c>
      <c r="V4">
        <v>2.8466354379999999</v>
      </c>
      <c r="W4">
        <v>0.58591663130000005</v>
      </c>
      <c r="X4">
        <v>1.3973245949999999</v>
      </c>
      <c r="Y4">
        <v>3.9863194540000002</v>
      </c>
      <c r="Z4">
        <v>5.1305633679999998</v>
      </c>
      <c r="AA4">
        <v>0.83523642419999999</v>
      </c>
      <c r="AB4">
        <v>3.3265699999999998</v>
      </c>
      <c r="AC4">
        <v>6.9064199999999998</v>
      </c>
      <c r="AD4">
        <v>1.309311501</v>
      </c>
      <c r="AE4">
        <v>0.21831390379999999</v>
      </c>
      <c r="AF4">
        <v>0.92859585030000003</v>
      </c>
      <c r="AG4">
        <v>2.247346866</v>
      </c>
      <c r="AH4">
        <v>5.1305633679999998</v>
      </c>
      <c r="AI4">
        <v>0.83523642419999999</v>
      </c>
      <c r="AJ4">
        <v>3.3265699999999998</v>
      </c>
      <c r="AK4">
        <v>6.9064199999999998</v>
      </c>
      <c r="AL4">
        <v>0.4405393199</v>
      </c>
      <c r="AM4">
        <v>0.10463657630000001</v>
      </c>
      <c r="AN4">
        <v>0.29822959859999998</v>
      </c>
      <c r="AO4">
        <v>0.8475813848</v>
      </c>
      <c r="AP4">
        <v>0.5897204318</v>
      </c>
      <c r="AQ4">
        <v>0.12937796339999999</v>
      </c>
      <c r="AR4">
        <v>0.3968979191</v>
      </c>
      <c r="AS4">
        <v>1.0446073140000001</v>
      </c>
      <c r="AT4">
        <v>-0.51309323780000005</v>
      </c>
      <c r="AU4">
        <v>0.63850644420000002</v>
      </c>
      <c r="AV4">
        <v>-1.7534115699999999</v>
      </c>
      <c r="AW4">
        <v>1.17992239</v>
      </c>
      <c r="AX4">
        <v>5.3103607100000003</v>
      </c>
      <c r="AY4">
        <v>1.336564869</v>
      </c>
      <c r="AZ4">
        <v>2.6983380000000001</v>
      </c>
      <c r="BA4">
        <v>10.129810089999999</v>
      </c>
      <c r="BB4">
        <v>4.8706101629999998E-2</v>
      </c>
      <c r="BC4">
        <v>1.206265584E-2</v>
      </c>
      <c r="BD4">
        <v>3.4777541779999997E-2</v>
      </c>
      <c r="BE4">
        <v>9.4249687169999999E-2</v>
      </c>
      <c r="BF4">
        <v>6.1680804330000001</v>
      </c>
      <c r="BG4">
        <v>0.48623348230000002</v>
      </c>
      <c r="BH4">
        <v>4.7631178199999997</v>
      </c>
      <c r="BI4">
        <v>7.689092144</v>
      </c>
      <c r="BJ4">
        <v>4.8091523389999997</v>
      </c>
      <c r="BK4">
        <v>7.8295814889999997</v>
      </c>
      <c r="BL4">
        <v>6.6342326399999998E-2</v>
      </c>
      <c r="BM4">
        <v>51.127819549999998</v>
      </c>
      <c r="BN4">
        <v>0.8541962582</v>
      </c>
      <c r="BO4">
        <v>0.2346579855</v>
      </c>
      <c r="BP4">
        <v>0.59060745660000002</v>
      </c>
      <c r="BQ4">
        <v>1.86798869</v>
      </c>
      <c r="BR4">
        <v>215.55029719999999</v>
      </c>
      <c r="BS4">
        <v>42.808055250000002</v>
      </c>
      <c r="BT4">
        <v>106.1011479</v>
      </c>
      <c r="BU4">
        <v>287.54188729999998</v>
      </c>
      <c r="BV4">
        <v>1.431444669</v>
      </c>
      <c r="BW4">
        <v>0.15494758659999999</v>
      </c>
      <c r="BX4">
        <v>0.9527909</v>
      </c>
      <c r="BY4">
        <v>1.6639920989999999</v>
      </c>
      <c r="BZ4">
        <v>2.1699591200000001</v>
      </c>
      <c r="CA4">
        <v>0.2444562733</v>
      </c>
      <c r="CB4">
        <v>1.3849881180000001</v>
      </c>
      <c r="CC4">
        <v>2.8431090999999999</v>
      </c>
      <c r="CD4">
        <v>3.6014037889999999</v>
      </c>
      <c r="CE4">
        <v>0.27860393090000002</v>
      </c>
      <c r="CF4">
        <v>2.5369100000000002</v>
      </c>
      <c r="CG4">
        <v>3.8144300000000002</v>
      </c>
      <c r="CH4">
        <v>1.2050625850000001</v>
      </c>
      <c r="CI4">
        <v>0.17758337020000001</v>
      </c>
      <c r="CJ4">
        <v>0.91178302629999997</v>
      </c>
      <c r="CK4">
        <v>1.9520425349999999</v>
      </c>
      <c r="CL4">
        <v>3.6014037889999999</v>
      </c>
      <c r="CM4">
        <v>0.27860393090000002</v>
      </c>
      <c r="CN4">
        <v>2.5369100000000002</v>
      </c>
      <c r="CO4">
        <v>3.8144300000000002</v>
      </c>
      <c r="CP4">
        <v>0.43159148809999998</v>
      </c>
      <c r="CQ4">
        <v>0.100518158</v>
      </c>
      <c r="CR4">
        <v>0.29795572479999999</v>
      </c>
      <c r="CS4">
        <v>0.80811193609999998</v>
      </c>
      <c r="CT4">
        <v>0.5640475895</v>
      </c>
      <c r="CU4">
        <v>0.1200374064</v>
      </c>
      <c r="CV4">
        <v>0.39589562439999998</v>
      </c>
      <c r="CW4">
        <v>0.96434787929999999</v>
      </c>
      <c r="CX4">
        <v>-0.48540743130000003</v>
      </c>
      <c r="CY4">
        <v>0.4471539813</v>
      </c>
      <c r="CZ4">
        <v>-1.5929248499999999</v>
      </c>
      <c r="DA4">
        <v>0.57636217440000004</v>
      </c>
      <c r="DB4">
        <v>4.0551858620000001</v>
      </c>
      <c r="DC4">
        <v>0.77203884440000003</v>
      </c>
      <c r="DD4">
        <v>2.2479454950000002</v>
      </c>
      <c r="DE4">
        <v>6.0792849589999998</v>
      </c>
      <c r="DF4">
        <v>4.4622560780000001E-2</v>
      </c>
      <c r="DG4">
        <v>1.0573691600000001E-2</v>
      </c>
      <c r="DH4">
        <v>3.28962161E-2</v>
      </c>
      <c r="DI4">
        <v>9.0008954909999994E-2</v>
      </c>
      <c r="DJ4">
        <v>5.9852246830000002</v>
      </c>
      <c r="DK4">
        <v>0.43452578670000003</v>
      </c>
      <c r="DL4">
        <v>4.7352493579999999</v>
      </c>
      <c r="DM4">
        <v>7.1760191860000004</v>
      </c>
      <c r="DN4">
        <v>22.21303825</v>
      </c>
      <c r="DO4">
        <v>11.33212077</v>
      </c>
      <c r="DP4">
        <v>7.297655904</v>
      </c>
      <c r="DQ4">
        <v>66.594899369999993</v>
      </c>
      <c r="DR4">
        <v>0.8530897382</v>
      </c>
      <c r="DS4">
        <v>0.233857441</v>
      </c>
      <c r="DT4">
        <v>0.59019925719999999</v>
      </c>
      <c r="DU4">
        <v>1.8649511160000001</v>
      </c>
      <c r="DV4">
        <v>234.0120685</v>
      </c>
      <c r="DW4">
        <v>43.318398610000003</v>
      </c>
      <c r="DX4">
        <v>111.1000568</v>
      </c>
      <c r="DY4">
        <v>303.98632989999999</v>
      </c>
      <c r="DZ4">
        <v>1.445407347</v>
      </c>
      <c r="EA4">
        <v>0.23043042920000001</v>
      </c>
      <c r="EB4">
        <v>0.76971337669999995</v>
      </c>
      <c r="EC4">
        <v>2.1554916890000002</v>
      </c>
      <c r="ED4">
        <v>1.9060697579999999</v>
      </c>
      <c r="EE4">
        <v>0.42997299680000001</v>
      </c>
      <c r="EF4">
        <v>1.03246946</v>
      </c>
      <c r="EG4">
        <v>3.013466529</v>
      </c>
      <c r="EH4">
        <v>3.3514771049999998</v>
      </c>
      <c r="EI4">
        <v>0.49326054089999999</v>
      </c>
      <c r="EJ4">
        <v>2.1078957140000001</v>
      </c>
      <c r="EK4">
        <v>4.8143900000000004</v>
      </c>
      <c r="EL4">
        <v>1.2791539000000001</v>
      </c>
      <c r="EM4">
        <v>0.2146682784</v>
      </c>
      <c r="EN4">
        <v>0.83214226420000004</v>
      </c>
      <c r="EO4">
        <v>2.119028986</v>
      </c>
      <c r="EP4">
        <v>4.8079485789999996</v>
      </c>
      <c r="EQ4">
        <v>0.82182206069999997</v>
      </c>
      <c r="ER4">
        <v>2.68424</v>
      </c>
      <c r="ES4">
        <v>6.7382600000000004</v>
      </c>
      <c r="ET4">
        <v>0.41672676009999998</v>
      </c>
      <c r="EU4">
        <v>9.2123407030000007E-2</v>
      </c>
      <c r="EV4">
        <v>0.2456535467</v>
      </c>
      <c r="EW4">
        <v>0.76328229830000005</v>
      </c>
      <c r="EX4">
        <v>0.54620433509999999</v>
      </c>
      <c r="EY4">
        <v>0.11218321689999999</v>
      </c>
      <c r="EZ4">
        <v>0.32516662089999998</v>
      </c>
      <c r="FA4">
        <v>0.94523512570000001</v>
      </c>
      <c r="FB4">
        <v>-0.39313084399999998</v>
      </c>
      <c r="FC4">
        <v>0.50695933410000005</v>
      </c>
      <c r="FD4">
        <v>-1.5044336110000001</v>
      </c>
      <c r="FE4">
        <v>1.0106795609999999</v>
      </c>
      <c r="FF4">
        <v>4.4399972070000002</v>
      </c>
      <c r="FG4">
        <v>0.87292581020000004</v>
      </c>
      <c r="FH4">
        <v>2.7270872609999999</v>
      </c>
      <c r="FI4">
        <v>7.4821327540000002</v>
      </c>
      <c r="FJ4">
        <v>2.1110979940000001</v>
      </c>
      <c r="FK4">
        <v>0.56690855630000003</v>
      </c>
      <c r="FL4">
        <v>1.0667145600000001</v>
      </c>
      <c r="FM4">
        <v>3.394302132</v>
      </c>
      <c r="FN4">
        <v>2.696850585</v>
      </c>
      <c r="FO4">
        <v>0.58329453080000004</v>
      </c>
      <c r="FP4">
        <v>1.248514777</v>
      </c>
      <c r="FQ4">
        <v>3.9572436720000002</v>
      </c>
      <c r="FR4">
        <v>4.4129888419999999</v>
      </c>
      <c r="FS4">
        <v>0.75511374460000003</v>
      </c>
      <c r="FT4">
        <v>2.3536600000000001</v>
      </c>
      <c r="FU4">
        <v>6.5856899999999996</v>
      </c>
      <c r="FV4">
        <v>3.5023688420000001</v>
      </c>
      <c r="FW4">
        <v>0.81234128360000002</v>
      </c>
      <c r="FX4">
        <v>2.0390100000000002</v>
      </c>
      <c r="FY4">
        <v>6.1791400000000003</v>
      </c>
      <c r="FZ4">
        <v>4.5987209770000002E-2</v>
      </c>
      <c r="GA4">
        <v>1.05415296E-2</v>
      </c>
      <c r="GB4">
        <v>3.248616268E-2</v>
      </c>
      <c r="GC4">
        <v>9.1079999689999996E-2</v>
      </c>
      <c r="GD4">
        <v>6.0936613739999999</v>
      </c>
      <c r="GE4">
        <v>0.48742997649999997</v>
      </c>
      <c r="GF4">
        <v>4.682190587</v>
      </c>
      <c r="GG4">
        <v>7.7728847869999997</v>
      </c>
      <c r="GH4">
        <v>6.6587546700000004</v>
      </c>
      <c r="GI4">
        <v>9.5387715839999991</v>
      </c>
      <c r="GJ4">
        <v>7.3873430190000006E-2</v>
      </c>
      <c r="GK4">
        <v>54.198473280000002</v>
      </c>
      <c r="GL4">
        <v>0.81522523710000006</v>
      </c>
      <c r="GM4">
        <v>0.1973989344</v>
      </c>
      <c r="GN4">
        <v>0.4830826728</v>
      </c>
      <c r="GO4">
        <v>1.587919694</v>
      </c>
      <c r="GP4">
        <v>5.0246044249999997</v>
      </c>
      <c r="GQ4">
        <v>2.21440583</v>
      </c>
      <c r="GR4">
        <v>0.71410982519999999</v>
      </c>
      <c r="GS4">
        <v>14.306820979999999</v>
      </c>
      <c r="GT4">
        <v>226.83927790000001</v>
      </c>
      <c r="GU4">
        <v>42.526355799999997</v>
      </c>
      <c r="GV4">
        <v>109.7935884</v>
      </c>
      <c r="GW4">
        <v>307.82336770000001</v>
      </c>
      <c r="GX4">
        <v>1.222181288</v>
      </c>
      <c r="GY4">
        <v>0.1264026084</v>
      </c>
      <c r="GZ4">
        <v>0.76978941109999999</v>
      </c>
      <c r="HA4">
        <v>1.548665996</v>
      </c>
      <c r="HB4">
        <v>1.706262945</v>
      </c>
      <c r="HC4">
        <v>0.30444011840000001</v>
      </c>
      <c r="HD4">
        <v>1.0215915980000001</v>
      </c>
      <c r="HE4">
        <v>2.4549878060000001</v>
      </c>
      <c r="HF4">
        <v>2.928444233</v>
      </c>
      <c r="HG4">
        <v>0.36284145470000001</v>
      </c>
      <c r="HH4">
        <v>2.1082800000000002</v>
      </c>
      <c r="HI4">
        <v>3.661007143</v>
      </c>
      <c r="HJ4">
        <v>1.1882974559999999</v>
      </c>
      <c r="HK4">
        <v>0.1767066055</v>
      </c>
      <c r="HL4">
        <v>0.83215018870000002</v>
      </c>
      <c r="HM4">
        <v>1.922100704</v>
      </c>
      <c r="HN4">
        <v>3.5834360529999998</v>
      </c>
      <c r="HO4">
        <v>0.37719686660000001</v>
      </c>
      <c r="HP4">
        <v>2.4121999999999999</v>
      </c>
      <c r="HQ4">
        <v>4.6555799999999996</v>
      </c>
      <c r="HR4">
        <v>0.40749772159999997</v>
      </c>
      <c r="HS4">
        <v>8.7945072360000001E-2</v>
      </c>
      <c r="HT4">
        <v>0.2456245614</v>
      </c>
      <c r="HU4">
        <v>0.72314739780000004</v>
      </c>
      <c r="HV4">
        <v>0.52399867609999995</v>
      </c>
      <c r="HW4">
        <v>0.10394919430000001</v>
      </c>
      <c r="HX4">
        <v>0.3251450783</v>
      </c>
      <c r="HY4">
        <v>0.87464499770000004</v>
      </c>
      <c r="HZ4">
        <v>-0.4063471078</v>
      </c>
      <c r="IA4">
        <v>0.39805624099999998</v>
      </c>
      <c r="IB4">
        <v>-1.4967324660000001</v>
      </c>
      <c r="IC4">
        <v>0.55007642050000005</v>
      </c>
      <c r="ID4">
        <v>3.753986383</v>
      </c>
      <c r="IE4">
        <v>0.6523532688</v>
      </c>
      <c r="IF4">
        <v>2.4705352739999999</v>
      </c>
      <c r="IG4">
        <v>6.0210187350000002</v>
      </c>
      <c r="IH4">
        <v>1.456819461</v>
      </c>
      <c r="II4">
        <v>0.18585267189999999</v>
      </c>
      <c r="IJ4">
        <v>0.89502177299999996</v>
      </c>
      <c r="IK4">
        <v>2.0017037630000001</v>
      </c>
      <c r="IL4">
        <v>2.126616592</v>
      </c>
      <c r="IM4">
        <v>0.28108188639999998</v>
      </c>
      <c r="IN4">
        <v>1.248380512</v>
      </c>
      <c r="IO4">
        <v>2.838869254</v>
      </c>
      <c r="IP4">
        <v>3.4390577370000002</v>
      </c>
      <c r="IQ4">
        <v>0.32625135080000001</v>
      </c>
      <c r="IR4">
        <v>2.3536600000000001</v>
      </c>
      <c r="IS4">
        <v>4.1559699999999999</v>
      </c>
      <c r="IT4">
        <v>3.0457372110000001</v>
      </c>
      <c r="IU4">
        <v>0.52999183100000002</v>
      </c>
      <c r="IV4">
        <v>1.85514</v>
      </c>
      <c r="IW4">
        <v>3.9350000000000001</v>
      </c>
      <c r="IX4">
        <v>4.2807230779999997E-2</v>
      </c>
      <c r="IY4">
        <v>9.3829170849999994E-3</v>
      </c>
      <c r="IZ4">
        <v>3.2112758509999999E-2</v>
      </c>
      <c r="JA4">
        <v>8.1338823249999997E-2</v>
      </c>
      <c r="JB4">
        <v>5.9179862969999997</v>
      </c>
      <c r="JC4">
        <v>0.43159782330000002</v>
      </c>
      <c r="JD4">
        <v>4.6270639090000003</v>
      </c>
      <c r="JE4">
        <v>7.2351802919999999</v>
      </c>
      <c r="JF4">
        <v>19.891650240000001</v>
      </c>
      <c r="JG4">
        <v>10.3002044</v>
      </c>
      <c r="JH4">
        <v>1.772962325</v>
      </c>
      <c r="JI4">
        <v>68.887876239999997</v>
      </c>
      <c r="JJ4">
        <v>0.81184237780000001</v>
      </c>
      <c r="JK4">
        <v>0.19616244429999999</v>
      </c>
      <c r="JL4">
        <v>0.48294846079999998</v>
      </c>
      <c r="JM4">
        <v>1.5904701859999999</v>
      </c>
      <c r="JN4">
        <v>7.1315746720000002</v>
      </c>
      <c r="JO4">
        <v>2.9721621169999999</v>
      </c>
      <c r="JP4">
        <v>0.9849790692</v>
      </c>
      <c r="JQ4">
        <v>17.483378479999999</v>
      </c>
      <c r="JR4">
        <v>242.5778976</v>
      </c>
      <c r="JS4">
        <v>42.330874270000002</v>
      </c>
      <c r="JT4">
        <v>122.9425212</v>
      </c>
      <c r="JU4">
        <v>311.4027092</v>
      </c>
      <c r="JV4">
        <v>0.31985994249999999</v>
      </c>
      <c r="JW4">
        <v>0.1181349917</v>
      </c>
      <c r="JX4">
        <v>0.1240953472</v>
      </c>
      <c r="JY4">
        <v>0.80695628929999996</v>
      </c>
      <c r="JZ4">
        <v>0.36329654169999998</v>
      </c>
      <c r="KA4">
        <v>0.19328033750000001</v>
      </c>
      <c r="KB4">
        <v>0.1170692081</v>
      </c>
      <c r="KC4">
        <v>1.3500424719999999</v>
      </c>
      <c r="KD4">
        <v>0.68315648419999997</v>
      </c>
      <c r="KE4">
        <v>0.27968114719999998</v>
      </c>
      <c r="KF4">
        <v>0.25703799999999999</v>
      </c>
      <c r="KG4">
        <v>1.9467699999999999</v>
      </c>
      <c r="KH4">
        <v>0.42865088639999999</v>
      </c>
      <c r="KI4">
        <v>0.1921394153</v>
      </c>
      <c r="KJ4">
        <v>0.15159475</v>
      </c>
      <c r="KK4">
        <v>1.1814849999999999</v>
      </c>
      <c r="KL4">
        <v>0.68315648419999997</v>
      </c>
      <c r="KM4">
        <v>0.27968114719999998</v>
      </c>
      <c r="KN4">
        <v>0.25703799999999999</v>
      </c>
      <c r="KO4">
        <v>1.9467699999999999</v>
      </c>
      <c r="KP4">
        <v>0.12197068</v>
      </c>
      <c r="KQ4">
        <v>4.7618801150000001E-2</v>
      </c>
      <c r="KR4">
        <v>5.0689711339999999E-2</v>
      </c>
      <c r="KS4">
        <v>0.28463713089999998</v>
      </c>
      <c r="KT4">
        <v>0.15266690020000001</v>
      </c>
      <c r="KU4">
        <v>6.0773498240000001E-2</v>
      </c>
      <c r="KV4">
        <v>6.5708493770000001E-2</v>
      </c>
      <c r="KW4">
        <v>0.37101788920000001</v>
      </c>
      <c r="KX4">
        <v>-0.1010363162</v>
      </c>
      <c r="KY4">
        <v>0.56440076179999998</v>
      </c>
      <c r="KZ4">
        <v>-1.79418174</v>
      </c>
      <c r="LA4">
        <v>1.5246977100000001</v>
      </c>
      <c r="LB4">
        <v>3.0116009880000001</v>
      </c>
      <c r="LC4">
        <v>0.90598681089999999</v>
      </c>
      <c r="LD4">
        <v>1.805465004</v>
      </c>
      <c r="LE4">
        <v>8.2540089569999999</v>
      </c>
      <c r="LF4">
        <v>1.499653374</v>
      </c>
      <c r="LG4">
        <v>0.4734043382</v>
      </c>
      <c r="LH4">
        <v>0.69517499760000001</v>
      </c>
      <c r="LI4">
        <v>3.9730199860000002</v>
      </c>
      <c r="LJ4">
        <v>3.6565828639999999E-2</v>
      </c>
      <c r="LK4">
        <v>1.5573856719999999E-2</v>
      </c>
      <c r="LL4">
        <v>1.46774605E-2</v>
      </c>
      <c r="LM4">
        <v>9.8597246720000004E-2</v>
      </c>
      <c r="LN4">
        <v>99.214048629999994</v>
      </c>
      <c r="LO4">
        <v>3.1488148169999999</v>
      </c>
      <c r="LP4">
        <v>70.58823529</v>
      </c>
      <c r="LQ4">
        <v>100</v>
      </c>
      <c r="LR4">
        <v>0.25551816859999998</v>
      </c>
      <c r="LS4">
        <v>9.9774791469999999E-2</v>
      </c>
      <c r="LT4">
        <v>9.2524532399999998E-2</v>
      </c>
      <c r="LU4">
        <v>0.61087993019999998</v>
      </c>
      <c r="LV4">
        <v>13.32705511</v>
      </c>
      <c r="LW4">
        <v>4.7754111379999999</v>
      </c>
      <c r="LX4">
        <v>0</v>
      </c>
      <c r="LY4">
        <v>28.17967951</v>
      </c>
      <c r="LZ4">
        <v>7.2037760689999999</v>
      </c>
      <c r="MA4">
        <v>1.9217126369999999</v>
      </c>
      <c r="MB4">
        <v>2.516977019</v>
      </c>
      <c r="MC4">
        <v>14.38486717</v>
      </c>
      <c r="MD4">
        <v>0.30614973760000003</v>
      </c>
      <c r="ME4">
        <v>0.1137325528</v>
      </c>
      <c r="MF4">
        <v>0.1236171318</v>
      </c>
      <c r="MG4">
        <v>0.75215750550000005</v>
      </c>
      <c r="MH4">
        <v>0.34253742549999999</v>
      </c>
      <c r="MI4">
        <v>0.1783423163</v>
      </c>
      <c r="MJ4">
        <v>0.11584990539999999</v>
      </c>
      <c r="MK4">
        <v>1.169862116</v>
      </c>
      <c r="ML4">
        <v>0.64868716319999997</v>
      </c>
      <c r="MM4">
        <v>0.26377688710000002</v>
      </c>
      <c r="MN4">
        <v>0.25703799999999999</v>
      </c>
      <c r="MO4">
        <v>1.75861</v>
      </c>
      <c r="MP4">
        <v>0.40547254960000001</v>
      </c>
      <c r="MQ4">
        <v>0.1828657554</v>
      </c>
      <c r="MR4">
        <v>0.14277200000000001</v>
      </c>
      <c r="MS4">
        <v>1.15448</v>
      </c>
      <c r="MT4">
        <v>0.64868716319999997</v>
      </c>
      <c r="MU4">
        <v>0.26377688710000002</v>
      </c>
      <c r="MV4">
        <v>0.25703799999999999</v>
      </c>
      <c r="MW4">
        <v>1.75861</v>
      </c>
      <c r="MX4">
        <v>0.11728735329999999</v>
      </c>
      <c r="MY4">
        <v>4.610116886E-2</v>
      </c>
      <c r="MZ4">
        <v>4.8586558619999998E-2</v>
      </c>
      <c r="NA4">
        <v>0.28137645639999997</v>
      </c>
      <c r="NB4">
        <v>0.1463798664</v>
      </c>
      <c r="NC4">
        <v>5.8378022039999998E-2</v>
      </c>
      <c r="ND4">
        <v>6.217876068E-2</v>
      </c>
      <c r="NE4">
        <v>0.36483437680000003</v>
      </c>
      <c r="NF4">
        <v>-8.1455499599999995E-2</v>
      </c>
      <c r="NG4">
        <v>0.54546148009999995</v>
      </c>
      <c r="NH4">
        <v>-1.6419549659999999</v>
      </c>
      <c r="NI4">
        <v>1.530850104</v>
      </c>
      <c r="NJ4">
        <v>2.9548750450000001</v>
      </c>
      <c r="NK4">
        <v>0.85999404609999996</v>
      </c>
      <c r="NL4">
        <v>1.6694568599999999</v>
      </c>
      <c r="NM4">
        <v>7.58090376</v>
      </c>
      <c r="NN4">
        <v>1.4616915669999999</v>
      </c>
      <c r="NO4">
        <v>0.43675065190000001</v>
      </c>
      <c r="NP4">
        <v>0.6469439978</v>
      </c>
      <c r="NQ4">
        <v>3.9923399860000002</v>
      </c>
      <c r="NR4">
        <v>3.472702557E-2</v>
      </c>
      <c r="NS4">
        <v>1.4923144209999999E-2</v>
      </c>
      <c r="NT4">
        <v>1.335505668E-2</v>
      </c>
      <c r="NU4">
        <v>9.5544183559999996E-2</v>
      </c>
      <c r="NV4">
        <v>99.35425893</v>
      </c>
      <c r="NW4">
        <v>2.4507380859999999</v>
      </c>
      <c r="NX4">
        <v>84.371781510000005</v>
      </c>
      <c r="NY4">
        <v>100</v>
      </c>
      <c r="NZ4">
        <v>0.24625619000000001</v>
      </c>
      <c r="OA4">
        <v>9.7370163970000007E-2</v>
      </c>
      <c r="OB4">
        <v>8.8355461280000006E-2</v>
      </c>
      <c r="OC4">
        <v>0.60829525380000005</v>
      </c>
      <c r="OD4">
        <v>13.5301197</v>
      </c>
      <c r="OE4">
        <v>4.8648833849999997</v>
      </c>
      <c r="OF4">
        <v>0</v>
      </c>
      <c r="OG4">
        <v>28.040689960000002</v>
      </c>
      <c r="OH4">
        <v>7.3774589170000002</v>
      </c>
      <c r="OI4">
        <v>2.0400767590000002</v>
      </c>
      <c r="OJ4">
        <v>2.5047966939999999</v>
      </c>
      <c r="OK4">
        <v>15.45728847</v>
      </c>
      <c r="OL4">
        <v>0.59322044730000001</v>
      </c>
      <c r="OM4">
        <v>-0.76013472500000001</v>
      </c>
      <c r="ON4">
        <v>5.9702658050000004</v>
      </c>
      <c r="OO4">
        <v>3.6983799999999998</v>
      </c>
      <c r="OP4">
        <v>3.9339599999999999</v>
      </c>
      <c r="OQ4">
        <v>7.6323400000000001</v>
      </c>
      <c r="OR4">
        <v>0.4319491593</v>
      </c>
      <c r="OS4" s="2">
        <v>2.8239113669999999E-5</v>
      </c>
      <c r="OT4">
        <v>7.0894637229999998E-4</v>
      </c>
      <c r="OU4" s="2">
        <v>2.8239113669999999E-5</v>
      </c>
      <c r="OV4">
        <v>4.3769562610000001E-4</v>
      </c>
      <c r="OW4">
        <v>6.1593437389999999E-4</v>
      </c>
      <c r="OX4" s="2">
        <v>9.3011998340000005E-5</v>
      </c>
      <c r="OY4">
        <v>1.217420556</v>
      </c>
      <c r="OZ4">
        <v>0.57993890889999999</v>
      </c>
      <c r="PA4">
        <v>1.036683362</v>
      </c>
      <c r="PB4">
        <v>11.41582038</v>
      </c>
      <c r="PC4">
        <v>88.258952669999999</v>
      </c>
      <c r="PD4">
        <v>0.56649581920000003</v>
      </c>
      <c r="PE4">
        <v>-0.6653818668</v>
      </c>
      <c r="PF4">
        <v>4.4666991200000004</v>
      </c>
      <c r="PG4">
        <v>1.7803599999999999</v>
      </c>
      <c r="PH4">
        <v>2.75095</v>
      </c>
      <c r="PI4">
        <v>4.5313100000000004</v>
      </c>
      <c r="PJ4">
        <v>0.42318300539999998</v>
      </c>
      <c r="PK4" s="2">
        <v>2.4577220309999998E-5</v>
      </c>
      <c r="PL4">
        <v>7.0183445070000003E-4</v>
      </c>
      <c r="PM4" s="2">
        <v>2.4577220309999998E-5</v>
      </c>
      <c r="PN4">
        <v>4.3631271500000002E-4</v>
      </c>
      <c r="PO4">
        <v>6.12897285E-4</v>
      </c>
      <c r="PP4" s="2">
        <v>8.8937165709999995E-5</v>
      </c>
      <c r="PQ4">
        <v>1.2128903360000001</v>
      </c>
      <c r="PR4">
        <v>0.51423969550000004</v>
      </c>
      <c r="PS4">
        <v>0.96661154589999998</v>
      </c>
      <c r="PT4">
        <v>11.408788270000001</v>
      </c>
      <c r="PU4">
        <v>88.22798693</v>
      </c>
      <c r="PV4">
        <v>1.318976294</v>
      </c>
      <c r="PW4">
        <v>0.58810537009999997</v>
      </c>
      <c r="PX4">
        <v>1.0524913629999999</v>
      </c>
      <c r="PY4">
        <v>12.14901111</v>
      </c>
      <c r="PZ4">
        <v>88.477766020000004</v>
      </c>
      <c r="QA4">
        <v>1.3177898379999999</v>
      </c>
      <c r="QB4">
        <v>0.52689360110000005</v>
      </c>
      <c r="QC4">
        <v>0.97621281189999998</v>
      </c>
      <c r="QD4">
        <v>12.105110079999999</v>
      </c>
      <c r="QE4">
        <v>88.471625959999997</v>
      </c>
      <c r="QF4" s="2">
        <v>2.8115499510000001E-5</v>
      </c>
      <c r="QG4">
        <v>4.7855715900000002E-4</v>
      </c>
      <c r="QH4">
        <v>6.8122284099999999E-4</v>
      </c>
      <c r="QI4" s="2">
        <v>9.5427388050000004E-5</v>
      </c>
      <c r="QJ4" s="2">
        <v>2.447193525E-5</v>
      </c>
      <c r="QK4">
        <v>4.7800340800000001E-4</v>
      </c>
      <c r="QL4">
        <v>6.7918659200000005E-4</v>
      </c>
      <c r="QM4" s="2">
        <v>9.1038680640000001E-5</v>
      </c>
      <c r="QN4">
        <v>78.203725219999995</v>
      </c>
      <c r="QO4">
        <v>40.006661309999998</v>
      </c>
      <c r="QP4">
        <v>45.72995118</v>
      </c>
      <c r="QQ4">
        <v>51.499225240000001</v>
      </c>
      <c r="QR4">
        <v>83.436811779999999</v>
      </c>
      <c r="QS4">
        <v>40.00631688</v>
      </c>
      <c r="QT4">
        <v>45.72643935</v>
      </c>
      <c r="QU4">
        <v>51.500013090000003</v>
      </c>
    </row>
    <row r="5" spans="1:463" x14ac:dyDescent="0.2">
      <c r="A5" t="s">
        <v>275</v>
      </c>
      <c r="B5" s="2">
        <v>-3.2878854189999998E-11</v>
      </c>
      <c r="C5" s="2">
        <v>8.5874027019999994E-12</v>
      </c>
      <c r="D5">
        <v>0.138316571</v>
      </c>
      <c r="E5">
        <v>0.18165309709999999</v>
      </c>
      <c r="F5">
        <v>0.61148379180000001</v>
      </c>
      <c r="G5">
        <v>0.42488838559999997</v>
      </c>
      <c r="H5">
        <v>0.55801188970000004</v>
      </c>
      <c r="I5">
        <v>1.878389257</v>
      </c>
      <c r="J5">
        <v>32.415308269999997</v>
      </c>
      <c r="K5">
        <v>32.553624839999998</v>
      </c>
      <c r="L5">
        <v>32.553624839999998</v>
      </c>
      <c r="M5">
        <v>32.553624839999998</v>
      </c>
      <c r="N5">
        <v>32.371971739999999</v>
      </c>
      <c r="O5">
        <v>32.553624839999998</v>
      </c>
      <c r="P5">
        <v>31.94214105</v>
      </c>
      <c r="Q5">
        <v>32.553624839999998</v>
      </c>
      <c r="R5">
        <v>2.184346422</v>
      </c>
      <c r="S5">
        <v>0.51747275299999995</v>
      </c>
      <c r="T5">
        <v>1.2620530919999999</v>
      </c>
      <c r="U5">
        <v>3.4456662179999999</v>
      </c>
      <c r="V5">
        <v>3.369692578</v>
      </c>
      <c r="W5">
        <v>0.58868875509999996</v>
      </c>
      <c r="X5">
        <v>1.3532558159999999</v>
      </c>
      <c r="Y5">
        <v>4.5754900860000003</v>
      </c>
      <c r="Z5">
        <v>5.5540390000000004</v>
      </c>
      <c r="AA5">
        <v>0.80091980699999998</v>
      </c>
      <c r="AB5">
        <v>3.4771899999999998</v>
      </c>
      <c r="AC5">
        <v>7.3828899999999997</v>
      </c>
      <c r="AD5">
        <v>1.548990903</v>
      </c>
      <c r="AE5">
        <v>0.28234455079999998</v>
      </c>
      <c r="AF5">
        <v>0.93616994919999996</v>
      </c>
      <c r="AG5">
        <v>2.508058889</v>
      </c>
      <c r="AH5">
        <v>5.5540390000000004</v>
      </c>
      <c r="AI5">
        <v>0.80091980699999998</v>
      </c>
      <c r="AJ5">
        <v>3.4771899999999998</v>
      </c>
      <c r="AK5">
        <v>7.3828899999999997</v>
      </c>
      <c r="AL5">
        <v>0.5055140615</v>
      </c>
      <c r="AM5">
        <v>0.1228564937</v>
      </c>
      <c r="AN5">
        <v>0.31394025619999999</v>
      </c>
      <c r="AO5">
        <v>0.93483951890000005</v>
      </c>
      <c r="AP5">
        <v>0.66811222270000004</v>
      </c>
      <c r="AQ5">
        <v>0.15180521280000001</v>
      </c>
      <c r="AR5">
        <v>0.41075822979999999</v>
      </c>
      <c r="AS5">
        <v>1.1477246240000001</v>
      </c>
      <c r="AT5">
        <v>-0.66089558839999996</v>
      </c>
      <c r="AU5">
        <v>0.51147767759999996</v>
      </c>
      <c r="AV5">
        <v>-2.0232617070000001</v>
      </c>
      <c r="AW5">
        <v>0.93179965259999997</v>
      </c>
      <c r="AX5">
        <v>5.0889594779999996</v>
      </c>
      <c r="AY5">
        <v>1.314397778</v>
      </c>
      <c r="AZ5">
        <v>2.7311685899999998</v>
      </c>
      <c r="BA5">
        <v>8.6957496009999993</v>
      </c>
      <c r="BB5">
        <v>4.6711918460000001E-2</v>
      </c>
      <c r="BC5">
        <v>1.0806150400000001E-2</v>
      </c>
      <c r="BD5">
        <v>3.0866231050000002E-2</v>
      </c>
      <c r="BE5">
        <v>9.0044999690000002E-2</v>
      </c>
      <c r="BF5">
        <v>7.3318366450000001</v>
      </c>
      <c r="BG5">
        <v>0.7535453298</v>
      </c>
      <c r="BH5">
        <v>5.1743124519999997</v>
      </c>
      <c r="BI5">
        <v>9.6313867270000006</v>
      </c>
      <c r="BJ5">
        <v>6.4742547369999999</v>
      </c>
      <c r="BK5">
        <v>7.5024840739999998</v>
      </c>
      <c r="BL5">
        <v>2.2114108800000001E-2</v>
      </c>
      <c r="BM5">
        <v>37.527642640000003</v>
      </c>
      <c r="BN5">
        <v>0.99621117989999997</v>
      </c>
      <c r="BO5">
        <v>0.27253333909999999</v>
      </c>
      <c r="BP5">
        <v>0.62999909359999995</v>
      </c>
      <c r="BQ5">
        <v>2.053240636</v>
      </c>
      <c r="BR5">
        <v>224.13752769999999</v>
      </c>
      <c r="BS5">
        <v>45.813003620000003</v>
      </c>
      <c r="BT5">
        <v>111.0555837</v>
      </c>
      <c r="BU5">
        <v>323.97865430000002</v>
      </c>
      <c r="BV5">
        <v>1.536216043</v>
      </c>
      <c r="BW5">
        <v>0.17868099770000001</v>
      </c>
      <c r="BX5">
        <v>1.0109455460000001</v>
      </c>
      <c r="BY5">
        <v>1.853007552</v>
      </c>
      <c r="BZ5">
        <v>2.530912431</v>
      </c>
      <c r="CA5">
        <v>0.2387120794</v>
      </c>
      <c r="CB5">
        <v>1.34207031</v>
      </c>
      <c r="CC5">
        <v>3.241334454</v>
      </c>
      <c r="CD5">
        <v>4.0671284740000004</v>
      </c>
      <c r="CE5">
        <v>0.27689965649999998</v>
      </c>
      <c r="CF5">
        <v>2.5732200000000001</v>
      </c>
      <c r="CG5">
        <v>4.2834500000000002</v>
      </c>
      <c r="CH5">
        <v>1.4455457599999999</v>
      </c>
      <c r="CI5">
        <v>0.2444579509</v>
      </c>
      <c r="CJ5">
        <v>0.86607758140000002</v>
      </c>
      <c r="CK5">
        <v>2.2222362819999999</v>
      </c>
      <c r="CL5">
        <v>4.0671284740000004</v>
      </c>
      <c r="CM5">
        <v>0.27689965649999998</v>
      </c>
      <c r="CN5">
        <v>2.5732200000000001</v>
      </c>
      <c r="CO5">
        <v>4.2834500000000002</v>
      </c>
      <c r="CP5">
        <v>0.49715117860000002</v>
      </c>
      <c r="CQ5">
        <v>0.1179671133</v>
      </c>
      <c r="CR5">
        <v>0.30975854069999997</v>
      </c>
      <c r="CS5">
        <v>0.8963003249</v>
      </c>
      <c r="CT5">
        <v>0.64401346829999995</v>
      </c>
      <c r="CU5">
        <v>0.140520583</v>
      </c>
      <c r="CV5">
        <v>0.3968401748</v>
      </c>
      <c r="CW5">
        <v>1.0663587729999999</v>
      </c>
      <c r="CX5">
        <v>-0.56597501709999998</v>
      </c>
      <c r="CY5">
        <v>0.36733233949999999</v>
      </c>
      <c r="CZ5">
        <v>-1.822275445</v>
      </c>
      <c r="DA5">
        <v>0.45790422619999999</v>
      </c>
      <c r="DB5">
        <v>4.0007816780000001</v>
      </c>
      <c r="DC5">
        <v>0.83101062729999997</v>
      </c>
      <c r="DD5">
        <v>2.2332610370000001</v>
      </c>
      <c r="DE5">
        <v>7.3169152070000001</v>
      </c>
      <c r="DF5">
        <v>4.3666536620000002E-2</v>
      </c>
      <c r="DG5">
        <v>9.7644223749999998E-3</v>
      </c>
      <c r="DH5">
        <v>2.843441851E-2</v>
      </c>
      <c r="DI5">
        <v>8.4976901110000003E-2</v>
      </c>
      <c r="DJ5">
        <v>7.1296938220000001</v>
      </c>
      <c r="DK5">
        <v>0.70017437989999998</v>
      </c>
      <c r="DL5">
        <v>5.1743124519999997</v>
      </c>
      <c r="DM5">
        <v>8.9190478409999994</v>
      </c>
      <c r="DN5">
        <v>20.917522160000001</v>
      </c>
      <c r="DO5">
        <v>10.022863640000001</v>
      </c>
      <c r="DP5">
        <v>6.2582927909999997</v>
      </c>
      <c r="DQ5">
        <v>65.826615869999998</v>
      </c>
      <c r="DR5">
        <v>0.9953662727</v>
      </c>
      <c r="DS5">
        <v>0.2719994073</v>
      </c>
      <c r="DT5">
        <v>0.63054643229999996</v>
      </c>
      <c r="DU5">
        <v>2.0532555509999999</v>
      </c>
      <c r="DV5">
        <v>238.98054250000001</v>
      </c>
      <c r="DW5">
        <v>46.935938440000001</v>
      </c>
      <c r="DX5">
        <v>117.6790383</v>
      </c>
      <c r="DY5">
        <v>351.68646050000001</v>
      </c>
      <c r="DZ5">
        <v>1.4976747859999999</v>
      </c>
      <c r="EA5">
        <v>0.21107655289999999</v>
      </c>
      <c r="EB5">
        <v>0.9331652359</v>
      </c>
      <c r="EC5">
        <v>2.1020392800000001</v>
      </c>
      <c r="ED5">
        <v>2.3322329509999999</v>
      </c>
      <c r="EE5">
        <v>0.49517481340000002</v>
      </c>
      <c r="EF5">
        <v>1.0453886400000001</v>
      </c>
      <c r="EG5">
        <v>3.4639047019999998</v>
      </c>
      <c r="EH5">
        <v>3.8299077370000001</v>
      </c>
      <c r="EI5">
        <v>0.57129679239999998</v>
      </c>
      <c r="EJ5">
        <v>2.6705757139999999</v>
      </c>
      <c r="EK5">
        <v>5.1747671430000004</v>
      </c>
      <c r="EL5">
        <v>1.5293794350000001</v>
      </c>
      <c r="EM5">
        <v>0.2729777115</v>
      </c>
      <c r="EN5">
        <v>0.95277895030000004</v>
      </c>
      <c r="EO5">
        <v>2.3783018569999999</v>
      </c>
      <c r="EP5">
        <v>5.3121252109999997</v>
      </c>
      <c r="EQ5">
        <v>0.79302388170000004</v>
      </c>
      <c r="ER5">
        <v>3.2015799999999999</v>
      </c>
      <c r="ES5">
        <v>7.3228900000000001</v>
      </c>
      <c r="ET5">
        <v>0.48644677790000002</v>
      </c>
      <c r="EU5">
        <v>0.1087417545</v>
      </c>
      <c r="EV5">
        <v>0.29116865349999999</v>
      </c>
      <c r="EW5">
        <v>0.8278990249</v>
      </c>
      <c r="EX5">
        <v>0.62893431570000002</v>
      </c>
      <c r="EY5">
        <v>0.13217475710000001</v>
      </c>
      <c r="EZ5">
        <v>0.39330924309999998</v>
      </c>
      <c r="FA5">
        <v>1.0247830579999999</v>
      </c>
      <c r="FB5">
        <v>-0.55564948739999998</v>
      </c>
      <c r="FC5">
        <v>0.38718923020000001</v>
      </c>
      <c r="FD5">
        <v>-1.5953998890000001</v>
      </c>
      <c r="FE5">
        <v>0.74584976280000004</v>
      </c>
      <c r="FF5">
        <v>4.3465192510000001</v>
      </c>
      <c r="FG5">
        <v>0.90203035750000005</v>
      </c>
      <c r="FH5">
        <v>2.9206535040000001</v>
      </c>
      <c r="FI5">
        <v>7.8715760220000002</v>
      </c>
      <c r="FJ5">
        <v>2.0846902150000002</v>
      </c>
      <c r="FK5">
        <v>0.49485352640000002</v>
      </c>
      <c r="FL5">
        <v>1.1107065549999999</v>
      </c>
      <c r="FM5">
        <v>3.4577063360000002</v>
      </c>
      <c r="FN5">
        <v>3.2274349959999999</v>
      </c>
      <c r="FO5">
        <v>0.58875810740000001</v>
      </c>
      <c r="FP5">
        <v>1.3193264200000001</v>
      </c>
      <c r="FQ5">
        <v>4.5948302999999999</v>
      </c>
      <c r="FR5">
        <v>4.9386755259999999</v>
      </c>
      <c r="FS5">
        <v>0.78849970749999998</v>
      </c>
      <c r="FT5">
        <v>3.03898</v>
      </c>
      <c r="FU5">
        <v>6.9999399999999996</v>
      </c>
      <c r="FV5">
        <v>4.066269632</v>
      </c>
      <c r="FW5">
        <v>0.90007821669999999</v>
      </c>
      <c r="FX5">
        <v>2.12792</v>
      </c>
      <c r="FY5">
        <v>6.4995500000000002</v>
      </c>
      <c r="FZ5">
        <v>4.4097046889999998E-2</v>
      </c>
      <c r="GA5">
        <v>9.0383192210000008E-3</v>
      </c>
      <c r="GB5">
        <v>2.9559893510000001E-2</v>
      </c>
      <c r="GC5">
        <v>7.9369714009999995E-2</v>
      </c>
      <c r="GD5">
        <v>7.3221537860000003</v>
      </c>
      <c r="GE5">
        <v>0.76896320659999995</v>
      </c>
      <c r="GF5">
        <v>5.2005653560000002</v>
      </c>
      <c r="GG5">
        <v>9.7162320350000009</v>
      </c>
      <c r="GH5">
        <v>7.3082106490000003</v>
      </c>
      <c r="GI5">
        <v>7.901833044</v>
      </c>
      <c r="GJ5">
        <v>4.9248953460000001E-2</v>
      </c>
      <c r="GK5">
        <v>47.104487829999997</v>
      </c>
      <c r="GL5">
        <v>0.97028465450000001</v>
      </c>
      <c r="GM5">
        <v>0.23528552480000001</v>
      </c>
      <c r="GN5">
        <v>0.56072686260000004</v>
      </c>
      <c r="GO5">
        <v>1.7359230059999999</v>
      </c>
      <c r="GP5">
        <v>4.7294710010000003</v>
      </c>
      <c r="GQ5">
        <v>1.927099031</v>
      </c>
      <c r="GR5">
        <v>0.81260773210000004</v>
      </c>
      <c r="GS5">
        <v>13.00172371</v>
      </c>
      <c r="GT5">
        <v>235.49060399999999</v>
      </c>
      <c r="GU5">
        <v>44.22220119</v>
      </c>
      <c r="GV5">
        <v>125.9926425</v>
      </c>
      <c r="GW5">
        <v>338.2962119</v>
      </c>
      <c r="GX5">
        <v>1.3179891340000001</v>
      </c>
      <c r="GY5">
        <v>0.1495166423</v>
      </c>
      <c r="GZ5">
        <v>0.85873499740000003</v>
      </c>
      <c r="HA5">
        <v>1.7205826740000001</v>
      </c>
      <c r="HB5">
        <v>2.03351258</v>
      </c>
      <c r="HC5">
        <v>0.32506853130000002</v>
      </c>
      <c r="HD5">
        <v>1.034182645</v>
      </c>
      <c r="HE5">
        <v>2.8099074270000002</v>
      </c>
      <c r="HF5">
        <v>3.3515017139999999</v>
      </c>
      <c r="HG5">
        <v>0.41528041760000001</v>
      </c>
      <c r="HH5">
        <v>2.1420785709999999</v>
      </c>
      <c r="HI5">
        <v>4.0613299999999999</v>
      </c>
      <c r="HJ5">
        <v>1.4382467670000001</v>
      </c>
      <c r="HK5">
        <v>0.24486035610000001</v>
      </c>
      <c r="HL5">
        <v>0.89800455030000004</v>
      </c>
      <c r="HM5">
        <v>2.1808320550000002</v>
      </c>
      <c r="HN5">
        <v>4.0721747370000001</v>
      </c>
      <c r="HO5">
        <v>0.39212170089999998</v>
      </c>
      <c r="HP5">
        <v>2.5765699999999998</v>
      </c>
      <c r="HQ5">
        <v>5.0285500000000001</v>
      </c>
      <c r="HR5">
        <v>0.47765164970000001</v>
      </c>
      <c r="HS5">
        <v>0.10381346180000001</v>
      </c>
      <c r="HT5">
        <v>0.29094567840000002</v>
      </c>
      <c r="HU5">
        <v>0.79777897819999999</v>
      </c>
      <c r="HV5">
        <v>0.60728192280000004</v>
      </c>
      <c r="HW5">
        <v>0.1221185635</v>
      </c>
      <c r="HX5">
        <v>0.38359138059999998</v>
      </c>
      <c r="HY5">
        <v>0.96680546359999997</v>
      </c>
      <c r="HZ5">
        <v>-0.50784735079999999</v>
      </c>
      <c r="IA5">
        <v>0.30662312749999998</v>
      </c>
      <c r="IB5">
        <v>-1.649882724</v>
      </c>
      <c r="IC5">
        <v>0.37849414110000001</v>
      </c>
      <c r="ID5">
        <v>3.7082831970000001</v>
      </c>
      <c r="IE5">
        <v>0.70456797869999999</v>
      </c>
      <c r="IF5">
        <v>2.4554233640000001</v>
      </c>
      <c r="IG5">
        <v>6.8088304730000004</v>
      </c>
      <c r="IH5">
        <v>1.571796255</v>
      </c>
      <c r="II5">
        <v>0.2153941134</v>
      </c>
      <c r="IJ5">
        <v>0.98315316919999995</v>
      </c>
      <c r="IK5">
        <v>2.2113416379999999</v>
      </c>
      <c r="IL5">
        <v>2.5003784819999999</v>
      </c>
      <c r="IM5">
        <v>0.279155657</v>
      </c>
      <c r="IN5">
        <v>1.319081234</v>
      </c>
      <c r="IO5">
        <v>3.2755450480000001</v>
      </c>
      <c r="IP5">
        <v>3.908071632</v>
      </c>
      <c r="IQ5">
        <v>0.35926558710000001</v>
      </c>
      <c r="IR5">
        <v>2.4741</v>
      </c>
      <c r="IS5">
        <v>4.6391</v>
      </c>
      <c r="IT5">
        <v>3.5245918949999999</v>
      </c>
      <c r="IU5">
        <v>0.56674469569999997</v>
      </c>
      <c r="IV5">
        <v>1.9910699999999999</v>
      </c>
      <c r="IW5">
        <v>4.6391</v>
      </c>
      <c r="IX5">
        <v>4.1797577629999999E-2</v>
      </c>
      <c r="IY5">
        <v>8.4628402229999997E-3</v>
      </c>
      <c r="IZ5">
        <v>2.8626153750000001E-2</v>
      </c>
      <c r="JA5">
        <v>7.6145753159999996E-2</v>
      </c>
      <c r="JB5">
        <v>7.1248153800000003</v>
      </c>
      <c r="JC5">
        <v>0.71254162830000001</v>
      </c>
      <c r="JD5">
        <v>5.2005653560000002</v>
      </c>
      <c r="JE5">
        <v>8.9671276229999997</v>
      </c>
      <c r="JF5">
        <v>18.36268127</v>
      </c>
      <c r="JG5">
        <v>8.6464368020000002</v>
      </c>
      <c r="JH5">
        <v>2.2654518590000001</v>
      </c>
      <c r="JI5">
        <v>63.949274610000003</v>
      </c>
      <c r="JJ5">
        <v>0.96789703000000005</v>
      </c>
      <c r="JK5">
        <v>0.23417090930000001</v>
      </c>
      <c r="JL5">
        <v>0.5593604298</v>
      </c>
      <c r="JM5">
        <v>1.7357338899999999</v>
      </c>
      <c r="JN5">
        <v>7.0342376389999997</v>
      </c>
      <c r="JO5">
        <v>2.6074332309999999</v>
      </c>
      <c r="JP5">
        <v>1.1819748830000001</v>
      </c>
      <c r="JQ5">
        <v>17.163260279999999</v>
      </c>
      <c r="JR5">
        <v>248.1566809</v>
      </c>
      <c r="JS5">
        <v>45.783390330000003</v>
      </c>
      <c r="JT5">
        <v>131.32708769999999</v>
      </c>
      <c r="JU5">
        <v>349.33089819999998</v>
      </c>
      <c r="JV5">
        <v>0.32220006420000002</v>
      </c>
      <c r="JW5">
        <v>0.1309199308</v>
      </c>
      <c r="JX5">
        <v>9.9586151479999996E-2</v>
      </c>
      <c r="JY5">
        <v>0.76757349180000001</v>
      </c>
      <c r="JZ5">
        <v>0.39079391479999998</v>
      </c>
      <c r="KA5">
        <v>0.22897156499999999</v>
      </c>
      <c r="KB5">
        <v>0.10278115039999999</v>
      </c>
      <c r="KC5">
        <v>1.2785803630000001</v>
      </c>
      <c r="KD5">
        <v>0.71299397890000005</v>
      </c>
      <c r="KE5">
        <v>0.3308762898</v>
      </c>
      <c r="KF5">
        <v>0.24371799999999999</v>
      </c>
      <c r="KG5">
        <v>1.9271799999999999</v>
      </c>
      <c r="KH5">
        <v>0.44243226720000001</v>
      </c>
      <c r="KI5">
        <v>0.21578007690000001</v>
      </c>
      <c r="KJ5">
        <v>0.10863416670000001</v>
      </c>
      <c r="KK5">
        <v>1.3543449999999999</v>
      </c>
      <c r="KL5">
        <v>0.71299397890000005</v>
      </c>
      <c r="KM5">
        <v>0.3308762898</v>
      </c>
      <c r="KN5">
        <v>0.24371799999999999</v>
      </c>
      <c r="KO5">
        <v>1.9271799999999999</v>
      </c>
      <c r="KP5">
        <v>0.1294062601</v>
      </c>
      <c r="KQ5">
        <v>5.6293018479999998E-2</v>
      </c>
      <c r="KR5">
        <v>3.738541603E-2</v>
      </c>
      <c r="KS5">
        <v>0.33380276710000001</v>
      </c>
      <c r="KT5">
        <v>0.1619255232</v>
      </c>
      <c r="KU5">
        <v>7.2216541489999994E-2</v>
      </c>
      <c r="KV5">
        <v>5.1228238959999998E-2</v>
      </c>
      <c r="KW5">
        <v>0.42882832310000002</v>
      </c>
      <c r="KX5">
        <v>-0.16954770629999999</v>
      </c>
      <c r="KY5">
        <v>0.54514744299999995</v>
      </c>
      <c r="KZ5">
        <v>-2.0553478840000001</v>
      </c>
      <c r="LA5">
        <v>1.976824747</v>
      </c>
      <c r="LB5">
        <v>2.9813919649999998</v>
      </c>
      <c r="LC5">
        <v>1.1488085690000001</v>
      </c>
      <c r="LD5">
        <v>1.824896318</v>
      </c>
      <c r="LE5">
        <v>10.60675264</v>
      </c>
      <c r="LF5">
        <v>1.5375882059999999</v>
      </c>
      <c r="LG5">
        <v>0.49703511680000001</v>
      </c>
      <c r="LH5">
        <v>0.63709999780000004</v>
      </c>
      <c r="LI5">
        <v>4.1192999859999997</v>
      </c>
      <c r="LJ5">
        <v>3.940540763E-2</v>
      </c>
      <c r="LK5">
        <v>1.72300326E-2</v>
      </c>
      <c r="LL5">
        <v>1.6932272670000002E-2</v>
      </c>
      <c r="LM5">
        <v>0.11176794130000001</v>
      </c>
      <c r="LN5">
        <v>98.738520769999994</v>
      </c>
      <c r="LO5">
        <v>3.7403580230000002</v>
      </c>
      <c r="LP5">
        <v>76.271561259999999</v>
      </c>
      <c r="LQ5">
        <v>100</v>
      </c>
      <c r="LR5">
        <v>0.27306015169999998</v>
      </c>
      <c r="LS5">
        <v>0.1158413428</v>
      </c>
      <c r="LT5">
        <v>6.79255312E-2</v>
      </c>
      <c r="LU5">
        <v>0.71768428029999998</v>
      </c>
      <c r="LV5">
        <v>13.87441443</v>
      </c>
      <c r="LW5">
        <v>5.1349661729999996</v>
      </c>
      <c r="LX5">
        <v>0</v>
      </c>
      <c r="LY5">
        <v>27.001326850000002</v>
      </c>
      <c r="LZ5">
        <v>7.0630504419999998</v>
      </c>
      <c r="MA5">
        <v>1.9674156140000001</v>
      </c>
      <c r="MB5">
        <v>2.42759693</v>
      </c>
      <c r="MC5">
        <v>15.69612311</v>
      </c>
      <c r="MD5">
        <v>0.31139251559999997</v>
      </c>
      <c r="ME5">
        <v>0.12821206199999999</v>
      </c>
      <c r="MF5">
        <v>9.8913557939999994E-2</v>
      </c>
      <c r="MG5">
        <v>0.73796269569999995</v>
      </c>
      <c r="MH5">
        <v>0.37201031600000001</v>
      </c>
      <c r="MI5">
        <v>0.21081695119999999</v>
      </c>
      <c r="MJ5">
        <v>9.8983406240000002E-2</v>
      </c>
      <c r="MK5">
        <v>1.257225188</v>
      </c>
      <c r="ML5">
        <v>0.68340283160000004</v>
      </c>
      <c r="MM5">
        <v>0.31149646139999998</v>
      </c>
      <c r="MN5">
        <v>0.22038099999999999</v>
      </c>
      <c r="MO5">
        <v>1.89188</v>
      </c>
      <c r="MP5">
        <v>0.42527226979999999</v>
      </c>
      <c r="MQ5">
        <v>0.2016698794</v>
      </c>
      <c r="MR5">
        <v>0.1182806</v>
      </c>
      <c r="MS5">
        <v>1.2117450000000001</v>
      </c>
      <c r="MT5">
        <v>0.68340283160000004</v>
      </c>
      <c r="MU5">
        <v>0.31149646139999998</v>
      </c>
      <c r="MV5">
        <v>0.22038099999999999</v>
      </c>
      <c r="MW5">
        <v>1.89188</v>
      </c>
      <c r="MX5">
        <v>0.1250884032</v>
      </c>
      <c r="MY5">
        <v>5.389652298E-2</v>
      </c>
      <c r="MZ5">
        <v>3.7853328149999997E-2</v>
      </c>
      <c r="NA5">
        <v>0.32496077899999998</v>
      </c>
      <c r="NB5">
        <v>0.15621627199999999</v>
      </c>
      <c r="NC5">
        <v>6.8801018539999995E-2</v>
      </c>
      <c r="ND5">
        <v>4.7960258800000002E-2</v>
      </c>
      <c r="NE5">
        <v>0.42083403479999998</v>
      </c>
      <c r="NF5">
        <v>-0.16610157170000001</v>
      </c>
      <c r="NG5">
        <v>0.52578212980000005</v>
      </c>
      <c r="NH5">
        <v>-1.9131660770000001</v>
      </c>
      <c r="NI5">
        <v>1.7502174930000001</v>
      </c>
      <c r="NJ5">
        <v>2.9256304229999999</v>
      </c>
      <c r="NK5">
        <v>1.0713266109999999</v>
      </c>
      <c r="NL5">
        <v>1.8042170070000001</v>
      </c>
      <c r="NM5">
        <v>9.3122224819999992</v>
      </c>
      <c r="NN5">
        <v>1.5440580209999999</v>
      </c>
      <c r="NO5">
        <v>0.4902246696</v>
      </c>
      <c r="NP5">
        <v>0.68861999760000003</v>
      </c>
      <c r="NQ5">
        <v>4.1110199859999996</v>
      </c>
      <c r="NR5">
        <v>3.772404822E-2</v>
      </c>
      <c r="NS5">
        <v>1.6294722460000001E-2</v>
      </c>
      <c r="NT5">
        <v>1.5814865630000001E-2</v>
      </c>
      <c r="NU5">
        <v>0.106874702</v>
      </c>
      <c r="NV5">
        <v>98.939893220000002</v>
      </c>
      <c r="NW5">
        <v>3.2555025070000001</v>
      </c>
      <c r="NX5">
        <v>77.1340115</v>
      </c>
      <c r="NY5">
        <v>100</v>
      </c>
      <c r="NZ5">
        <v>0.26480689540000002</v>
      </c>
      <c r="OA5">
        <v>0.1134392134</v>
      </c>
      <c r="OB5">
        <v>7.5274803570000007E-2</v>
      </c>
      <c r="OC5">
        <v>0.73415879819999996</v>
      </c>
      <c r="OD5">
        <v>14.048607240000001</v>
      </c>
      <c r="OE5">
        <v>5.1090800249999999</v>
      </c>
      <c r="OF5">
        <v>0</v>
      </c>
      <c r="OG5">
        <v>26.979212740000001</v>
      </c>
      <c r="OH5">
        <v>7.0023294030000001</v>
      </c>
      <c r="OI5">
        <v>1.868677484</v>
      </c>
      <c r="OJ5">
        <v>2.43248635</v>
      </c>
      <c r="OK5">
        <v>14.52179727</v>
      </c>
      <c r="OL5">
        <v>0.67481805289999996</v>
      </c>
      <c r="OM5">
        <v>-0.88548875230000001</v>
      </c>
      <c r="ON5">
        <v>5.6615906569999996</v>
      </c>
      <c r="OO5">
        <v>3.6324999999999998</v>
      </c>
      <c r="OP5">
        <v>4.4773699999999996</v>
      </c>
      <c r="OQ5">
        <v>8.1098700000000008</v>
      </c>
      <c r="OR5">
        <v>0.49909895209999999</v>
      </c>
      <c r="OS5" s="2">
        <v>2.7032570689999999E-5</v>
      </c>
      <c r="OT5">
        <v>8.1034028220000002E-4</v>
      </c>
      <c r="OU5" s="2">
        <v>2.7032570689999999E-5</v>
      </c>
      <c r="OV5">
        <v>5.1894025890000003E-4</v>
      </c>
      <c r="OW5">
        <v>7.0314974109999997E-4</v>
      </c>
      <c r="OX5">
        <v>1.0719054109999999E-4</v>
      </c>
      <c r="OY5">
        <v>1.437328382</v>
      </c>
      <c r="OZ5">
        <v>0.5494002201</v>
      </c>
      <c r="PA5">
        <v>1.1546328889999999</v>
      </c>
      <c r="PB5">
        <v>10.621246940000001</v>
      </c>
      <c r="PC5">
        <v>87.836724189999998</v>
      </c>
      <c r="PD5">
        <v>0.64885523499999997</v>
      </c>
      <c r="PE5">
        <v>-0.71511112369999996</v>
      </c>
      <c r="PF5">
        <v>4.2912407479999999</v>
      </c>
      <c r="PG5">
        <v>1.9238299999999999</v>
      </c>
      <c r="PH5">
        <v>3.10927</v>
      </c>
      <c r="PI5">
        <v>5.0331000000000001</v>
      </c>
      <c r="PJ5">
        <v>0.49076165649999998</v>
      </c>
      <c r="PK5" s="2">
        <v>2.4416888930000001E-5</v>
      </c>
      <c r="PL5">
        <v>8.0285361880000003E-4</v>
      </c>
      <c r="PM5" s="2">
        <v>2.4416888930000001E-5</v>
      </c>
      <c r="PN5">
        <v>5.1811785389999998E-4</v>
      </c>
      <c r="PO5">
        <v>7.0055214609999995E-4</v>
      </c>
      <c r="PP5">
        <v>1.023014727E-4</v>
      </c>
      <c r="PQ5">
        <v>1.4356174900000001</v>
      </c>
      <c r="PR5">
        <v>0.49866374260000002</v>
      </c>
      <c r="PS5">
        <v>1.0739352090000001</v>
      </c>
      <c r="PT5">
        <v>10.559707769999999</v>
      </c>
      <c r="PU5">
        <v>87.825505250000006</v>
      </c>
      <c r="PV5">
        <v>1.569528408</v>
      </c>
      <c r="PW5">
        <v>0.5447600896</v>
      </c>
      <c r="PX5">
        <v>1.1764353080000001</v>
      </c>
      <c r="PY5">
        <v>9.9833545249999993</v>
      </c>
      <c r="PZ5">
        <v>87.871510079999993</v>
      </c>
      <c r="QA5">
        <v>1.5697500870000001</v>
      </c>
      <c r="QB5">
        <v>0.49182251539999999</v>
      </c>
      <c r="QC5">
        <v>1.09133115</v>
      </c>
      <c r="QD5">
        <v>9.9206844479999994</v>
      </c>
      <c r="QE5">
        <v>87.87240697</v>
      </c>
      <c r="QF5" s="2">
        <v>2.725468232E-5</v>
      </c>
      <c r="QG5">
        <v>5.7092313559999996E-4</v>
      </c>
      <c r="QH5">
        <v>7.5115686440000004E-4</v>
      </c>
      <c r="QI5">
        <v>1.100936913E-4</v>
      </c>
      <c r="QJ5" s="2">
        <v>2.464789218E-5</v>
      </c>
      <c r="QK5">
        <v>5.704803601E-4</v>
      </c>
      <c r="QL5">
        <v>7.4982963989999999E-4</v>
      </c>
      <c r="QM5">
        <v>1.0493974030000001E-4</v>
      </c>
      <c r="QN5">
        <v>78.913195020000003</v>
      </c>
      <c r="QO5">
        <v>40.0173293</v>
      </c>
      <c r="QP5">
        <v>45.72870708</v>
      </c>
      <c r="QQ5">
        <v>116.4798856</v>
      </c>
      <c r="QR5">
        <v>72.971032350000002</v>
      </c>
      <c r="QS5">
        <v>40.016389670000002</v>
      </c>
      <c r="QT5">
        <v>45.493371619999998</v>
      </c>
      <c r="QU5">
        <v>116.48104290000001</v>
      </c>
    </row>
    <row r="6" spans="1:463" x14ac:dyDescent="0.2">
      <c r="A6" t="s">
        <v>276</v>
      </c>
      <c r="B6" s="2">
        <v>2.24784665E-11</v>
      </c>
      <c r="C6" s="2">
        <v>1.848658721E-11</v>
      </c>
      <c r="D6">
        <v>0.17125126439999999</v>
      </c>
      <c r="E6">
        <v>0.21420310170000001</v>
      </c>
      <c r="F6">
        <v>0.65197514430000003</v>
      </c>
      <c r="G6">
        <v>0.52605897270000002</v>
      </c>
      <c r="H6">
        <v>0.65800076880000002</v>
      </c>
      <c r="I6">
        <v>2.002772802</v>
      </c>
      <c r="J6">
        <v>32.382373579999999</v>
      </c>
      <c r="K6">
        <v>32.553624839999998</v>
      </c>
      <c r="L6">
        <v>32.553624839999998</v>
      </c>
      <c r="M6">
        <v>32.553624839999998</v>
      </c>
      <c r="N6">
        <v>32.339421739999999</v>
      </c>
      <c r="O6">
        <v>32.553624839999998</v>
      </c>
      <c r="P6">
        <v>31.9016497</v>
      </c>
      <c r="Q6">
        <v>32.553624839999998</v>
      </c>
      <c r="R6">
        <v>2.2700468520000001</v>
      </c>
      <c r="S6">
        <v>0.3973745696</v>
      </c>
      <c r="T6">
        <v>1.425272402</v>
      </c>
      <c r="U6">
        <v>3.0736443449999999</v>
      </c>
      <c r="V6">
        <v>3.839703622</v>
      </c>
      <c r="W6">
        <v>0.67615439899999996</v>
      </c>
      <c r="X6">
        <v>1.418009372</v>
      </c>
      <c r="Y6">
        <v>5.1253515060000003</v>
      </c>
      <c r="Z6">
        <v>6.1097504740000002</v>
      </c>
      <c r="AA6">
        <v>0.82461296849999999</v>
      </c>
      <c r="AB6">
        <v>3.6572399999999998</v>
      </c>
      <c r="AC6">
        <v>7.5033500000000002</v>
      </c>
      <c r="AD6">
        <v>1.766850515</v>
      </c>
      <c r="AE6">
        <v>0.32831794860000002</v>
      </c>
      <c r="AF6">
        <v>1.053949021</v>
      </c>
      <c r="AG6">
        <v>2.6195424690000002</v>
      </c>
      <c r="AH6">
        <v>6.1097504740000002</v>
      </c>
      <c r="AI6">
        <v>0.82461296849999999</v>
      </c>
      <c r="AJ6">
        <v>3.6572399999999998</v>
      </c>
      <c r="AK6">
        <v>7.5033500000000002</v>
      </c>
      <c r="AL6">
        <v>0.56824337950000003</v>
      </c>
      <c r="AM6">
        <v>0.13452277430000001</v>
      </c>
      <c r="AN6">
        <v>0.34959521090000001</v>
      </c>
      <c r="AO6">
        <v>0.99443249899999997</v>
      </c>
      <c r="AP6">
        <v>0.7493915605</v>
      </c>
      <c r="AQ6">
        <v>0.16703374309999999</v>
      </c>
      <c r="AR6">
        <v>0.44937936569999998</v>
      </c>
      <c r="AS6">
        <v>1.234471316</v>
      </c>
      <c r="AT6">
        <v>-0.67889174959999998</v>
      </c>
      <c r="AU6">
        <v>0.47337256950000001</v>
      </c>
      <c r="AV6">
        <v>-1.9140555269999999</v>
      </c>
      <c r="AW6">
        <v>0.6521915533</v>
      </c>
      <c r="AX6">
        <v>5.0358153970000004</v>
      </c>
      <c r="AY6">
        <v>1.3942875299999999</v>
      </c>
      <c r="AZ6">
        <v>2.9157296000000001</v>
      </c>
      <c r="BA6">
        <v>9.6382232590000001</v>
      </c>
      <c r="BB6">
        <v>4.6125839600000003E-2</v>
      </c>
      <c r="BC6">
        <v>9.4275876880000001E-3</v>
      </c>
      <c r="BD6">
        <v>2.936956928E-2</v>
      </c>
      <c r="BE6">
        <v>8.3479999710000002E-2</v>
      </c>
      <c r="BF6">
        <v>8.3068333699999997</v>
      </c>
      <c r="BG6">
        <v>0.89618036069999996</v>
      </c>
      <c r="BH6">
        <v>5.9595214370000003</v>
      </c>
      <c r="BI6">
        <v>10.94043855</v>
      </c>
      <c r="BJ6">
        <v>4.9404809180000004</v>
      </c>
      <c r="BK6">
        <v>5.1603049719999996</v>
      </c>
      <c r="BL6">
        <v>0.1326846528</v>
      </c>
      <c r="BM6">
        <v>24.741407039999999</v>
      </c>
      <c r="BN6">
        <v>1.1220991090000001</v>
      </c>
      <c r="BO6">
        <v>0.29480629539999997</v>
      </c>
      <c r="BP6">
        <v>0.70918788860000004</v>
      </c>
      <c r="BQ6">
        <v>2.182318312</v>
      </c>
      <c r="BR6">
        <v>225.0842705</v>
      </c>
      <c r="BS6">
        <v>42.323940299999997</v>
      </c>
      <c r="BT6">
        <v>119.78917149999999</v>
      </c>
      <c r="BU6">
        <v>340.48847999999998</v>
      </c>
      <c r="BV6">
        <v>1.736512329</v>
      </c>
      <c r="BW6">
        <v>0.19515692949999999</v>
      </c>
      <c r="BX6">
        <v>1.212845425</v>
      </c>
      <c r="BY6">
        <v>2.0896529720000001</v>
      </c>
      <c r="BZ6">
        <v>2.8010853029999998</v>
      </c>
      <c r="CA6">
        <v>0.26353311499999998</v>
      </c>
      <c r="CB6">
        <v>1.4105163949999999</v>
      </c>
      <c r="CC6">
        <v>3.513854684</v>
      </c>
      <c r="CD6">
        <v>4.5375976319999998</v>
      </c>
      <c r="CE6">
        <v>0.31882625920000002</v>
      </c>
      <c r="CF6">
        <v>2.8328199999999999</v>
      </c>
      <c r="CG6">
        <v>4.7845599999999999</v>
      </c>
      <c r="CH6">
        <v>1.6552165750000001</v>
      </c>
      <c r="CI6">
        <v>0.28524671629999998</v>
      </c>
      <c r="CJ6">
        <v>1.0297185790000001</v>
      </c>
      <c r="CK6">
        <v>2.3615125579999998</v>
      </c>
      <c r="CL6">
        <v>4.5375976319999998</v>
      </c>
      <c r="CM6">
        <v>0.31882625920000002</v>
      </c>
      <c r="CN6">
        <v>2.8328199999999999</v>
      </c>
      <c r="CO6">
        <v>4.7845599999999999</v>
      </c>
      <c r="CP6">
        <v>0.55912414860000004</v>
      </c>
      <c r="CQ6">
        <v>0.12827677740000001</v>
      </c>
      <c r="CR6">
        <v>0.34771969930000002</v>
      </c>
      <c r="CS6">
        <v>0.95226198009999996</v>
      </c>
      <c r="CT6">
        <v>0.72308288070000004</v>
      </c>
      <c r="CU6">
        <v>0.1524423654</v>
      </c>
      <c r="CV6">
        <v>0.44342230849999997</v>
      </c>
      <c r="CW6">
        <v>1.1445171839999999</v>
      </c>
      <c r="CX6">
        <v>-0.53502374259999996</v>
      </c>
      <c r="CY6">
        <v>0.35553493349999998</v>
      </c>
      <c r="CZ6">
        <v>-1.6556275359999999</v>
      </c>
      <c r="DA6">
        <v>0.32399352250000002</v>
      </c>
      <c r="DB6">
        <v>3.9409078800000001</v>
      </c>
      <c r="DC6">
        <v>0.83600132530000004</v>
      </c>
      <c r="DD6">
        <v>2.2676889189999998</v>
      </c>
      <c r="DE6">
        <v>6.6762932130000001</v>
      </c>
      <c r="DF6">
        <v>4.3371997490000001E-2</v>
      </c>
      <c r="DG6">
        <v>8.3510104310000003E-3</v>
      </c>
      <c r="DH6">
        <v>2.8028493049999999E-2</v>
      </c>
      <c r="DI6">
        <v>7.7452499729999999E-2</v>
      </c>
      <c r="DJ6">
        <v>8.0886956049999998</v>
      </c>
      <c r="DK6">
        <v>0.82781326860000004</v>
      </c>
      <c r="DL6">
        <v>5.930285123</v>
      </c>
      <c r="DM6">
        <v>10.36869396</v>
      </c>
      <c r="DN6">
        <v>15.547139680000001</v>
      </c>
      <c r="DO6">
        <v>7.1019279380000002</v>
      </c>
      <c r="DP6">
        <v>4.8429898280000003</v>
      </c>
      <c r="DQ6">
        <v>51.668131870000003</v>
      </c>
      <c r="DR6">
        <v>1.1211021240000001</v>
      </c>
      <c r="DS6">
        <v>0.2940700135</v>
      </c>
      <c r="DT6">
        <v>0.70903018279999996</v>
      </c>
      <c r="DU6">
        <v>2.178456545</v>
      </c>
      <c r="DV6">
        <v>238.4105246</v>
      </c>
      <c r="DW6">
        <v>42.344013599999997</v>
      </c>
      <c r="DX6">
        <v>129.11139130000001</v>
      </c>
      <c r="DY6">
        <v>356.77979479999999</v>
      </c>
      <c r="DZ6">
        <v>1.655413096</v>
      </c>
      <c r="EA6">
        <v>0.22370275489999999</v>
      </c>
      <c r="EB6">
        <v>1.056164608</v>
      </c>
      <c r="EC6">
        <v>2.2253521959999998</v>
      </c>
      <c r="ED6">
        <v>2.6566432569999998</v>
      </c>
      <c r="EE6">
        <v>0.53761033570000005</v>
      </c>
      <c r="EF6">
        <v>1.213718426</v>
      </c>
      <c r="EG6">
        <v>3.8649008829999998</v>
      </c>
      <c r="EH6">
        <v>4.312056353</v>
      </c>
      <c r="EI6">
        <v>0.65237222049999999</v>
      </c>
      <c r="EJ6">
        <v>2.7900628570000001</v>
      </c>
      <c r="EK6">
        <v>5.9861428569999999</v>
      </c>
      <c r="EL6">
        <v>1.747334285</v>
      </c>
      <c r="EM6">
        <v>0.32279633369999999</v>
      </c>
      <c r="EN6">
        <v>1.058817213</v>
      </c>
      <c r="EO6">
        <v>2.5310076060000002</v>
      </c>
      <c r="EP6">
        <v>5.8856803680000001</v>
      </c>
      <c r="EQ6">
        <v>0.83912223509999995</v>
      </c>
      <c r="ER6">
        <v>3.58372</v>
      </c>
      <c r="ES6">
        <v>7.6559900000000001</v>
      </c>
      <c r="ET6">
        <v>0.54805476990000002</v>
      </c>
      <c r="EU6">
        <v>0.12063115739999999</v>
      </c>
      <c r="EV6">
        <v>0.34279714080000001</v>
      </c>
      <c r="EW6">
        <v>0.89175415849999995</v>
      </c>
      <c r="EX6">
        <v>0.7072526724</v>
      </c>
      <c r="EY6">
        <v>0.14716440280000001</v>
      </c>
      <c r="EZ6">
        <v>0.43635623420000003</v>
      </c>
      <c r="FA6">
        <v>1.1100002369999999</v>
      </c>
      <c r="FB6">
        <v>-0.57512828090000001</v>
      </c>
      <c r="FC6">
        <v>0.34811915650000003</v>
      </c>
      <c r="FD6">
        <v>-1.5450318329999999</v>
      </c>
      <c r="FE6">
        <v>0.53246171389999997</v>
      </c>
      <c r="FF6">
        <v>4.3178151769999999</v>
      </c>
      <c r="FG6">
        <v>0.95138312599999997</v>
      </c>
      <c r="FH6">
        <v>2.7624916050000001</v>
      </c>
      <c r="FI6">
        <v>8.2650361169999993</v>
      </c>
      <c r="FJ6">
        <v>2.1954032990000001</v>
      </c>
      <c r="FK6">
        <v>0.39567911049999999</v>
      </c>
      <c r="FL6">
        <v>1.2528683970000001</v>
      </c>
      <c r="FM6">
        <v>3.3882790859999998</v>
      </c>
      <c r="FN6">
        <v>3.690277069</v>
      </c>
      <c r="FO6">
        <v>0.67119226700000001</v>
      </c>
      <c r="FP6">
        <v>1.4496812830000001</v>
      </c>
      <c r="FQ6">
        <v>4.8897537919999996</v>
      </c>
      <c r="FR6">
        <v>5.5477448420000002</v>
      </c>
      <c r="FS6">
        <v>0.84633151920000005</v>
      </c>
      <c r="FT6">
        <v>3.2412299999999998</v>
      </c>
      <c r="FU6">
        <v>7.3102600000000004</v>
      </c>
      <c r="FV6">
        <v>4.7266365260000001</v>
      </c>
      <c r="FW6">
        <v>1.0159052909999999</v>
      </c>
      <c r="FX6">
        <v>2.4217300000000002</v>
      </c>
      <c r="FY6">
        <v>7.3102600000000004</v>
      </c>
      <c r="FZ6">
        <v>4.3331336819999997E-2</v>
      </c>
      <c r="GA6">
        <v>7.9999107260000004E-3</v>
      </c>
      <c r="GB6">
        <v>2.811316573E-2</v>
      </c>
      <c r="GC6">
        <v>7.6366478609999996E-2</v>
      </c>
      <c r="GD6">
        <v>8.31325425</v>
      </c>
      <c r="GE6">
        <v>0.91276092949999998</v>
      </c>
      <c r="GF6">
        <v>6.0133753829999996</v>
      </c>
      <c r="GG6">
        <v>10.986389470000001</v>
      </c>
      <c r="GH6">
        <v>5.2695093499999999</v>
      </c>
      <c r="GI6">
        <v>5.4269157740000002</v>
      </c>
      <c r="GJ6">
        <v>9.8497906920000003E-2</v>
      </c>
      <c r="GK6">
        <v>34.02892971</v>
      </c>
      <c r="GL6">
        <v>1.093501482</v>
      </c>
      <c r="GM6">
        <v>0.25884223420000002</v>
      </c>
      <c r="GN6">
        <v>0.6634879897</v>
      </c>
      <c r="GO6">
        <v>1.855040719</v>
      </c>
      <c r="GP6">
        <v>4.840028598</v>
      </c>
      <c r="GQ6">
        <v>1.9092979050000001</v>
      </c>
      <c r="GR6">
        <v>0.91110563899999997</v>
      </c>
      <c r="GS6">
        <v>11.98743559</v>
      </c>
      <c r="GT6">
        <v>238.17505560000001</v>
      </c>
      <c r="GU6">
        <v>41.398784820000003</v>
      </c>
      <c r="GV6">
        <v>130.9475071</v>
      </c>
      <c r="GW6">
        <v>355.7052271</v>
      </c>
      <c r="GX6">
        <v>1.499507828</v>
      </c>
      <c r="GY6">
        <v>0.17621477299999999</v>
      </c>
      <c r="GZ6">
        <v>0.93720298869999996</v>
      </c>
      <c r="HA6">
        <v>1.9273000760000001</v>
      </c>
      <c r="HB6">
        <v>2.290990157</v>
      </c>
      <c r="HC6">
        <v>0.34057059099999998</v>
      </c>
      <c r="HD6">
        <v>1.1978528399999999</v>
      </c>
      <c r="HE6">
        <v>3.041681847</v>
      </c>
      <c r="HF6">
        <v>3.790497985</v>
      </c>
      <c r="HG6">
        <v>0.44847983809999997</v>
      </c>
      <c r="HH6">
        <v>2.457011429</v>
      </c>
      <c r="HI6">
        <v>4.5850828569999997</v>
      </c>
      <c r="HJ6">
        <v>1.6484297459999999</v>
      </c>
      <c r="HK6">
        <v>0.28440724969999998</v>
      </c>
      <c r="HL6">
        <v>1.0290273940000001</v>
      </c>
      <c r="HM6">
        <v>2.2914070130000002</v>
      </c>
      <c r="HN6">
        <v>4.5760485790000001</v>
      </c>
      <c r="HO6">
        <v>0.44744325810000002</v>
      </c>
      <c r="HP6">
        <v>2.8250099999999998</v>
      </c>
      <c r="HQ6">
        <v>5.8119100000000001</v>
      </c>
      <c r="HR6">
        <v>0.5385279731</v>
      </c>
      <c r="HS6">
        <v>0.1144364018</v>
      </c>
      <c r="HT6">
        <v>0.3410221779</v>
      </c>
      <c r="HU6">
        <v>0.86696579060000001</v>
      </c>
      <c r="HV6">
        <v>0.68365371919999995</v>
      </c>
      <c r="HW6">
        <v>0.13435345949999999</v>
      </c>
      <c r="HX6">
        <v>0.42855902019999997</v>
      </c>
      <c r="HY6">
        <v>1.0558128449999999</v>
      </c>
      <c r="HZ6">
        <v>-0.49018699399999999</v>
      </c>
      <c r="IA6">
        <v>0.28633982270000002</v>
      </c>
      <c r="IB6">
        <v>-1.568656364</v>
      </c>
      <c r="IC6">
        <v>0.2731889844</v>
      </c>
      <c r="ID6">
        <v>3.6668417130000002</v>
      </c>
      <c r="IE6">
        <v>0.69318185750000005</v>
      </c>
      <c r="IF6">
        <v>2.5776091320000001</v>
      </c>
      <c r="IG6">
        <v>6.7570964709999997</v>
      </c>
      <c r="IH6">
        <v>1.795378768</v>
      </c>
      <c r="II6">
        <v>0.25984458310000003</v>
      </c>
      <c r="IJ6">
        <v>1.221111448</v>
      </c>
      <c r="IK6">
        <v>2.704462817</v>
      </c>
      <c r="IL6">
        <v>2.7806698110000001</v>
      </c>
      <c r="IM6">
        <v>0.30160056829999998</v>
      </c>
      <c r="IN6">
        <v>1.449601411</v>
      </c>
      <c r="IO6">
        <v>3.5165335930000001</v>
      </c>
      <c r="IP6">
        <v>4.4065899999999996</v>
      </c>
      <c r="IQ6">
        <v>0.40521508449999999</v>
      </c>
      <c r="IR6">
        <v>2.7754099999999999</v>
      </c>
      <c r="IS6">
        <v>5.4385899999999996</v>
      </c>
      <c r="IT6">
        <v>4.0341445790000003</v>
      </c>
      <c r="IU6">
        <v>0.59864411959999997</v>
      </c>
      <c r="IV6">
        <v>2.3639399999999999</v>
      </c>
      <c r="IW6">
        <v>5.1367200000000004</v>
      </c>
      <c r="IX6">
        <v>4.1245066939999998E-2</v>
      </c>
      <c r="IY6">
        <v>7.2486837910000004E-3</v>
      </c>
      <c r="IZ6">
        <v>2.769564347E-2</v>
      </c>
      <c r="JA6">
        <v>7.0415843909999998E-2</v>
      </c>
      <c r="JB6">
        <v>8.1017026849999993</v>
      </c>
      <c r="JC6">
        <v>0.84328283729999998</v>
      </c>
      <c r="JD6">
        <v>5.9800354809999998</v>
      </c>
      <c r="JE6">
        <v>10.385717919999999</v>
      </c>
      <c r="JF6">
        <v>12.50402512</v>
      </c>
      <c r="JG6">
        <v>6.2247566839999999</v>
      </c>
      <c r="JH6">
        <v>1.4528441270000001</v>
      </c>
      <c r="JI6">
        <v>40.555999499999999</v>
      </c>
      <c r="JJ6">
        <v>1.09172365</v>
      </c>
      <c r="JK6">
        <v>0.25844248359999999</v>
      </c>
      <c r="JL6">
        <v>0.66362755799999995</v>
      </c>
      <c r="JM6">
        <v>1.8642656390000001</v>
      </c>
      <c r="JN6">
        <v>7.1335041989999999</v>
      </c>
      <c r="JO6">
        <v>2.5806142799999998</v>
      </c>
      <c r="JP6">
        <v>1.378970697</v>
      </c>
      <c r="JQ6">
        <v>16.498399410000001</v>
      </c>
      <c r="JR6">
        <v>249.46720790000001</v>
      </c>
      <c r="JS6">
        <v>41.077392740000001</v>
      </c>
      <c r="JT6">
        <v>142.0134936</v>
      </c>
      <c r="JU6">
        <v>361.06761740000002</v>
      </c>
      <c r="JV6">
        <v>0.3527455464</v>
      </c>
      <c r="JW6">
        <v>0.14050714289999999</v>
      </c>
      <c r="JX6">
        <v>0.12039756610000001</v>
      </c>
      <c r="JY6">
        <v>0.86264182879999995</v>
      </c>
      <c r="JZ6">
        <v>0.45355075360000002</v>
      </c>
      <c r="KA6">
        <v>0.26115868850000001</v>
      </c>
      <c r="KB6">
        <v>0.13934584759999999</v>
      </c>
      <c r="KC6">
        <v>1.6301972870000001</v>
      </c>
      <c r="KD6">
        <v>0.80629629999999997</v>
      </c>
      <c r="KE6">
        <v>0.3665012003</v>
      </c>
      <c r="KF6">
        <v>0.31253599999999998</v>
      </c>
      <c r="KG6">
        <v>2.13537</v>
      </c>
      <c r="KH6">
        <v>0.50520336369999996</v>
      </c>
      <c r="KI6">
        <v>0.23659883970000001</v>
      </c>
      <c r="KJ6">
        <v>0.15585260000000001</v>
      </c>
      <c r="KK6">
        <v>1.472275</v>
      </c>
      <c r="KL6">
        <v>0.80629629999999997</v>
      </c>
      <c r="KM6">
        <v>0.3665012003</v>
      </c>
      <c r="KN6">
        <v>0.31253599999999998</v>
      </c>
      <c r="KO6">
        <v>2.13537</v>
      </c>
      <c r="KP6">
        <v>0.14810653809999999</v>
      </c>
      <c r="KQ6">
        <v>6.0462526500000002E-2</v>
      </c>
      <c r="KR6">
        <v>5.4298967199999999E-2</v>
      </c>
      <c r="KS6">
        <v>0.36033012590000002</v>
      </c>
      <c r="KT6">
        <v>0.185462983</v>
      </c>
      <c r="KU6">
        <v>7.8299898219999997E-2</v>
      </c>
      <c r="KV6">
        <v>7.4774965279999994E-2</v>
      </c>
      <c r="KW6">
        <v>0.4671967494</v>
      </c>
      <c r="KX6">
        <v>-0.28907529570000001</v>
      </c>
      <c r="KY6">
        <v>0.57020033530000003</v>
      </c>
      <c r="KZ6">
        <v>-2.560515841</v>
      </c>
      <c r="LA6">
        <v>0.82998864770000003</v>
      </c>
      <c r="LB6">
        <v>3.0218768090000001</v>
      </c>
      <c r="LC6">
        <v>1.352353189</v>
      </c>
      <c r="LD6">
        <v>1.697042554</v>
      </c>
      <c r="LE6">
        <v>11.01508991</v>
      </c>
      <c r="LF6">
        <v>1.5701076629999999</v>
      </c>
      <c r="LG6">
        <v>0.50240329169999998</v>
      </c>
      <c r="LH6">
        <v>0.7617599974</v>
      </c>
      <c r="LI6">
        <v>4.083419986</v>
      </c>
      <c r="LJ6">
        <v>4.335281337E-2</v>
      </c>
      <c r="LK6">
        <v>1.8730917060000001E-2</v>
      </c>
      <c r="LL6">
        <v>1.6809726210000001E-2</v>
      </c>
      <c r="LM6">
        <v>0.125669747</v>
      </c>
      <c r="LN6">
        <v>97.868265059999999</v>
      </c>
      <c r="LO6">
        <v>5.3512595469999997</v>
      </c>
      <c r="LP6">
        <v>71.855453760000003</v>
      </c>
      <c r="LQ6">
        <v>100</v>
      </c>
      <c r="LR6">
        <v>0.30821498720000001</v>
      </c>
      <c r="LS6">
        <v>0.1234955205</v>
      </c>
      <c r="LT6">
        <v>8.7527756250000005E-2</v>
      </c>
      <c r="LU6">
        <v>0.75503839260000005</v>
      </c>
      <c r="LV6">
        <v>14.114154790000001</v>
      </c>
      <c r="LW6">
        <v>5.3698566230000004</v>
      </c>
      <c r="LX6">
        <v>0</v>
      </c>
      <c r="LY6">
        <v>26.747894160000001</v>
      </c>
      <c r="LZ6">
        <v>6.8752054549999997</v>
      </c>
      <c r="MA6">
        <v>1.7704031570000001</v>
      </c>
      <c r="MB6">
        <v>2.4489276229999999</v>
      </c>
      <c r="MC6">
        <v>13.12749427</v>
      </c>
      <c r="MD6">
        <v>0.34265914349999999</v>
      </c>
      <c r="ME6">
        <v>0.136692591</v>
      </c>
      <c r="MF6">
        <v>0.1166447833</v>
      </c>
      <c r="MG6">
        <v>0.82000499339999999</v>
      </c>
      <c r="MH6">
        <v>0.43331759860000002</v>
      </c>
      <c r="MI6">
        <v>0.2360968057</v>
      </c>
      <c r="MJ6">
        <v>0.137257611</v>
      </c>
      <c r="MK6">
        <v>1.423771433</v>
      </c>
      <c r="ML6">
        <v>0.77597674210000001</v>
      </c>
      <c r="MM6">
        <v>0.33990951870000002</v>
      </c>
      <c r="MN6">
        <v>0.30910599999999999</v>
      </c>
      <c r="MO6">
        <v>1.9572799999999999</v>
      </c>
      <c r="MP6">
        <v>0.48387058820000001</v>
      </c>
      <c r="MQ6">
        <v>0.21755172850000001</v>
      </c>
      <c r="MR6">
        <v>0.17635066669999999</v>
      </c>
      <c r="MS6">
        <v>1.32325</v>
      </c>
      <c r="MT6">
        <v>0.77597674210000001</v>
      </c>
      <c r="MU6">
        <v>0.33990951870000002</v>
      </c>
      <c r="MV6">
        <v>0.30910599999999999</v>
      </c>
      <c r="MW6">
        <v>1.9572799999999999</v>
      </c>
      <c r="MX6">
        <v>0.1434590466</v>
      </c>
      <c r="MY6">
        <v>5.7183904229999999E-2</v>
      </c>
      <c r="MZ6">
        <v>5.4349280030000002E-2</v>
      </c>
      <c r="NA6">
        <v>0.3406364865</v>
      </c>
      <c r="NB6">
        <v>0.17919699059999999</v>
      </c>
      <c r="NC6">
        <v>7.3557670680000006E-2</v>
      </c>
      <c r="ND6">
        <v>7.4040780989999999E-2</v>
      </c>
      <c r="NE6">
        <v>0.4276211271</v>
      </c>
      <c r="NF6">
        <v>-0.27415031150000002</v>
      </c>
      <c r="NG6">
        <v>0.5431656131</v>
      </c>
      <c r="NH6">
        <v>-2.417929199</v>
      </c>
      <c r="NI6">
        <v>0.87654280760000003</v>
      </c>
      <c r="NJ6">
        <v>2.9639085089999999</v>
      </c>
      <c r="NK6">
        <v>1.244916677</v>
      </c>
      <c r="NL6">
        <v>1.672991919</v>
      </c>
      <c r="NM6">
        <v>10.27148266</v>
      </c>
      <c r="NN6">
        <v>1.5663096590000001</v>
      </c>
      <c r="NO6">
        <v>0.51538580970000003</v>
      </c>
      <c r="NP6">
        <v>0.70931999749999997</v>
      </c>
      <c r="NQ6">
        <v>4.0903199859999999</v>
      </c>
      <c r="NR6">
        <v>4.1565574850000002E-2</v>
      </c>
      <c r="NS6">
        <v>1.7440356930000001E-2</v>
      </c>
      <c r="NT6">
        <v>1.6527777560000002E-2</v>
      </c>
      <c r="NU6">
        <v>0.1189269421</v>
      </c>
      <c r="NV6">
        <v>98.179719500000004</v>
      </c>
      <c r="NW6">
        <v>4.669090314</v>
      </c>
      <c r="NX6">
        <v>75.34276869</v>
      </c>
      <c r="NY6">
        <v>100</v>
      </c>
      <c r="NZ6">
        <v>0.29956626759999999</v>
      </c>
      <c r="OA6">
        <v>0.1187404717</v>
      </c>
      <c r="OB6">
        <v>9.332746318E-2</v>
      </c>
      <c r="OC6">
        <v>0.78461828160000002</v>
      </c>
      <c r="OD6">
        <v>14.24586803</v>
      </c>
      <c r="OE6">
        <v>5.2893843890000003</v>
      </c>
      <c r="OF6">
        <v>0</v>
      </c>
      <c r="OG6">
        <v>27.738625240000001</v>
      </c>
      <c r="OH6">
        <v>6.8982540219999997</v>
      </c>
      <c r="OI6">
        <v>1.7511640550000001</v>
      </c>
      <c r="OJ6">
        <v>2.4447965040000001</v>
      </c>
      <c r="OK6">
        <v>14.09800941</v>
      </c>
      <c r="OL6">
        <v>0.75345663230000004</v>
      </c>
      <c r="OM6">
        <v>-0.8593225243</v>
      </c>
      <c r="ON6">
        <v>5.5206161720000004</v>
      </c>
      <c r="OO6">
        <v>3.2906900000000001</v>
      </c>
      <c r="OP6">
        <v>5.0456099999999999</v>
      </c>
      <c r="OQ6">
        <v>8.3362999999999996</v>
      </c>
      <c r="OR6">
        <v>0.55934019840000004</v>
      </c>
      <c r="OS6" s="2">
        <v>3.0591730080000001E-5</v>
      </c>
      <c r="OT6">
        <v>9.0888466220000002E-4</v>
      </c>
      <c r="OU6" s="2">
        <v>3.0591730080000001E-5</v>
      </c>
      <c r="OV6">
        <v>5.8197402889999998E-4</v>
      </c>
      <c r="OW6">
        <v>7.901859711E-4</v>
      </c>
      <c r="OX6">
        <v>1.186986911E-4</v>
      </c>
      <c r="OY6">
        <v>1.621769969</v>
      </c>
      <c r="OZ6">
        <v>0.62084604779999997</v>
      </c>
      <c r="PA6">
        <v>1.265603735</v>
      </c>
      <c r="PB6">
        <v>10.55427034</v>
      </c>
      <c r="PC6">
        <v>87.920847559999999</v>
      </c>
      <c r="PD6">
        <v>0.7252912735</v>
      </c>
      <c r="PE6">
        <v>-0.65687493850000001</v>
      </c>
      <c r="PF6">
        <v>4.1645479740000004</v>
      </c>
      <c r="PG6">
        <v>2.2519800000000001</v>
      </c>
      <c r="PH6">
        <v>3.4337499999999999</v>
      </c>
      <c r="PI6">
        <v>5.6857300000000004</v>
      </c>
      <c r="PJ6">
        <v>0.55039572140000004</v>
      </c>
      <c r="PK6" s="2">
        <v>2.8247654040000001E-5</v>
      </c>
      <c r="PL6">
        <v>9.0096963909999997E-4</v>
      </c>
      <c r="PM6" s="2">
        <v>2.8247654040000001E-5</v>
      </c>
      <c r="PN6">
        <v>5.8126771040000001E-4</v>
      </c>
      <c r="PO6">
        <v>7.8808228959999997E-4</v>
      </c>
      <c r="PP6">
        <v>1.128873495E-4</v>
      </c>
      <c r="PQ6">
        <v>1.620542626</v>
      </c>
      <c r="PR6">
        <v>0.5748190715</v>
      </c>
      <c r="PS6">
        <v>1.168906805</v>
      </c>
      <c r="PT6">
        <v>10.52351814</v>
      </c>
      <c r="PU6">
        <v>87.917705929999997</v>
      </c>
      <c r="PV6">
        <v>1.769476909</v>
      </c>
      <c r="PW6">
        <v>0.61338422240000001</v>
      </c>
      <c r="PX6">
        <v>1.298917844</v>
      </c>
      <c r="PY6">
        <v>9.612936565</v>
      </c>
      <c r="PZ6">
        <v>87.841128359999999</v>
      </c>
      <c r="QA6">
        <v>1.7672615570000001</v>
      </c>
      <c r="QB6">
        <v>0.56570770250000002</v>
      </c>
      <c r="QC6">
        <v>1.2001000639999999</v>
      </c>
      <c r="QD6">
        <v>9.611963179</v>
      </c>
      <c r="QE6">
        <v>87.842222550000002</v>
      </c>
      <c r="QF6" s="2">
        <v>3.0911027359999997E-5</v>
      </c>
      <c r="QG6">
        <v>6.4107393880000001E-4</v>
      </c>
      <c r="QH6">
        <v>8.351960612E-4</v>
      </c>
      <c r="QI6">
        <v>1.22740985E-4</v>
      </c>
      <c r="QJ6" s="2">
        <v>2.859249792E-5</v>
      </c>
      <c r="QK6">
        <v>6.4066810879999999E-4</v>
      </c>
      <c r="QL6">
        <v>8.3428189119999995E-4</v>
      </c>
      <c r="QM6">
        <v>1.166397461E-4</v>
      </c>
      <c r="QN6">
        <v>69.149164740000003</v>
      </c>
      <c r="QO6">
        <v>40.022185630000003</v>
      </c>
      <c r="QP6">
        <v>116.48398520000001</v>
      </c>
      <c r="QQ6">
        <v>45.490033169999997</v>
      </c>
      <c r="QR6">
        <v>66.160021150000006</v>
      </c>
      <c r="QS6">
        <v>40.022064309999998</v>
      </c>
      <c r="QT6">
        <v>116.4844508</v>
      </c>
      <c r="QU6">
        <v>45.488985300000003</v>
      </c>
    </row>
    <row r="7" spans="1:463" x14ac:dyDescent="0.2">
      <c r="A7" t="s">
        <v>277</v>
      </c>
      <c r="B7" s="2">
        <v>-3.1877010409999999E-12</v>
      </c>
      <c r="C7" s="2">
        <v>-3.2071449220000001E-11</v>
      </c>
      <c r="D7">
        <v>3.9950502919999999E-2</v>
      </c>
      <c r="E7">
        <v>9.3026130560000003E-2</v>
      </c>
      <c r="F7">
        <v>0.54522209860000004</v>
      </c>
      <c r="G7">
        <v>0.1227221335</v>
      </c>
      <c r="H7">
        <v>0.28576274080000003</v>
      </c>
      <c r="I7">
        <v>1.674842975</v>
      </c>
      <c r="J7">
        <v>32.513674340000001</v>
      </c>
      <c r="K7">
        <v>32.553624839999998</v>
      </c>
      <c r="L7">
        <v>32.553624839999998</v>
      </c>
      <c r="M7">
        <v>32.553624839999998</v>
      </c>
      <c r="N7">
        <v>32.460598709999999</v>
      </c>
      <c r="O7">
        <v>32.553624839999998</v>
      </c>
      <c r="P7">
        <v>32.008402740000001</v>
      </c>
      <c r="Q7">
        <v>32.553624839999998</v>
      </c>
      <c r="R7">
        <v>3.9096723120000001</v>
      </c>
      <c r="S7">
        <v>1.4736734970000001</v>
      </c>
      <c r="T7">
        <v>1.4282746930000001</v>
      </c>
      <c r="U7">
        <v>6.5029230919999996</v>
      </c>
      <c r="V7">
        <v>3.2189004780000001</v>
      </c>
      <c r="W7">
        <v>0.55244429969999997</v>
      </c>
      <c r="X7">
        <v>1.4897969019999999</v>
      </c>
      <c r="Y7">
        <v>4.2803302429999999</v>
      </c>
      <c r="Z7">
        <v>7.1285727889999997</v>
      </c>
      <c r="AA7">
        <v>1.5436148139999999</v>
      </c>
      <c r="AB7">
        <v>3.74831</v>
      </c>
      <c r="AC7">
        <v>10.05316</v>
      </c>
      <c r="AD7">
        <v>1.540094122</v>
      </c>
      <c r="AE7">
        <v>0.2294296016</v>
      </c>
      <c r="AF7">
        <v>1.042278864</v>
      </c>
      <c r="AG7">
        <v>2.3238003329999999</v>
      </c>
      <c r="AH7">
        <v>7.1285727889999997</v>
      </c>
      <c r="AI7">
        <v>1.5436148139999999</v>
      </c>
      <c r="AJ7">
        <v>3.74831</v>
      </c>
      <c r="AK7">
        <v>10.05316</v>
      </c>
      <c r="AL7">
        <v>0.49104073479999999</v>
      </c>
      <c r="AM7">
        <v>0.1063307651</v>
      </c>
      <c r="AN7">
        <v>0.33703230159999997</v>
      </c>
      <c r="AO7">
        <v>0.88934606149999995</v>
      </c>
      <c r="AP7">
        <v>0.67811154880000002</v>
      </c>
      <c r="AQ7">
        <v>0.13540747789999999</v>
      </c>
      <c r="AR7">
        <v>0.44912500020000001</v>
      </c>
      <c r="AS7">
        <v>1.0921346380000001</v>
      </c>
      <c r="AT7">
        <v>2.6034042819999999E-2</v>
      </c>
      <c r="AU7">
        <v>1.1186812859999999</v>
      </c>
      <c r="AV7">
        <v>-1.704400388</v>
      </c>
      <c r="AW7">
        <v>3.8507611540000002</v>
      </c>
      <c r="AX7">
        <v>8.2471575470000005</v>
      </c>
      <c r="AY7">
        <v>5.2513667110000002</v>
      </c>
      <c r="AZ7">
        <v>2.6204495799999998</v>
      </c>
      <c r="BA7">
        <v>29.83576541</v>
      </c>
      <c r="BB7">
        <v>4.0297200280000001E-2</v>
      </c>
      <c r="BC7">
        <v>9.2870439439999997E-3</v>
      </c>
      <c r="BD7">
        <v>2.8678325479999999E-2</v>
      </c>
      <c r="BE7">
        <v>7.5116296040000002E-2</v>
      </c>
      <c r="BF7">
        <v>9.3884355179999996</v>
      </c>
      <c r="BG7">
        <v>0.94856183520000004</v>
      </c>
      <c r="BH7">
        <v>7.0735450330000003</v>
      </c>
      <c r="BI7">
        <v>12.43719243</v>
      </c>
      <c r="BJ7">
        <v>1.097400097</v>
      </c>
      <c r="BK7">
        <v>2.7394559100000002</v>
      </c>
      <c r="BL7">
        <v>2.2114108800000001E-2</v>
      </c>
      <c r="BM7">
        <v>21.338195420000002</v>
      </c>
      <c r="BN7">
        <v>0.93540339139999995</v>
      </c>
      <c r="BO7">
        <v>0.24201159750000001</v>
      </c>
      <c r="BP7">
        <v>0.64297195289999998</v>
      </c>
      <c r="BQ7">
        <v>1.97413599</v>
      </c>
      <c r="BR7">
        <v>259.30336699999998</v>
      </c>
      <c r="BS7">
        <v>49.863933889999998</v>
      </c>
      <c r="BT7">
        <v>133.1269049</v>
      </c>
      <c r="BU7">
        <v>348.6953939</v>
      </c>
      <c r="BV7">
        <v>1.7550635889999999</v>
      </c>
      <c r="BW7">
        <v>0.15923720799999999</v>
      </c>
      <c r="BX7">
        <v>1.261833642</v>
      </c>
      <c r="BY7">
        <v>2.0261312720000002</v>
      </c>
      <c r="BZ7">
        <v>2.3806050949999999</v>
      </c>
      <c r="CA7">
        <v>0.2288278248</v>
      </c>
      <c r="CB7">
        <v>1.488037716</v>
      </c>
      <c r="CC7">
        <v>3.0481135209999999</v>
      </c>
      <c r="CD7">
        <v>4.1356686839999997</v>
      </c>
      <c r="CE7">
        <v>0.248264595</v>
      </c>
      <c r="CF7">
        <v>2.9745300000000001</v>
      </c>
      <c r="CG7">
        <v>4.3724299999999996</v>
      </c>
      <c r="CH7">
        <v>1.353540856</v>
      </c>
      <c r="CI7">
        <v>0.182752465</v>
      </c>
      <c r="CJ7">
        <v>1.0174813810000001</v>
      </c>
      <c r="CK7">
        <v>2.170477065</v>
      </c>
      <c r="CL7">
        <v>4.1356686839999997</v>
      </c>
      <c r="CM7">
        <v>0.248264595</v>
      </c>
      <c r="CN7">
        <v>2.9745300000000001</v>
      </c>
      <c r="CO7">
        <v>4.3724299999999996</v>
      </c>
      <c r="CP7">
        <v>0.47336904270000002</v>
      </c>
      <c r="CQ7">
        <v>0.1031958285</v>
      </c>
      <c r="CR7">
        <v>0.3348798691</v>
      </c>
      <c r="CS7">
        <v>0.8601710266</v>
      </c>
      <c r="CT7">
        <v>0.61889620769999998</v>
      </c>
      <c r="CU7">
        <v>0.1206128777</v>
      </c>
      <c r="CV7">
        <v>0.44619638560000002</v>
      </c>
      <c r="CW7">
        <v>1.0196603259999999</v>
      </c>
      <c r="CX7">
        <v>-0.46267051860000002</v>
      </c>
      <c r="CY7">
        <v>0.44118622349999997</v>
      </c>
      <c r="CZ7">
        <v>-1.5432456050000001</v>
      </c>
      <c r="DA7">
        <v>0.58866672450000002</v>
      </c>
      <c r="DB7">
        <v>4.0511434480000004</v>
      </c>
      <c r="DC7">
        <v>0.6479450967</v>
      </c>
      <c r="DD7">
        <v>2.2463970619999998</v>
      </c>
      <c r="DE7">
        <v>5.9126356629999997</v>
      </c>
      <c r="DF7">
        <v>3.484747949E-2</v>
      </c>
      <c r="DG7">
        <v>8.0589802140000003E-3</v>
      </c>
      <c r="DH7">
        <v>2.6731551629999999E-2</v>
      </c>
      <c r="DI7">
        <v>6.9775280659999994E-2</v>
      </c>
      <c r="DJ7">
        <v>8.6795006810000004</v>
      </c>
      <c r="DK7">
        <v>0.66969339390000004</v>
      </c>
      <c r="DL7">
        <v>6.2786304240000002</v>
      </c>
      <c r="DM7">
        <v>10.000030280000001</v>
      </c>
      <c r="DN7">
        <v>11.125541289999999</v>
      </c>
      <c r="DO7">
        <v>7.5066625030000003</v>
      </c>
      <c r="DP7">
        <v>2.5210084030000002</v>
      </c>
      <c r="DQ7">
        <v>45.394599679999999</v>
      </c>
      <c r="DR7">
        <v>0.93316691409999997</v>
      </c>
      <c r="DS7">
        <v>0.24195823080000001</v>
      </c>
      <c r="DT7">
        <v>0.64306765529999999</v>
      </c>
      <c r="DU7">
        <v>1.973715484</v>
      </c>
      <c r="DV7">
        <v>298.90061500000002</v>
      </c>
      <c r="DW7">
        <v>53.176433830000001</v>
      </c>
      <c r="DX7">
        <v>143.3172308</v>
      </c>
      <c r="DY7">
        <v>374.08976990000002</v>
      </c>
      <c r="DZ7">
        <v>2.0430311460000001</v>
      </c>
      <c r="EA7">
        <v>0.47837105029999999</v>
      </c>
      <c r="EB7">
        <v>0.94418847400000006</v>
      </c>
      <c r="EC7">
        <v>3.58504478</v>
      </c>
      <c r="ED7">
        <v>2.2727125460000002</v>
      </c>
      <c r="EE7">
        <v>0.45853357929999999</v>
      </c>
      <c r="EF7">
        <v>1.2199416569999999</v>
      </c>
      <c r="EG7">
        <v>3.331489393</v>
      </c>
      <c r="EH7">
        <v>4.3157436919999999</v>
      </c>
      <c r="EI7">
        <v>0.67190668259999997</v>
      </c>
      <c r="EJ7">
        <v>2.5790328570000001</v>
      </c>
      <c r="EK7">
        <v>5.9043628569999997</v>
      </c>
      <c r="EL7">
        <v>1.514534227</v>
      </c>
      <c r="EM7">
        <v>0.235819007</v>
      </c>
      <c r="EN7">
        <v>0.96908062829999997</v>
      </c>
      <c r="EO7">
        <v>2.3627650600000001</v>
      </c>
      <c r="EP7">
        <v>6.6983501580000002</v>
      </c>
      <c r="EQ7">
        <v>1.4717480409999999</v>
      </c>
      <c r="ER7">
        <v>3.4976500000000001</v>
      </c>
      <c r="ES7">
        <v>10.08649</v>
      </c>
      <c r="ET7">
        <v>0.46781046869999998</v>
      </c>
      <c r="EU7">
        <v>9.5061848039999994E-2</v>
      </c>
      <c r="EV7">
        <v>0.26974471770000003</v>
      </c>
      <c r="EW7">
        <v>0.80951717020000002</v>
      </c>
      <c r="EX7">
        <v>0.62778484109999999</v>
      </c>
      <c r="EY7">
        <v>0.11767458159999999</v>
      </c>
      <c r="EZ7">
        <v>0.36299007700000002</v>
      </c>
      <c r="FA7">
        <v>1.0009604910000001</v>
      </c>
      <c r="FB7">
        <v>-0.22864668490000001</v>
      </c>
      <c r="FC7">
        <v>0.61158959940000002</v>
      </c>
      <c r="FD7">
        <v>-1.5015382390000001</v>
      </c>
      <c r="FE7">
        <v>1.669440714</v>
      </c>
      <c r="FF7">
        <v>5.4401432940000003</v>
      </c>
      <c r="FG7">
        <v>1.661684282</v>
      </c>
      <c r="FH7">
        <v>2.9407381570000002</v>
      </c>
      <c r="FI7">
        <v>12.74271126</v>
      </c>
      <c r="FJ7">
        <v>3.61552965</v>
      </c>
      <c r="FK7">
        <v>1.3959171210000001</v>
      </c>
      <c r="FL7">
        <v>1.1297056169999999</v>
      </c>
      <c r="FM7">
        <v>6.2369697119999996</v>
      </c>
      <c r="FN7">
        <v>3.0828205080000002</v>
      </c>
      <c r="FO7">
        <v>0.54139394480000003</v>
      </c>
      <c r="FP7">
        <v>1.504915166</v>
      </c>
      <c r="FQ7">
        <v>4.1363451070000004</v>
      </c>
      <c r="FR7">
        <v>6.2256989999999996</v>
      </c>
      <c r="FS7">
        <v>1.3966099519999999</v>
      </c>
      <c r="FT7">
        <v>3.3596200000000001</v>
      </c>
      <c r="FU7">
        <v>9.3637800000000002</v>
      </c>
      <c r="FV7">
        <v>4.415171526</v>
      </c>
      <c r="FW7">
        <v>1.099330191</v>
      </c>
      <c r="FX7">
        <v>2.3514599999999999</v>
      </c>
      <c r="FY7">
        <v>8.1027799999999992</v>
      </c>
      <c r="FZ7">
        <v>3.8542038549999998E-2</v>
      </c>
      <c r="GA7">
        <v>8.6439507719999996E-3</v>
      </c>
      <c r="GB7">
        <v>2.674822957E-2</v>
      </c>
      <c r="GC7">
        <v>7.1069999750000001E-2</v>
      </c>
      <c r="GD7">
        <v>9.212182898</v>
      </c>
      <c r="GE7">
        <v>0.91158079339999998</v>
      </c>
      <c r="GF7">
        <v>6.9923406879999996</v>
      </c>
      <c r="GG7">
        <v>12.295812870000001</v>
      </c>
      <c r="GH7">
        <v>1.7115812290000001</v>
      </c>
      <c r="GI7">
        <v>4.6341253509999998</v>
      </c>
      <c r="GJ7">
        <v>2.4624476730000001E-2</v>
      </c>
      <c r="GK7">
        <v>44.96615207</v>
      </c>
      <c r="GL7">
        <v>0.89807310740000001</v>
      </c>
      <c r="GM7">
        <v>0.20775674250000001</v>
      </c>
      <c r="GN7">
        <v>0.51315354280000003</v>
      </c>
      <c r="GO7">
        <v>1.747939133</v>
      </c>
      <c r="GP7">
        <v>3.1167845669999998</v>
      </c>
      <c r="GQ7">
        <v>1.707216206</v>
      </c>
      <c r="GR7">
        <v>0.64023639499999996</v>
      </c>
      <c r="GS7">
        <v>11.351883770000001</v>
      </c>
      <c r="GT7">
        <v>270.5914449</v>
      </c>
      <c r="GU7">
        <v>51.351519490000001</v>
      </c>
      <c r="GV7">
        <v>140.70634630000001</v>
      </c>
      <c r="GW7">
        <v>373.85651910000001</v>
      </c>
      <c r="GX7">
        <v>1.485854483</v>
      </c>
      <c r="GY7">
        <v>0.1347914939</v>
      </c>
      <c r="GZ7">
        <v>0.9442643047</v>
      </c>
      <c r="HA7">
        <v>1.785396094</v>
      </c>
      <c r="HB7">
        <v>1.961211998</v>
      </c>
      <c r="HC7">
        <v>0.30242739140000002</v>
      </c>
      <c r="HD7">
        <v>1.203778067</v>
      </c>
      <c r="HE7">
        <v>2.735264253</v>
      </c>
      <c r="HF7">
        <v>3.4470664809999998</v>
      </c>
      <c r="HG7">
        <v>0.35156057369999999</v>
      </c>
      <c r="HH7">
        <v>2.4791599999999998</v>
      </c>
      <c r="HI7">
        <v>4.2603200000000001</v>
      </c>
      <c r="HJ7">
        <v>1.340553895</v>
      </c>
      <c r="HK7">
        <v>0.1853573355</v>
      </c>
      <c r="HL7">
        <v>0.93670782180000001</v>
      </c>
      <c r="HM7">
        <v>2.1441864370000001</v>
      </c>
      <c r="HN7">
        <v>4.1371503680000004</v>
      </c>
      <c r="HO7">
        <v>0.35846841099999999</v>
      </c>
      <c r="HP7">
        <v>3.07199</v>
      </c>
      <c r="HQ7">
        <v>5.2463800000000003</v>
      </c>
      <c r="HR7">
        <v>0.44966394920000002</v>
      </c>
      <c r="HS7">
        <v>9.1152076420000006E-2</v>
      </c>
      <c r="HT7">
        <v>0.26932640000000002</v>
      </c>
      <c r="HU7">
        <v>0.78635909989999997</v>
      </c>
      <c r="HV7">
        <v>0.58085898970000005</v>
      </c>
      <c r="HW7">
        <v>0.1057972505</v>
      </c>
      <c r="HX7">
        <v>0.36139615590000002</v>
      </c>
      <c r="HY7">
        <v>0.93480443749999997</v>
      </c>
      <c r="HZ7">
        <v>-0.39837273140000001</v>
      </c>
      <c r="IA7">
        <v>0.40731694400000001</v>
      </c>
      <c r="IB7">
        <v>-1.453274036</v>
      </c>
      <c r="IC7">
        <v>0.57211730589999998</v>
      </c>
      <c r="ID7">
        <v>3.857224736</v>
      </c>
      <c r="IE7">
        <v>0.59338649060000004</v>
      </c>
      <c r="IF7">
        <v>2.500554433</v>
      </c>
      <c r="IG7">
        <v>6.0579528869999999</v>
      </c>
      <c r="IH7">
        <v>1.781448393</v>
      </c>
      <c r="II7">
        <v>0.2035409171</v>
      </c>
      <c r="IJ7">
        <v>1.129792876</v>
      </c>
      <c r="IK7">
        <v>2.3787549690000001</v>
      </c>
      <c r="IL7">
        <v>2.3557019760000002</v>
      </c>
      <c r="IM7">
        <v>0.2641137248</v>
      </c>
      <c r="IN7">
        <v>1.4953753240000001</v>
      </c>
      <c r="IO7">
        <v>3.2484787740000001</v>
      </c>
      <c r="IP7">
        <v>3.9670517890000001</v>
      </c>
      <c r="IQ7">
        <v>0.33127697789999999</v>
      </c>
      <c r="IR7">
        <v>2.8976899999999999</v>
      </c>
      <c r="IS7">
        <v>5.1535500000000001</v>
      </c>
      <c r="IT7">
        <v>3.5676671579999999</v>
      </c>
      <c r="IU7">
        <v>0.52666554799999998</v>
      </c>
      <c r="IV7">
        <v>2.3514599999999999</v>
      </c>
      <c r="IW7">
        <v>4.8550700000000004</v>
      </c>
      <c r="IX7">
        <v>3.3839386229999997E-2</v>
      </c>
      <c r="IY7">
        <v>7.4125468839999998E-3</v>
      </c>
      <c r="IZ7">
        <v>2.5941408360000001E-2</v>
      </c>
      <c r="JA7">
        <v>6.3876551500000003E-2</v>
      </c>
      <c r="JB7">
        <v>8.5693749510000004</v>
      </c>
      <c r="JC7">
        <v>0.66560269100000002</v>
      </c>
      <c r="JD7">
        <v>6.2541153439999997</v>
      </c>
      <c r="JE7">
        <v>9.9394849520000008</v>
      </c>
      <c r="JF7">
        <v>8.8498658490000004</v>
      </c>
      <c r="JG7">
        <v>5.8843765829999999</v>
      </c>
      <c r="JH7">
        <v>0.29549372080000003</v>
      </c>
      <c r="JI7">
        <v>44.9754632</v>
      </c>
      <c r="JJ7">
        <v>0.89065163430000005</v>
      </c>
      <c r="JK7">
        <v>0.20813322440000001</v>
      </c>
      <c r="JL7">
        <v>0.51292757680000001</v>
      </c>
      <c r="JM7">
        <v>1.7486442259999999</v>
      </c>
      <c r="JN7">
        <v>5.8075962280000004</v>
      </c>
      <c r="JO7">
        <v>2.342031999</v>
      </c>
      <c r="JP7">
        <v>1.0096035459999999</v>
      </c>
      <c r="JQ7">
        <v>15.833538539999999</v>
      </c>
      <c r="JR7">
        <v>306.85586050000001</v>
      </c>
      <c r="JS7">
        <v>53.294731370000001</v>
      </c>
      <c r="JT7">
        <v>156.55197039999999</v>
      </c>
      <c r="JU7">
        <v>385.4840825</v>
      </c>
      <c r="JV7">
        <v>0.37101826290000001</v>
      </c>
      <c r="JW7">
        <v>0.19125632919999999</v>
      </c>
      <c r="JX7">
        <v>0.13695050510000001</v>
      </c>
      <c r="JY7">
        <v>1.400408213</v>
      </c>
      <c r="JZ7">
        <v>0.38099593180000002</v>
      </c>
      <c r="KA7">
        <v>0.18919092679999999</v>
      </c>
      <c r="KB7">
        <v>0.16654883240000001</v>
      </c>
      <c r="KC7">
        <v>1.3706142130000001</v>
      </c>
      <c r="KD7">
        <v>0.75201419469999997</v>
      </c>
      <c r="KE7">
        <v>0.30540573879999999</v>
      </c>
      <c r="KF7">
        <v>0.32630900000000002</v>
      </c>
      <c r="KG7">
        <v>1.96966</v>
      </c>
      <c r="KH7">
        <v>0.47909635439999998</v>
      </c>
      <c r="KI7">
        <v>0.23787072149999999</v>
      </c>
      <c r="KJ7">
        <v>0.1638113333</v>
      </c>
      <c r="KK7">
        <v>1.70059</v>
      </c>
      <c r="KL7">
        <v>0.75201419469999997</v>
      </c>
      <c r="KM7">
        <v>0.30540573879999999</v>
      </c>
      <c r="KN7">
        <v>0.32630900000000002</v>
      </c>
      <c r="KO7">
        <v>1.96966</v>
      </c>
      <c r="KP7">
        <v>0.1309733022</v>
      </c>
      <c r="KQ7">
        <v>4.7551328919999997E-2</v>
      </c>
      <c r="KR7">
        <v>6.0978810270000003E-2</v>
      </c>
      <c r="KS7">
        <v>0.2800006665</v>
      </c>
      <c r="KT7">
        <v>0.16650519450000001</v>
      </c>
      <c r="KU7">
        <v>6.2544301999999996E-2</v>
      </c>
      <c r="KV7">
        <v>7.7058306889999997E-2</v>
      </c>
      <c r="KW7">
        <v>0.38701500550000001</v>
      </c>
      <c r="KX7">
        <v>-2.9206726200000001E-2</v>
      </c>
      <c r="KY7">
        <v>0.76224206439999997</v>
      </c>
      <c r="KZ7">
        <v>-1.796018914</v>
      </c>
      <c r="LA7">
        <v>2.7135669029999998</v>
      </c>
      <c r="LB7">
        <v>3.3448567069999999</v>
      </c>
      <c r="LC7">
        <v>1.691309535</v>
      </c>
      <c r="LD7">
        <v>1.8202545320000001</v>
      </c>
      <c r="LE7">
        <v>13.57534772</v>
      </c>
      <c r="LF7">
        <v>1.559287715</v>
      </c>
      <c r="LG7">
        <v>0.51025723369999998</v>
      </c>
      <c r="LH7">
        <v>0.80867999719999994</v>
      </c>
      <c r="LI7">
        <v>3.9536999860000002</v>
      </c>
      <c r="LJ7">
        <v>3.992596239E-2</v>
      </c>
      <c r="LK7">
        <v>1.6441589440000001E-2</v>
      </c>
      <c r="LL7">
        <v>1.7117864649999998E-2</v>
      </c>
      <c r="LM7">
        <v>0.10168489040000001</v>
      </c>
      <c r="LN7">
        <v>97.523237809999998</v>
      </c>
      <c r="LO7">
        <v>11.575222549999999</v>
      </c>
      <c r="LP7">
        <v>7.3418841219999997</v>
      </c>
      <c r="LQ7">
        <v>100</v>
      </c>
      <c r="LR7">
        <v>0.26879752540000001</v>
      </c>
      <c r="LS7">
        <v>9.633163971E-2</v>
      </c>
      <c r="LT7">
        <v>0.1188050999</v>
      </c>
      <c r="LU7">
        <v>0.60014260900000005</v>
      </c>
      <c r="LV7">
        <v>12.880751569999999</v>
      </c>
      <c r="LW7">
        <v>4.8381840619999998</v>
      </c>
      <c r="LX7">
        <v>2.3219814240000001</v>
      </c>
      <c r="LY7">
        <v>26.32963135</v>
      </c>
      <c r="LZ7">
        <v>6.9719984339999996</v>
      </c>
      <c r="MA7">
        <v>1.878800413</v>
      </c>
      <c r="MB7">
        <v>2.529276383</v>
      </c>
      <c r="MC7">
        <v>12.36583078</v>
      </c>
      <c r="MD7">
        <v>0.30466343709999999</v>
      </c>
      <c r="ME7">
        <v>0.11802329</v>
      </c>
      <c r="MF7">
        <v>0.13792068930000001</v>
      </c>
      <c r="MG7">
        <v>0.73151778639999998</v>
      </c>
      <c r="MH7">
        <v>0.35586578390000001</v>
      </c>
      <c r="MI7">
        <v>0.17632023869999999</v>
      </c>
      <c r="MJ7">
        <v>0.13286461259999999</v>
      </c>
      <c r="MK7">
        <v>1.200036791</v>
      </c>
      <c r="ML7">
        <v>0.66052922110000001</v>
      </c>
      <c r="MM7">
        <v>0.26440850649999997</v>
      </c>
      <c r="MN7">
        <v>0.29025899999999999</v>
      </c>
      <c r="MO7">
        <v>1.7749600000000001</v>
      </c>
      <c r="MP7">
        <v>0.4112204398</v>
      </c>
      <c r="MQ7">
        <v>0.18344772479999999</v>
      </c>
      <c r="MR7">
        <v>0.1472986667</v>
      </c>
      <c r="MS7">
        <v>1.20608</v>
      </c>
      <c r="MT7">
        <v>0.66052922110000001</v>
      </c>
      <c r="MU7">
        <v>0.26440850649999997</v>
      </c>
      <c r="MV7">
        <v>0.29025899999999999</v>
      </c>
      <c r="MW7">
        <v>1.7749600000000001</v>
      </c>
      <c r="MX7">
        <v>0.120995916</v>
      </c>
      <c r="MY7">
        <v>4.6208488450000001E-2</v>
      </c>
      <c r="MZ7">
        <v>5.392375906E-2</v>
      </c>
      <c r="NA7">
        <v>0.27381655719999998</v>
      </c>
      <c r="NB7">
        <v>0.15087705700000001</v>
      </c>
      <c r="NC7">
        <v>5.874364411E-2</v>
      </c>
      <c r="ND7">
        <v>6.8795768320000006E-2</v>
      </c>
      <c r="NE7">
        <v>0.36138098089999998</v>
      </c>
      <c r="NF7">
        <v>-0.1923071415</v>
      </c>
      <c r="NG7">
        <v>0.51674509660000001</v>
      </c>
      <c r="NH7">
        <v>-1.636911751</v>
      </c>
      <c r="NI7">
        <v>1.6359243649999999</v>
      </c>
      <c r="NJ7">
        <v>2.8896624829999999</v>
      </c>
      <c r="NK7">
        <v>0.79623173979999995</v>
      </c>
      <c r="NL7">
        <v>1.843576439</v>
      </c>
      <c r="NM7">
        <v>7.4783392859999998</v>
      </c>
      <c r="NN7">
        <v>1.5154272630000001</v>
      </c>
      <c r="NO7">
        <v>0.4565604345</v>
      </c>
      <c r="NP7">
        <v>0.68723999759999999</v>
      </c>
      <c r="NQ7">
        <v>3.967499986</v>
      </c>
      <c r="NR7">
        <v>3.5305196390000002E-2</v>
      </c>
      <c r="NS7">
        <v>1.508507683E-2</v>
      </c>
      <c r="NT7">
        <v>1.3854723500000001E-2</v>
      </c>
      <c r="NU7">
        <v>9.7385719149999994E-2</v>
      </c>
      <c r="NV7">
        <v>99.324639509999997</v>
      </c>
      <c r="NW7">
        <v>2.475609451</v>
      </c>
      <c r="NX7">
        <v>85.736399820000003</v>
      </c>
      <c r="NY7">
        <v>100</v>
      </c>
      <c r="NZ7">
        <v>0.25404189869999999</v>
      </c>
      <c r="OA7">
        <v>9.468893599E-2</v>
      </c>
      <c r="OB7">
        <v>0.1170068452</v>
      </c>
      <c r="OC7">
        <v>0.59060225700000002</v>
      </c>
      <c r="OD7">
        <v>13.762108700000001</v>
      </c>
      <c r="OE7">
        <v>4.7396432620000004</v>
      </c>
      <c r="OF7">
        <v>2.9632905790000001</v>
      </c>
      <c r="OG7">
        <v>27.086129230000001</v>
      </c>
      <c r="OH7">
        <v>7.122460749</v>
      </c>
      <c r="OI7">
        <v>1.9254884750000001</v>
      </c>
      <c r="OJ7">
        <v>2.5204789000000001</v>
      </c>
      <c r="OK7">
        <v>14.550957500000001</v>
      </c>
      <c r="OL7">
        <v>0.6783874849</v>
      </c>
      <c r="OM7">
        <v>-3.0355927550000002E-2</v>
      </c>
      <c r="ON7">
        <v>9.3595113150000007</v>
      </c>
      <c r="OO7">
        <v>6.5903</v>
      </c>
      <c r="OP7">
        <v>4.1908399999999997</v>
      </c>
      <c r="OQ7">
        <v>10.781140000000001</v>
      </c>
      <c r="OR7">
        <v>0.48100277419999998</v>
      </c>
      <c r="OS7" s="2">
        <v>3.7166833709999999E-5</v>
      </c>
      <c r="OT7">
        <v>7.7808742810000001E-4</v>
      </c>
      <c r="OU7" s="2">
        <v>3.7166833709999999E-5</v>
      </c>
      <c r="OV7">
        <v>4.8272353199999999E-4</v>
      </c>
      <c r="OW7">
        <v>6.76156468E-4</v>
      </c>
      <c r="OX7">
        <v>1.019309601E-4</v>
      </c>
      <c r="OY7">
        <v>1.3367957720000001</v>
      </c>
      <c r="OZ7">
        <v>0.7414106399</v>
      </c>
      <c r="PA7">
        <v>1.109982053</v>
      </c>
      <c r="PB7">
        <v>11.47206454</v>
      </c>
      <c r="PC7">
        <v>88.013801999999998</v>
      </c>
      <c r="PD7">
        <v>0.61858500900000002</v>
      </c>
      <c r="PE7">
        <v>-0.62325475279999998</v>
      </c>
      <c r="PF7">
        <v>4.3253058370000002</v>
      </c>
      <c r="PG7">
        <v>2.17957</v>
      </c>
      <c r="PH7">
        <v>2.9440900000000001</v>
      </c>
      <c r="PI7">
        <v>5.1236600000000001</v>
      </c>
      <c r="PJ7">
        <v>0.4636490962</v>
      </c>
      <c r="PK7" s="2">
        <v>2.680814719E-5</v>
      </c>
      <c r="PL7">
        <v>7.6614459949999995E-4</v>
      </c>
      <c r="PM7" s="2">
        <v>2.680814719E-5</v>
      </c>
      <c r="PN7">
        <v>4.7961453440000001E-4</v>
      </c>
      <c r="PO7">
        <v>6.6893546560000002E-4</v>
      </c>
      <c r="PP7" s="2">
        <v>9.7209133889999996E-5</v>
      </c>
      <c r="PQ7">
        <v>1.329917024</v>
      </c>
      <c r="PR7">
        <v>0.55686412230000004</v>
      </c>
      <c r="PS7">
        <v>1.0294626389999999</v>
      </c>
      <c r="PT7">
        <v>11.34914259</v>
      </c>
      <c r="PU7">
        <v>87.957868840000003</v>
      </c>
      <c r="PV7">
        <v>1.4468704189999999</v>
      </c>
      <c r="PW7">
        <v>0.75527078329999997</v>
      </c>
      <c r="PX7">
        <v>1.137427462</v>
      </c>
      <c r="PY7">
        <v>11.64832358</v>
      </c>
      <c r="PZ7">
        <v>88.150164059999994</v>
      </c>
      <c r="QA7">
        <v>1.4437236630000001</v>
      </c>
      <c r="QB7">
        <v>0.56759567710000003</v>
      </c>
      <c r="QC7">
        <v>1.04832909</v>
      </c>
      <c r="QD7">
        <v>11.577969299999999</v>
      </c>
      <c r="QE7">
        <v>88.141894350000001</v>
      </c>
      <c r="QF7" s="2">
        <v>3.7821136380000001E-5</v>
      </c>
      <c r="QG7">
        <v>5.2353674920000001E-4</v>
      </c>
      <c r="QH7">
        <v>7.3311325079999999E-4</v>
      </c>
      <c r="QI7">
        <v>1.0561706729999999E-4</v>
      </c>
      <c r="QJ7" s="2">
        <v>2.7111018940000001E-5</v>
      </c>
      <c r="QK7">
        <v>5.2228296360000003E-4</v>
      </c>
      <c r="QL7">
        <v>7.2847703640000004E-4</v>
      </c>
      <c r="QM7">
        <v>1.002627777E-4</v>
      </c>
      <c r="QN7">
        <v>83.116446539999998</v>
      </c>
      <c r="QO7">
        <v>40.031728940000001</v>
      </c>
      <c r="QP7">
        <v>45.742875750000003</v>
      </c>
      <c r="QQ7">
        <v>51.511005009999998</v>
      </c>
      <c r="QR7">
        <v>82.498215669999993</v>
      </c>
      <c r="QS7">
        <v>40.024058910000001</v>
      </c>
      <c r="QT7">
        <v>45.729778439999997</v>
      </c>
      <c r="QU7">
        <v>51.505040970000003</v>
      </c>
    </row>
    <row r="8" spans="1:463" x14ac:dyDescent="0.2">
      <c r="A8" t="s">
        <v>278</v>
      </c>
      <c r="B8" s="2">
        <v>2.5699364059999998E-11</v>
      </c>
      <c r="C8" s="2">
        <v>-6.3919863110000005E-11</v>
      </c>
      <c r="D8">
        <v>3.6532104949999998E-2</v>
      </c>
      <c r="E8">
        <v>9.1896821360000006E-2</v>
      </c>
      <c r="F8">
        <v>0.57715888640000002</v>
      </c>
      <c r="G8">
        <v>0.11222131220000001</v>
      </c>
      <c r="H8">
        <v>0.28229366719999999</v>
      </c>
      <c r="I8">
        <v>1.7729481410000001</v>
      </c>
      <c r="J8">
        <v>32.517092730000002</v>
      </c>
      <c r="K8">
        <v>32.553624839999998</v>
      </c>
      <c r="L8">
        <v>32.553624839999998</v>
      </c>
      <c r="M8">
        <v>32.553624839999998</v>
      </c>
      <c r="N8">
        <v>32.461728020000002</v>
      </c>
      <c r="O8">
        <v>32.553624839999998</v>
      </c>
      <c r="P8">
        <v>31.976465950000001</v>
      </c>
      <c r="Q8">
        <v>32.553624839999998</v>
      </c>
      <c r="R8">
        <v>3.2514641110000002</v>
      </c>
      <c r="S8">
        <v>1.133343454</v>
      </c>
      <c r="T8">
        <v>1.53339395</v>
      </c>
      <c r="U8">
        <v>5.5996949310000002</v>
      </c>
      <c r="V8">
        <v>4.0695740469999997</v>
      </c>
      <c r="W8">
        <v>0.68638259000000001</v>
      </c>
      <c r="X8">
        <v>1.773502658</v>
      </c>
      <c r="Y8">
        <v>5.3034442500000001</v>
      </c>
      <c r="Z8">
        <v>7.3210381580000004</v>
      </c>
      <c r="AA8">
        <v>1.324514932</v>
      </c>
      <c r="AB8">
        <v>4.3323</v>
      </c>
      <c r="AC8">
        <v>10.128550000000001</v>
      </c>
      <c r="AD8">
        <v>1.8039190030000001</v>
      </c>
      <c r="AE8">
        <v>0.30542018720000003</v>
      </c>
      <c r="AF8">
        <v>1.1059493359999999</v>
      </c>
      <c r="AG8">
        <v>2.6895424999999999</v>
      </c>
      <c r="AH8">
        <v>7.3210381580000004</v>
      </c>
      <c r="AI8">
        <v>1.324514932</v>
      </c>
      <c r="AJ8">
        <v>4.3323</v>
      </c>
      <c r="AK8">
        <v>10.128550000000001</v>
      </c>
      <c r="AL8">
        <v>0.56624207479999999</v>
      </c>
      <c r="AM8">
        <v>0.132928729</v>
      </c>
      <c r="AN8">
        <v>0.35360451910000001</v>
      </c>
      <c r="AO8">
        <v>1.011562391</v>
      </c>
      <c r="AP8">
        <v>0.76326067129999997</v>
      </c>
      <c r="AQ8">
        <v>0.16200616179999999</v>
      </c>
      <c r="AR8">
        <v>0.46751881270000001</v>
      </c>
      <c r="AS8">
        <v>1.2495647270000001</v>
      </c>
      <c r="AT8">
        <v>-0.57997767609999995</v>
      </c>
      <c r="AU8">
        <v>0.74367133080000003</v>
      </c>
      <c r="AV8">
        <v>-2.0848254000000002</v>
      </c>
      <c r="AW8">
        <v>2.5471668900000002</v>
      </c>
      <c r="AX8">
        <v>6.36304815</v>
      </c>
      <c r="AY8">
        <v>2.446014151</v>
      </c>
      <c r="AZ8">
        <v>3.1115273409999999</v>
      </c>
      <c r="BA8">
        <v>15.96370293</v>
      </c>
      <c r="BB8">
        <v>3.8211607510000002E-2</v>
      </c>
      <c r="BC8">
        <v>8.2385076219999992E-3</v>
      </c>
      <c r="BD8">
        <v>2.5228652970000001E-2</v>
      </c>
      <c r="BE8">
        <v>7.3745853400000005E-2</v>
      </c>
      <c r="BF8">
        <v>10.88385807</v>
      </c>
      <c r="BG8">
        <v>1.035605071</v>
      </c>
      <c r="BH8">
        <v>7.7995070970000002</v>
      </c>
      <c r="BI8">
        <v>13.448441040000001</v>
      </c>
      <c r="BJ8">
        <v>2.1047609619999998</v>
      </c>
      <c r="BK8">
        <v>4.0388204749999996</v>
      </c>
      <c r="BL8">
        <v>2.2114108800000001E-2</v>
      </c>
      <c r="BM8">
        <v>24.214949140000002</v>
      </c>
      <c r="BN8">
        <v>1.0950700499999999</v>
      </c>
      <c r="BO8">
        <v>0.29499145290000001</v>
      </c>
      <c r="BP8">
        <v>0.68675458509999998</v>
      </c>
      <c r="BQ8">
        <v>2.1835257499999998</v>
      </c>
      <c r="BR8">
        <v>272.40013340000002</v>
      </c>
      <c r="BS8">
        <v>52.087769549999997</v>
      </c>
      <c r="BT8">
        <v>135.60084449999999</v>
      </c>
      <c r="BU8">
        <v>396.37470980000001</v>
      </c>
      <c r="BV8">
        <v>1.737668319</v>
      </c>
      <c r="BW8">
        <v>0.1764903548</v>
      </c>
      <c r="BX8">
        <v>1.229931557</v>
      </c>
      <c r="BY8">
        <v>2.0727181909999999</v>
      </c>
      <c r="BZ8">
        <v>2.9387993649999999</v>
      </c>
      <c r="CA8">
        <v>0.233470711</v>
      </c>
      <c r="CB8">
        <v>1.74755496</v>
      </c>
      <c r="CC8">
        <v>3.6249484430000001</v>
      </c>
      <c r="CD8">
        <v>4.6764676840000003</v>
      </c>
      <c r="CE8">
        <v>0.26688679980000002</v>
      </c>
      <c r="CF8">
        <v>3.1901700000000002</v>
      </c>
      <c r="CG8">
        <v>4.91812</v>
      </c>
      <c r="CH8">
        <v>1.6328670080000001</v>
      </c>
      <c r="CI8">
        <v>0.26235103389999997</v>
      </c>
      <c r="CJ8">
        <v>1.031871429</v>
      </c>
      <c r="CK8">
        <v>2.3760846600000001</v>
      </c>
      <c r="CL8">
        <v>4.6764676840000003</v>
      </c>
      <c r="CM8">
        <v>0.26688679980000002</v>
      </c>
      <c r="CN8">
        <v>3.1901700000000002</v>
      </c>
      <c r="CO8">
        <v>4.91812</v>
      </c>
      <c r="CP8">
        <v>0.55143874120000003</v>
      </c>
      <c r="CQ8">
        <v>0.12800797920000001</v>
      </c>
      <c r="CR8">
        <v>0.34506825810000002</v>
      </c>
      <c r="CS8">
        <v>0.96882967630000005</v>
      </c>
      <c r="CT8">
        <v>0.71860515810000003</v>
      </c>
      <c r="CU8">
        <v>0.151143307</v>
      </c>
      <c r="CV8">
        <v>0.44765876380000003</v>
      </c>
      <c r="CW8">
        <v>1.1577531619999999</v>
      </c>
      <c r="CX8">
        <v>-0.66016378590000002</v>
      </c>
      <c r="CY8">
        <v>0.35829374060000002</v>
      </c>
      <c r="CZ8">
        <v>-1.758206465</v>
      </c>
      <c r="DA8">
        <v>0.44852681109999998</v>
      </c>
      <c r="DB8">
        <v>4.2126980549999997</v>
      </c>
      <c r="DC8">
        <v>0.87943805600000002</v>
      </c>
      <c r="DD8">
        <v>2.2930141769999999</v>
      </c>
      <c r="DE8">
        <v>7.3120745100000004</v>
      </c>
      <c r="DF8">
        <v>3.4523571179999997E-2</v>
      </c>
      <c r="DG8">
        <v>7.3853965800000001E-3</v>
      </c>
      <c r="DH8">
        <v>2.3898352859999999E-2</v>
      </c>
      <c r="DI8">
        <v>6.7037333099999999E-2</v>
      </c>
      <c r="DJ8">
        <v>10.322565170000001</v>
      </c>
      <c r="DK8">
        <v>0.94948587620000002</v>
      </c>
      <c r="DL8">
        <v>7.7098580109999997</v>
      </c>
      <c r="DM8">
        <v>12.8527643</v>
      </c>
      <c r="DN8">
        <v>14.80531843</v>
      </c>
      <c r="DO8">
        <v>7.3969297909999998</v>
      </c>
      <c r="DP8">
        <v>4.6881910659999999</v>
      </c>
      <c r="DQ8">
        <v>52.274034270000001</v>
      </c>
      <c r="DR8">
        <v>1.0931485919999999</v>
      </c>
      <c r="DS8">
        <v>0.29479069860000001</v>
      </c>
      <c r="DT8">
        <v>0.68416385820000003</v>
      </c>
      <c r="DU8">
        <v>2.181725825</v>
      </c>
      <c r="DV8">
        <v>300.94248879999998</v>
      </c>
      <c r="DW8">
        <v>55.304126150000002</v>
      </c>
      <c r="DX8">
        <v>149.17061190000001</v>
      </c>
      <c r="DY8">
        <v>418.4388798</v>
      </c>
      <c r="DZ8">
        <v>1.897543263</v>
      </c>
      <c r="EA8">
        <v>0.32212268040000003</v>
      </c>
      <c r="EB8">
        <v>1.1536495680000001</v>
      </c>
      <c r="EC8">
        <v>2.8058950199999999</v>
      </c>
      <c r="ED8">
        <v>2.890815173</v>
      </c>
      <c r="EE8">
        <v>0.58434919890000003</v>
      </c>
      <c r="EF8">
        <v>1.291137199</v>
      </c>
      <c r="EG8">
        <v>4.0914729520000002</v>
      </c>
      <c r="EH8">
        <v>4.7883584360000002</v>
      </c>
      <c r="EI8">
        <v>0.67587767880000005</v>
      </c>
      <c r="EJ8">
        <v>3.2760971429999999</v>
      </c>
      <c r="EK8">
        <v>6.2838185710000003</v>
      </c>
      <c r="EL8">
        <v>1.7859229729999999</v>
      </c>
      <c r="EM8">
        <v>0.29495123090000003</v>
      </c>
      <c r="EN8">
        <v>1.098241391</v>
      </c>
      <c r="EO8">
        <v>2.6689437360000001</v>
      </c>
      <c r="EP8">
        <v>6.9774020529999996</v>
      </c>
      <c r="EQ8">
        <v>1.206631011</v>
      </c>
      <c r="ER8">
        <v>4.3248199999999999</v>
      </c>
      <c r="ES8">
        <v>9.8136399999999995</v>
      </c>
      <c r="ET8">
        <v>0.54822892550000002</v>
      </c>
      <c r="EU8">
        <v>0.1185646065</v>
      </c>
      <c r="EV8">
        <v>0.32749711640000001</v>
      </c>
      <c r="EW8">
        <v>0.9123805707</v>
      </c>
      <c r="EX8">
        <v>0.72213013660000003</v>
      </c>
      <c r="EY8">
        <v>0.14321976240000001</v>
      </c>
      <c r="EZ8">
        <v>0.44919418999999999</v>
      </c>
      <c r="FA8">
        <v>1.1391248110000001</v>
      </c>
      <c r="FB8">
        <v>-0.59483144219999995</v>
      </c>
      <c r="FC8">
        <v>0.47292484219999997</v>
      </c>
      <c r="FD8">
        <v>-1.661930522</v>
      </c>
      <c r="FE8">
        <v>1.1002250410000001</v>
      </c>
      <c r="FF8">
        <v>5.0805433039999999</v>
      </c>
      <c r="FG8">
        <v>1.272192089</v>
      </c>
      <c r="FH8">
        <v>3.1453992529999999</v>
      </c>
      <c r="FI8">
        <v>9.1406843280000007</v>
      </c>
      <c r="FJ8">
        <v>3.05425879</v>
      </c>
      <c r="FK8">
        <v>1.037952692</v>
      </c>
      <c r="FL8">
        <v>1.511997434</v>
      </c>
      <c r="FM8">
        <v>5.3317301329999998</v>
      </c>
      <c r="FN8">
        <v>3.923143263</v>
      </c>
      <c r="FO8">
        <v>0.65345681860000004</v>
      </c>
      <c r="FP8">
        <v>1.783031485</v>
      </c>
      <c r="FQ8">
        <v>5.0670358090000001</v>
      </c>
      <c r="FR8">
        <v>6.4415343160000003</v>
      </c>
      <c r="FS8">
        <v>1.1304499889999999</v>
      </c>
      <c r="FT8">
        <v>3.64337</v>
      </c>
      <c r="FU8">
        <v>9.2141500000000001</v>
      </c>
      <c r="FV8">
        <v>5.0332980530000002</v>
      </c>
      <c r="FW8">
        <v>1.0989822309999999</v>
      </c>
      <c r="FX8">
        <v>2.7169599999999998</v>
      </c>
      <c r="FY8">
        <v>8.10853</v>
      </c>
      <c r="FZ8">
        <v>3.634705891E-2</v>
      </c>
      <c r="GA8">
        <v>7.0737403550000001E-3</v>
      </c>
      <c r="GB8">
        <v>2.4281999919999998E-2</v>
      </c>
      <c r="GC8">
        <v>6.1247190799999997E-2</v>
      </c>
      <c r="GD8">
        <v>10.820708209999999</v>
      </c>
      <c r="GE8">
        <v>1.030630607</v>
      </c>
      <c r="GF8">
        <v>7.7591255009999998</v>
      </c>
      <c r="GG8">
        <v>13.43797228</v>
      </c>
      <c r="GH8">
        <v>2.2553187719999999</v>
      </c>
      <c r="GI8">
        <v>3.6522039620000002</v>
      </c>
      <c r="GJ8">
        <v>2.4624476730000001E-2</v>
      </c>
      <c r="GK8">
        <v>18.52201518</v>
      </c>
      <c r="GL8">
        <v>1.070576403</v>
      </c>
      <c r="GM8">
        <v>0.25574845369999999</v>
      </c>
      <c r="GN8">
        <v>0.60629151800000003</v>
      </c>
      <c r="GO8">
        <v>1.89947909</v>
      </c>
      <c r="GP8">
        <v>3.019659984</v>
      </c>
      <c r="GQ8">
        <v>1.4926132430000001</v>
      </c>
      <c r="GR8">
        <v>0.54173848810000003</v>
      </c>
      <c r="GS8">
        <v>9.2760855279999994</v>
      </c>
      <c r="GT8">
        <v>284.6087278</v>
      </c>
      <c r="GU8">
        <v>50.493859260000001</v>
      </c>
      <c r="GV8">
        <v>163.2727945</v>
      </c>
      <c r="GW8">
        <v>411.8276927</v>
      </c>
      <c r="GX8">
        <v>1.518561424</v>
      </c>
      <c r="GY8">
        <v>0.15510958950000001</v>
      </c>
      <c r="GZ8">
        <v>0.97887014319999999</v>
      </c>
      <c r="HA8">
        <v>1.9222703860000001</v>
      </c>
      <c r="HB8">
        <v>2.4390835759999998</v>
      </c>
      <c r="HC8">
        <v>0.3496861228</v>
      </c>
      <c r="HD8">
        <v>1.294961341</v>
      </c>
      <c r="HE8">
        <v>3.1870319309999999</v>
      </c>
      <c r="HF8">
        <v>3.9576449999999999</v>
      </c>
      <c r="HG8">
        <v>0.4326815739</v>
      </c>
      <c r="HH8">
        <v>2.6358442860000002</v>
      </c>
      <c r="HI8">
        <v>4.6828000000000003</v>
      </c>
      <c r="HJ8">
        <v>1.6311962870000001</v>
      </c>
      <c r="HK8">
        <v>0.25640279090000001</v>
      </c>
      <c r="HL8">
        <v>1.0470059110000001</v>
      </c>
      <c r="HM8">
        <v>2.2293370640000001</v>
      </c>
      <c r="HN8">
        <v>4.7241574740000001</v>
      </c>
      <c r="HO8">
        <v>0.38120687809999998</v>
      </c>
      <c r="HP8">
        <v>3.3307899999999999</v>
      </c>
      <c r="HQ8">
        <v>5.6433</v>
      </c>
      <c r="HR8">
        <v>0.53306213849999995</v>
      </c>
      <c r="HS8">
        <v>0.11383619220000001</v>
      </c>
      <c r="HT8">
        <v>0.32727544279999998</v>
      </c>
      <c r="HU8">
        <v>0.86751883289999998</v>
      </c>
      <c r="HV8">
        <v>0.68368055959999996</v>
      </c>
      <c r="HW8">
        <v>0.1332489828</v>
      </c>
      <c r="HX8">
        <v>0.43630251869999997</v>
      </c>
      <c r="HY8">
        <v>1.058864791</v>
      </c>
      <c r="HZ8">
        <v>-0.60708991450000005</v>
      </c>
      <c r="IA8">
        <v>0.31503079859999999</v>
      </c>
      <c r="IB8">
        <v>-1.7101838229999999</v>
      </c>
      <c r="IC8">
        <v>0.37110822170000002</v>
      </c>
      <c r="ID8">
        <v>3.9711875839999999</v>
      </c>
      <c r="IE8">
        <v>0.78525971569999997</v>
      </c>
      <c r="IF8">
        <v>2.6271416080000001</v>
      </c>
      <c r="IG8">
        <v>7.29711424</v>
      </c>
      <c r="IH8">
        <v>1.8005329059999999</v>
      </c>
      <c r="II8">
        <v>0.21906203390000001</v>
      </c>
      <c r="IJ8">
        <v>1.3096815390000001</v>
      </c>
      <c r="IK8">
        <v>2.5081456979999999</v>
      </c>
      <c r="IL8">
        <v>2.9236245680000001</v>
      </c>
      <c r="IM8">
        <v>0.27350669080000001</v>
      </c>
      <c r="IN8">
        <v>1.764944198</v>
      </c>
      <c r="IO8">
        <v>3.8160884610000001</v>
      </c>
      <c r="IP8">
        <v>4.5536416319999997</v>
      </c>
      <c r="IQ8">
        <v>0.34416837150000001</v>
      </c>
      <c r="IR8">
        <v>3.1244800000000001</v>
      </c>
      <c r="IS8">
        <v>5.2180200000000001</v>
      </c>
      <c r="IT8">
        <v>4.1331537889999996</v>
      </c>
      <c r="IU8">
        <v>0.58887447589999997</v>
      </c>
      <c r="IV8">
        <v>2.5734699999999999</v>
      </c>
      <c r="IW8">
        <v>5.2180200000000001</v>
      </c>
      <c r="IX8">
        <v>3.3300779199999998E-2</v>
      </c>
      <c r="IY8">
        <v>6.4225103279999998E-3</v>
      </c>
      <c r="IZ8">
        <v>2.3361840920000002E-2</v>
      </c>
      <c r="JA8">
        <v>5.5622448790000001E-2</v>
      </c>
      <c r="JB8">
        <v>10.30651902</v>
      </c>
      <c r="JC8">
        <v>0.94307763739999995</v>
      </c>
      <c r="JD8">
        <v>7.6758136539999997</v>
      </c>
      <c r="JE8">
        <v>12.8914448</v>
      </c>
      <c r="JF8">
        <v>11.28048366</v>
      </c>
      <c r="JG8">
        <v>5.205272269</v>
      </c>
      <c r="JH8">
        <v>1.2312238360000001</v>
      </c>
      <c r="JI8">
        <v>39.446599300000003</v>
      </c>
      <c r="JJ8">
        <v>1.065798536</v>
      </c>
      <c r="JK8">
        <v>0.25587104290000001</v>
      </c>
      <c r="JL8">
        <v>0.60563273799999995</v>
      </c>
      <c r="JM8">
        <v>1.904936596</v>
      </c>
      <c r="JN8">
        <v>5.7012053849999997</v>
      </c>
      <c r="JO8">
        <v>2.3146858510000001</v>
      </c>
      <c r="JP8">
        <v>0.66486087169999997</v>
      </c>
      <c r="JQ8">
        <v>16.59689732</v>
      </c>
      <c r="JR8">
        <v>310.32458600000001</v>
      </c>
      <c r="JS8">
        <v>53.749018849999999</v>
      </c>
      <c r="JT8">
        <v>179.78352659999999</v>
      </c>
      <c r="JU8">
        <v>428.04845870000003</v>
      </c>
      <c r="JV8">
        <v>0.35674236380000002</v>
      </c>
      <c r="JW8">
        <v>0.1447127282</v>
      </c>
      <c r="JX8">
        <v>0.115838753</v>
      </c>
      <c r="JY8">
        <v>0.78038266919999999</v>
      </c>
      <c r="JZ8">
        <v>0.41415879929999999</v>
      </c>
      <c r="KA8">
        <v>0.24331483549999999</v>
      </c>
      <c r="KB8">
        <v>0.12802839390000001</v>
      </c>
      <c r="KC8">
        <v>1.286236508</v>
      </c>
      <c r="KD8">
        <v>0.77090116320000002</v>
      </c>
      <c r="KE8">
        <v>0.3438558927</v>
      </c>
      <c r="KF8">
        <v>0.28472599999999998</v>
      </c>
      <c r="KG8">
        <v>2.0242900000000001</v>
      </c>
      <c r="KH8">
        <v>0.48256983990000002</v>
      </c>
      <c r="KI8">
        <v>0.22538809709999999</v>
      </c>
      <c r="KJ8">
        <v>0.16580875</v>
      </c>
      <c r="KK8">
        <v>1.38086</v>
      </c>
      <c r="KL8">
        <v>0.77090116320000002</v>
      </c>
      <c r="KM8">
        <v>0.3438558927</v>
      </c>
      <c r="KN8">
        <v>0.28472599999999998</v>
      </c>
      <c r="KO8">
        <v>2.0242900000000001</v>
      </c>
      <c r="KP8">
        <v>0.13835838789999999</v>
      </c>
      <c r="KQ8">
        <v>5.7498342369999997E-2</v>
      </c>
      <c r="KR8">
        <v>5.0085160669999997E-2</v>
      </c>
      <c r="KS8">
        <v>0.34601910520000001</v>
      </c>
      <c r="KT8">
        <v>0.17411478699999999</v>
      </c>
      <c r="KU8">
        <v>7.3715967399999999E-2</v>
      </c>
      <c r="KV8">
        <v>6.5197788899999998E-2</v>
      </c>
      <c r="KW8">
        <v>0.44271753899999999</v>
      </c>
      <c r="KX8">
        <v>-0.1132046582</v>
      </c>
      <c r="KY8">
        <v>0.67729314220000003</v>
      </c>
      <c r="KZ8">
        <v>-2.397355605</v>
      </c>
      <c r="LA8">
        <v>2.613185138</v>
      </c>
      <c r="LB8">
        <v>3.1650554610000001</v>
      </c>
      <c r="LC8">
        <v>1.548543142</v>
      </c>
      <c r="LD8">
        <v>1.826463744</v>
      </c>
      <c r="LE8">
        <v>10.78298874</v>
      </c>
      <c r="LF8">
        <v>1.5354694069999999</v>
      </c>
      <c r="LG8">
        <v>0.48255218830000002</v>
      </c>
      <c r="LH8">
        <v>0.67412999770000004</v>
      </c>
      <c r="LI8">
        <v>3.7618799869999999</v>
      </c>
      <c r="LJ8">
        <v>4.251162336E-2</v>
      </c>
      <c r="LK8">
        <v>1.789958258E-2</v>
      </c>
      <c r="LL8">
        <v>1.8225578619999998E-2</v>
      </c>
      <c r="LM8">
        <v>0.1180587402</v>
      </c>
      <c r="LN8">
        <v>98.323130379999995</v>
      </c>
      <c r="LO8">
        <v>4.466921761</v>
      </c>
      <c r="LP8">
        <v>74.6130031</v>
      </c>
      <c r="LQ8">
        <v>100</v>
      </c>
      <c r="LR8">
        <v>0.28685206889999998</v>
      </c>
      <c r="LS8">
        <v>0.1192425609</v>
      </c>
      <c r="LT8">
        <v>8.5598125950000006E-2</v>
      </c>
      <c r="LU8">
        <v>0.72176640729999997</v>
      </c>
      <c r="LV8">
        <v>13.79799274</v>
      </c>
      <c r="LW8">
        <v>5.1146257850000003</v>
      </c>
      <c r="LX8">
        <v>0</v>
      </c>
      <c r="LY8">
        <v>24.85625829</v>
      </c>
      <c r="LZ8">
        <v>7.0507078979999998</v>
      </c>
      <c r="MA8">
        <v>1.91141911</v>
      </c>
      <c r="MB8">
        <v>2.658245355</v>
      </c>
      <c r="MC8">
        <v>14.83393416</v>
      </c>
      <c r="MD8">
        <v>0.32254046809999998</v>
      </c>
      <c r="ME8">
        <v>0.13272771659999999</v>
      </c>
      <c r="MF8">
        <v>9.8572698139999998E-2</v>
      </c>
      <c r="MG8">
        <v>0.73892427019999996</v>
      </c>
      <c r="MH8">
        <v>0.38729339509999999</v>
      </c>
      <c r="MI8">
        <v>0.22020755419999999</v>
      </c>
      <c r="MJ8">
        <v>0.12327196</v>
      </c>
      <c r="MK8">
        <v>1.274677981</v>
      </c>
      <c r="ML8">
        <v>0.70983386319999997</v>
      </c>
      <c r="MM8">
        <v>0.32368466940000001</v>
      </c>
      <c r="MN8">
        <v>0.222909</v>
      </c>
      <c r="MO8">
        <v>1.94946</v>
      </c>
      <c r="MP8">
        <v>0.44120010430000001</v>
      </c>
      <c r="MQ8">
        <v>0.21276574879999999</v>
      </c>
      <c r="MR8">
        <v>0.14674699999999999</v>
      </c>
      <c r="MS8">
        <v>1.269555</v>
      </c>
      <c r="MT8">
        <v>0.70983386319999997</v>
      </c>
      <c r="MU8">
        <v>0.32368466940000001</v>
      </c>
      <c r="MV8">
        <v>0.222909</v>
      </c>
      <c r="MW8">
        <v>1.94946</v>
      </c>
      <c r="MX8">
        <v>0.1300944997</v>
      </c>
      <c r="MY8">
        <v>5.5739044639999999E-2</v>
      </c>
      <c r="MZ8">
        <v>3.8865882189999999E-2</v>
      </c>
      <c r="NA8">
        <v>0.32959377670000001</v>
      </c>
      <c r="NB8">
        <v>0.16236481580000001</v>
      </c>
      <c r="NC8">
        <v>7.1255695960000004E-2</v>
      </c>
      <c r="ND8">
        <v>4.8561268060000003E-2</v>
      </c>
      <c r="NE8">
        <v>0.42692689439999998</v>
      </c>
      <c r="NF8">
        <v>-0.19054565809999999</v>
      </c>
      <c r="NG8">
        <v>0.52255653040000005</v>
      </c>
      <c r="NH8">
        <v>-2.2199644680000001</v>
      </c>
      <c r="NI8">
        <v>1.155633361</v>
      </c>
      <c r="NJ8">
        <v>2.9430602459999999</v>
      </c>
      <c r="NK8">
        <v>1.118414215</v>
      </c>
      <c r="NL8">
        <v>1.731718541</v>
      </c>
      <c r="NM8">
        <v>9.5107958830000001</v>
      </c>
      <c r="NN8">
        <v>1.5227178240000001</v>
      </c>
      <c r="NO8">
        <v>0.4404274212</v>
      </c>
      <c r="NP8">
        <v>0.66067499770000004</v>
      </c>
      <c r="NQ8">
        <v>3.785339987</v>
      </c>
      <c r="NR8">
        <v>3.9104194180000003E-2</v>
      </c>
      <c r="NS8">
        <v>1.7076368509999999E-2</v>
      </c>
      <c r="NT8">
        <v>1.6114014650000001E-2</v>
      </c>
      <c r="NU8">
        <v>0.1122053781</v>
      </c>
      <c r="NV8">
        <v>98.679895920000007</v>
      </c>
      <c r="NW8">
        <v>3.8151649980000002</v>
      </c>
      <c r="NX8">
        <v>75.18796992</v>
      </c>
      <c r="NY8">
        <v>100</v>
      </c>
      <c r="NZ8">
        <v>0.2733418172</v>
      </c>
      <c r="OA8">
        <v>0.11812964870000001</v>
      </c>
      <c r="OB8">
        <v>7.9204025880000001E-2</v>
      </c>
      <c r="OC8">
        <v>0.7741415317</v>
      </c>
      <c r="OD8">
        <v>14.043628959999999</v>
      </c>
      <c r="OE8">
        <v>4.9958734170000003</v>
      </c>
      <c r="OF8">
        <v>0</v>
      </c>
      <c r="OG8">
        <v>25.165855820000001</v>
      </c>
      <c r="OH8">
        <v>7.0521119299999997</v>
      </c>
      <c r="OI8">
        <v>1.888737688</v>
      </c>
      <c r="OJ8">
        <v>2.6417706289999998</v>
      </c>
      <c r="OK8">
        <v>15.13603517</v>
      </c>
      <c r="OL8">
        <v>0.76642542609999997</v>
      </c>
      <c r="OM8">
        <v>-0.80911526190000005</v>
      </c>
      <c r="ON8">
        <v>6.4947627829999997</v>
      </c>
      <c r="OO8">
        <v>5.6250499999999999</v>
      </c>
      <c r="OP8">
        <v>5.1302399999999997</v>
      </c>
      <c r="OQ8">
        <v>10.75529</v>
      </c>
      <c r="OR8">
        <v>0.55826716369999996</v>
      </c>
      <c r="OS8" s="2">
        <v>3.2177766829999998E-5</v>
      </c>
      <c r="OT8">
        <v>8.9341486689999995E-4</v>
      </c>
      <c r="OU8" s="2">
        <v>3.2177766829999998E-5</v>
      </c>
      <c r="OV8">
        <v>5.727988705E-4</v>
      </c>
      <c r="OW8">
        <v>7.6906112950000005E-4</v>
      </c>
      <c r="OX8">
        <v>1.2435373740000001E-4</v>
      </c>
      <c r="OY8">
        <v>1.5801088700000001</v>
      </c>
      <c r="OZ8">
        <v>0.64770136060000005</v>
      </c>
      <c r="PA8">
        <v>1.330695239</v>
      </c>
      <c r="PB8">
        <v>10.501088579999999</v>
      </c>
      <c r="PC8">
        <v>87.424853799999994</v>
      </c>
      <c r="PD8">
        <v>0.72248335289999999</v>
      </c>
      <c r="PE8">
        <v>-0.79281917580000005</v>
      </c>
      <c r="PF8">
        <v>4.4086892520000003</v>
      </c>
      <c r="PG8">
        <v>2.1743700000000001</v>
      </c>
      <c r="PH8">
        <v>3.5293299999999999</v>
      </c>
      <c r="PI8">
        <v>5.7037000000000004</v>
      </c>
      <c r="PJ8">
        <v>0.54415606780000003</v>
      </c>
      <c r="PK8" s="2">
        <v>2.5990024880000001E-5</v>
      </c>
      <c r="PL8">
        <v>8.8056666870000005E-4</v>
      </c>
      <c r="PM8" s="2">
        <v>2.5990024880000001E-5</v>
      </c>
      <c r="PN8">
        <v>5.7092610239999997E-4</v>
      </c>
      <c r="PO8">
        <v>7.6225389760000003E-4</v>
      </c>
      <c r="PP8">
        <v>1.1831277119999999E-4</v>
      </c>
      <c r="PQ8">
        <v>1.574374001</v>
      </c>
      <c r="PR8">
        <v>0.52630456349999999</v>
      </c>
      <c r="PS8">
        <v>1.2296497049999999</v>
      </c>
      <c r="PT8">
        <v>10.3442162</v>
      </c>
      <c r="PU8">
        <v>87.329196679999995</v>
      </c>
      <c r="PV8">
        <v>1.712031877</v>
      </c>
      <c r="PW8">
        <v>0.65804764969999996</v>
      </c>
      <c r="PX8">
        <v>1.3726003630000001</v>
      </c>
      <c r="PY8">
        <v>9.6302486799999993</v>
      </c>
      <c r="PZ8">
        <v>87.316745580000003</v>
      </c>
      <c r="QA8">
        <v>1.708198645</v>
      </c>
      <c r="QB8">
        <v>0.52421916769999999</v>
      </c>
      <c r="QC8">
        <v>1.2666379350000001</v>
      </c>
      <c r="QD8">
        <v>9.5369952369999993</v>
      </c>
      <c r="QE8">
        <v>87.289958100000007</v>
      </c>
      <c r="QF8" s="2">
        <v>3.3003656290000002E-5</v>
      </c>
      <c r="QG8">
        <v>6.2452687100000002E-4</v>
      </c>
      <c r="QH8">
        <v>8.1050312899999999E-4</v>
      </c>
      <c r="QI8">
        <v>1.29206349E-4</v>
      </c>
      <c r="QJ8" s="2">
        <v>2.6581142849999999E-5</v>
      </c>
      <c r="QK8">
        <v>6.2334826220000002E-4</v>
      </c>
      <c r="QL8">
        <v>8.065317378E-4</v>
      </c>
      <c r="QM8">
        <v>1.2247774339999999E-4</v>
      </c>
      <c r="QN8">
        <v>81.603349109999996</v>
      </c>
      <c r="QO8">
        <v>40.030613090000003</v>
      </c>
      <c r="QP8">
        <v>45.498621409999998</v>
      </c>
      <c r="QQ8">
        <v>116.4851329</v>
      </c>
      <c r="QR8">
        <v>80.896644670000001</v>
      </c>
      <c r="QS8">
        <v>40.026641159999997</v>
      </c>
      <c r="QT8">
        <v>45.491087030000003</v>
      </c>
      <c r="QU8">
        <v>116.4833524</v>
      </c>
    </row>
    <row r="9" spans="1:463" x14ac:dyDescent="0.2">
      <c r="A9" t="s">
        <v>279</v>
      </c>
      <c r="B9" s="2">
        <v>-5.1539515729999998E-11</v>
      </c>
      <c r="C9" s="2">
        <v>-3.0936700390000001E-11</v>
      </c>
      <c r="D9">
        <v>3.6709214150000002E-2</v>
      </c>
      <c r="E9">
        <v>9.0777034170000007E-2</v>
      </c>
      <c r="F9">
        <v>0.58299587239999995</v>
      </c>
      <c r="G9">
        <v>0.1127653658</v>
      </c>
      <c r="H9">
        <v>0.2788538438</v>
      </c>
      <c r="I9">
        <v>1.790878513</v>
      </c>
      <c r="J9">
        <v>32.51691563</v>
      </c>
      <c r="K9">
        <v>32.553624839999998</v>
      </c>
      <c r="L9">
        <v>32.553624839999998</v>
      </c>
      <c r="M9">
        <v>32.553624839999998</v>
      </c>
      <c r="N9">
        <v>32.46284781</v>
      </c>
      <c r="O9">
        <v>32.553624839999998</v>
      </c>
      <c r="P9">
        <v>31.97062897</v>
      </c>
      <c r="Q9">
        <v>32.553624839999998</v>
      </c>
      <c r="R9">
        <v>3.291396905</v>
      </c>
      <c r="S9">
        <v>0.93445499440000002</v>
      </c>
      <c r="T9">
        <v>1.6528127909999999</v>
      </c>
      <c r="U9">
        <v>5.0808738809999996</v>
      </c>
      <c r="V9">
        <v>4.7675414629999997</v>
      </c>
      <c r="W9">
        <v>0.7941274089</v>
      </c>
      <c r="X9">
        <v>2.0467667450000002</v>
      </c>
      <c r="Y9">
        <v>6.1340050550000003</v>
      </c>
      <c r="Z9">
        <v>8.0589383679999997</v>
      </c>
      <c r="AA9">
        <v>1.2967839329999999</v>
      </c>
      <c r="AB9">
        <v>4.6316600000000001</v>
      </c>
      <c r="AC9">
        <v>10.49508</v>
      </c>
      <c r="AD9">
        <v>2.0458973</v>
      </c>
      <c r="AE9">
        <v>0.3653565157</v>
      </c>
      <c r="AF9">
        <v>1.2637927710000001</v>
      </c>
      <c r="AG9">
        <v>2.9995338779999998</v>
      </c>
      <c r="AH9">
        <v>8.0589383679999997</v>
      </c>
      <c r="AI9">
        <v>1.2967839329999999</v>
      </c>
      <c r="AJ9">
        <v>4.6316600000000001</v>
      </c>
      <c r="AK9">
        <v>10.49508</v>
      </c>
      <c r="AL9">
        <v>0.63447709880000003</v>
      </c>
      <c r="AM9">
        <v>0.1487157214</v>
      </c>
      <c r="AN9">
        <v>0.3822804474</v>
      </c>
      <c r="AO9">
        <v>1.100020531</v>
      </c>
      <c r="AP9">
        <v>0.8516621606</v>
      </c>
      <c r="AQ9">
        <v>0.18482370919999999</v>
      </c>
      <c r="AR9">
        <v>0.50303260969999997</v>
      </c>
      <c r="AS9">
        <v>1.37198712</v>
      </c>
      <c r="AT9">
        <v>-0.73305862560000001</v>
      </c>
      <c r="AU9">
        <v>0.57305131080000005</v>
      </c>
      <c r="AV9">
        <v>-2.2931901400000001</v>
      </c>
      <c r="AW9">
        <v>1.2068583509999999</v>
      </c>
      <c r="AX9">
        <v>5.9617773559999998</v>
      </c>
      <c r="AY9">
        <v>1.8773198120000001</v>
      </c>
      <c r="AZ9">
        <v>3.23491872</v>
      </c>
      <c r="BA9">
        <v>15.005692659999999</v>
      </c>
      <c r="BB9">
        <v>3.7980255300000001E-2</v>
      </c>
      <c r="BC9">
        <v>7.2581762219999998E-3</v>
      </c>
      <c r="BD9">
        <v>2.4889879430000001E-2</v>
      </c>
      <c r="BE9">
        <v>6.3878350289999997E-2</v>
      </c>
      <c r="BF9">
        <v>12.14107038</v>
      </c>
      <c r="BG9">
        <v>1.239419896</v>
      </c>
      <c r="BH9">
        <v>8.7404525870000001</v>
      </c>
      <c r="BI9">
        <v>15.312976259999999</v>
      </c>
      <c r="BJ9">
        <v>1.4195193580000001</v>
      </c>
      <c r="BK9">
        <v>2.4451270150000002</v>
      </c>
      <c r="BL9">
        <v>2.2114108800000001E-2</v>
      </c>
      <c r="BM9">
        <v>17.46848851</v>
      </c>
      <c r="BN9">
        <v>1.2308686529999999</v>
      </c>
      <c r="BO9">
        <v>0.32336306479999999</v>
      </c>
      <c r="BP9">
        <v>0.76941307410000004</v>
      </c>
      <c r="BQ9">
        <v>2.3382560890000001</v>
      </c>
      <c r="BR9">
        <v>272.24003069999998</v>
      </c>
      <c r="BS9">
        <v>48.636147780000002</v>
      </c>
      <c r="BT9">
        <v>156.54756190000001</v>
      </c>
      <c r="BU9">
        <v>401.76972439999997</v>
      </c>
      <c r="BV9">
        <v>1.9469099430000001</v>
      </c>
      <c r="BW9">
        <v>0.1989889678</v>
      </c>
      <c r="BX9">
        <v>1.3973681600000001</v>
      </c>
      <c r="BY9">
        <v>2.310784146</v>
      </c>
      <c r="BZ9">
        <v>3.3171730570000002</v>
      </c>
      <c r="CA9">
        <v>0.24924256450000001</v>
      </c>
      <c r="CB9">
        <v>2.0434924900000002</v>
      </c>
      <c r="CC9">
        <v>4.0193842149999996</v>
      </c>
      <c r="CD9">
        <v>5.2640830000000003</v>
      </c>
      <c r="CE9">
        <v>0.2958353266</v>
      </c>
      <c r="CF9">
        <v>3.80654</v>
      </c>
      <c r="CG9">
        <v>5.5319900000000004</v>
      </c>
      <c r="CH9">
        <v>1.861127177</v>
      </c>
      <c r="CI9">
        <v>0.3080019363</v>
      </c>
      <c r="CJ9">
        <v>1.2098535850000001</v>
      </c>
      <c r="CK9">
        <v>2.6078142340000001</v>
      </c>
      <c r="CL9">
        <v>5.2640830000000003</v>
      </c>
      <c r="CM9">
        <v>0.2958353266</v>
      </c>
      <c r="CN9">
        <v>3.80654</v>
      </c>
      <c r="CO9">
        <v>5.5319900000000004</v>
      </c>
      <c r="CP9">
        <v>0.61966569110000003</v>
      </c>
      <c r="CQ9">
        <v>0.141446143</v>
      </c>
      <c r="CR9">
        <v>0.37920553509999999</v>
      </c>
      <c r="CS9">
        <v>1.049638018</v>
      </c>
      <c r="CT9">
        <v>0.80827257429999999</v>
      </c>
      <c r="CU9">
        <v>0.16814061720000001</v>
      </c>
      <c r="CV9">
        <v>0.49091903619999999</v>
      </c>
      <c r="CW9">
        <v>1.263368882</v>
      </c>
      <c r="CX9">
        <v>-0.65300305989999996</v>
      </c>
      <c r="CY9">
        <v>0.35549275229999999</v>
      </c>
      <c r="CZ9">
        <v>-1.703067399</v>
      </c>
      <c r="DA9">
        <v>0.32082898259999998</v>
      </c>
      <c r="DB9">
        <v>4.2110245429999997</v>
      </c>
      <c r="DC9">
        <v>0.91804266570000004</v>
      </c>
      <c r="DD9">
        <v>2.4050870959999999</v>
      </c>
      <c r="DE9">
        <v>7.4397386919999997</v>
      </c>
      <c r="DF9">
        <v>3.4462920549999998E-2</v>
      </c>
      <c r="DG9">
        <v>6.3897782860000002E-3</v>
      </c>
      <c r="DH9">
        <v>2.3387094260000001E-2</v>
      </c>
      <c r="DI9">
        <v>6.1348514639999997E-2</v>
      </c>
      <c r="DJ9">
        <v>11.545190610000001</v>
      </c>
      <c r="DK9">
        <v>1.0921663079999999</v>
      </c>
      <c r="DL9">
        <v>8.6220039509999999</v>
      </c>
      <c r="DM9">
        <v>14.529824509999999</v>
      </c>
      <c r="DN9">
        <v>11.030154039999999</v>
      </c>
      <c r="DO9">
        <v>5.118040379</v>
      </c>
      <c r="DP9">
        <v>3.427686864</v>
      </c>
      <c r="DQ9">
        <v>36.490858250000002</v>
      </c>
      <c r="DR9">
        <v>1.2290332260000001</v>
      </c>
      <c r="DS9">
        <v>0.3228193862</v>
      </c>
      <c r="DT9">
        <v>0.76961692000000004</v>
      </c>
      <c r="DU9">
        <v>2.3344217970000001</v>
      </c>
      <c r="DV9">
        <v>299.00138010000001</v>
      </c>
      <c r="DW9">
        <v>49.524606740000003</v>
      </c>
      <c r="DX9">
        <v>163.00313149999999</v>
      </c>
      <c r="DY9">
        <v>427.58625289999998</v>
      </c>
      <c r="DZ9">
        <v>2.0612414549999998</v>
      </c>
      <c r="EA9">
        <v>0.31738935089999998</v>
      </c>
      <c r="EB9">
        <v>1.244387285</v>
      </c>
      <c r="EC9">
        <v>2.8445640139999999</v>
      </c>
      <c r="ED9">
        <v>3.3083383569999998</v>
      </c>
      <c r="EE9">
        <v>0.6700430289</v>
      </c>
      <c r="EF9">
        <v>1.61823366</v>
      </c>
      <c r="EG9">
        <v>4.9104443020000001</v>
      </c>
      <c r="EH9">
        <v>5.3695798119999996</v>
      </c>
      <c r="EI9">
        <v>0.81785255420000003</v>
      </c>
      <c r="EJ9">
        <v>3.5114485709999999</v>
      </c>
      <c r="EK9">
        <v>7.2957957139999996</v>
      </c>
      <c r="EL9">
        <v>2.03056678</v>
      </c>
      <c r="EM9">
        <v>0.3560745474</v>
      </c>
      <c r="EN9">
        <v>1.2563328629999999</v>
      </c>
      <c r="EO9">
        <v>2.862961774</v>
      </c>
      <c r="EP9">
        <v>7.7045292109999997</v>
      </c>
      <c r="EQ9">
        <v>1.256125932</v>
      </c>
      <c r="ER9">
        <v>4.3332800000000002</v>
      </c>
      <c r="ES9">
        <v>10.3992</v>
      </c>
      <c r="ET9">
        <v>0.61646880400000004</v>
      </c>
      <c r="EU9">
        <v>0.13549199310000001</v>
      </c>
      <c r="EV9">
        <v>0.37905490190000002</v>
      </c>
      <c r="EW9">
        <v>0.99239010979999998</v>
      </c>
      <c r="EX9">
        <v>0.80936432520000001</v>
      </c>
      <c r="EY9">
        <v>0.16614581249999999</v>
      </c>
      <c r="EZ9">
        <v>0.49091958670000002</v>
      </c>
      <c r="FA9">
        <v>1.252067611</v>
      </c>
      <c r="FB9">
        <v>-0.66050776730000005</v>
      </c>
      <c r="FC9">
        <v>0.40188239799999997</v>
      </c>
      <c r="FD9">
        <v>-1.6395222389999999</v>
      </c>
      <c r="FE9">
        <v>0.67581217910000002</v>
      </c>
      <c r="FF9">
        <v>4.975904442</v>
      </c>
      <c r="FG9">
        <v>1.1552603930000001</v>
      </c>
      <c r="FH9">
        <v>3.2629852850000001</v>
      </c>
      <c r="FI9">
        <v>9.0005539730000006</v>
      </c>
      <c r="FJ9">
        <v>3.12374229</v>
      </c>
      <c r="FK9">
        <v>0.90956395489999997</v>
      </c>
      <c r="FL9">
        <v>1.511142999</v>
      </c>
      <c r="FM9">
        <v>5.3857531910000001</v>
      </c>
      <c r="FN9">
        <v>4.5807869209999996</v>
      </c>
      <c r="FO9">
        <v>0.77352409690000001</v>
      </c>
      <c r="FP9">
        <v>2.040382852</v>
      </c>
      <c r="FQ9">
        <v>5.9575745480000002</v>
      </c>
      <c r="FR9">
        <v>7.1457706840000004</v>
      </c>
      <c r="FS9">
        <v>1.206097365</v>
      </c>
      <c r="FT9">
        <v>4.18459</v>
      </c>
      <c r="FU9">
        <v>10.07493</v>
      </c>
      <c r="FV9">
        <v>5.7234839470000001</v>
      </c>
      <c r="FW9">
        <v>1.2896895779999999</v>
      </c>
      <c r="FX9">
        <v>2.8791699999999998</v>
      </c>
      <c r="FY9">
        <v>9.7171299999999992</v>
      </c>
      <c r="FZ9">
        <v>3.5964000039999999E-2</v>
      </c>
      <c r="GA9">
        <v>5.9880906439999998E-3</v>
      </c>
      <c r="GB9">
        <v>2.3908205049999999E-2</v>
      </c>
      <c r="GC9">
        <v>5.6766874799999999E-2</v>
      </c>
      <c r="GD9">
        <v>12.093740739999999</v>
      </c>
      <c r="GE9">
        <v>1.241517032</v>
      </c>
      <c r="GF9">
        <v>8.7165770150000004</v>
      </c>
      <c r="GG9">
        <v>15.39379572</v>
      </c>
      <c r="GH9">
        <v>1.671536484</v>
      </c>
      <c r="GI9">
        <v>2.5206676529999998</v>
      </c>
      <c r="GJ9">
        <v>2.4624476730000001E-2</v>
      </c>
      <c r="GK9">
        <v>16.89239104</v>
      </c>
      <c r="GL9">
        <v>1.204829505</v>
      </c>
      <c r="GM9">
        <v>0.28614448419999999</v>
      </c>
      <c r="GN9">
        <v>0.71920711920000002</v>
      </c>
      <c r="GO9">
        <v>2.0424998560000001</v>
      </c>
      <c r="GP9">
        <v>3.1282172450000001</v>
      </c>
      <c r="GQ9">
        <v>1.484763855</v>
      </c>
      <c r="GR9">
        <v>0.34474267419999999</v>
      </c>
      <c r="GS9">
        <v>9.3140684989999993</v>
      </c>
      <c r="GT9">
        <v>285.5517754</v>
      </c>
      <c r="GU9">
        <v>46.320286760000002</v>
      </c>
      <c r="GV9">
        <v>176.15907229999999</v>
      </c>
      <c r="GW9">
        <v>418.2664479</v>
      </c>
      <c r="GX9">
        <v>1.7065824570000001</v>
      </c>
      <c r="GY9">
        <v>0.1875620154</v>
      </c>
      <c r="GZ9">
        <v>1.1328164060000001</v>
      </c>
      <c r="HA9">
        <v>2.122974718</v>
      </c>
      <c r="HB9">
        <v>2.7522393470000002</v>
      </c>
      <c r="HC9">
        <v>0.380750011</v>
      </c>
      <c r="HD9">
        <v>1.581621741</v>
      </c>
      <c r="HE9">
        <v>3.4707819670000002</v>
      </c>
      <c r="HF9">
        <v>4.4588218050000004</v>
      </c>
      <c r="HG9">
        <v>0.49795177810000002</v>
      </c>
      <c r="HH9">
        <v>3.0084585709999998</v>
      </c>
      <c r="HI9">
        <v>5.3502228570000003</v>
      </c>
      <c r="HJ9">
        <v>1.864282432</v>
      </c>
      <c r="HK9">
        <v>0.31149644440000002</v>
      </c>
      <c r="HL9">
        <v>1.2085502889999999</v>
      </c>
      <c r="HM9">
        <v>2.5094101539999998</v>
      </c>
      <c r="HN9">
        <v>5.3355923159999996</v>
      </c>
      <c r="HO9">
        <v>0.44846487410000002</v>
      </c>
      <c r="HP9">
        <v>3.66289</v>
      </c>
      <c r="HQ9">
        <v>6.35337</v>
      </c>
      <c r="HR9">
        <v>0.60142000370000004</v>
      </c>
      <c r="HS9">
        <v>0.1284744864</v>
      </c>
      <c r="HT9">
        <v>0.37567215120000003</v>
      </c>
      <c r="HU9">
        <v>0.9547485228</v>
      </c>
      <c r="HV9">
        <v>0.77105043350000002</v>
      </c>
      <c r="HW9">
        <v>0.1512236324</v>
      </c>
      <c r="HX9">
        <v>0.48010728539999997</v>
      </c>
      <c r="HY9">
        <v>1.1719732700000001</v>
      </c>
      <c r="HZ9">
        <v>-0.60630073439999999</v>
      </c>
      <c r="IA9">
        <v>0.28874764539999997</v>
      </c>
      <c r="IB9">
        <v>-1.5613178240000001</v>
      </c>
      <c r="IC9">
        <v>0.22587303710000001</v>
      </c>
      <c r="ID9">
        <v>3.95216112</v>
      </c>
      <c r="IE9">
        <v>0.76445394160000002</v>
      </c>
      <c r="IF9">
        <v>2.7209458710000001</v>
      </c>
      <c r="IG9">
        <v>6.6205654530000002</v>
      </c>
      <c r="IH9">
        <v>2.0258806680000001</v>
      </c>
      <c r="II9">
        <v>0.27261843460000001</v>
      </c>
      <c r="IJ9">
        <v>1.3642479510000001</v>
      </c>
      <c r="IK9">
        <v>2.825847488</v>
      </c>
      <c r="IL9">
        <v>3.309711648</v>
      </c>
      <c r="IM9">
        <v>0.30330147769999999</v>
      </c>
      <c r="IN9">
        <v>2.0390070009999999</v>
      </c>
      <c r="IO9">
        <v>4.1293078799999998</v>
      </c>
      <c r="IP9">
        <v>5.1448428420000001</v>
      </c>
      <c r="IQ9">
        <v>0.39118998259999999</v>
      </c>
      <c r="IR9">
        <v>3.6249099999999999</v>
      </c>
      <c r="IS9">
        <v>6.0757300000000001</v>
      </c>
      <c r="IT9">
        <v>4.6602352109999998</v>
      </c>
      <c r="IU9">
        <v>0.68937101990000005</v>
      </c>
      <c r="IV9">
        <v>2.5800200000000002</v>
      </c>
      <c r="IW9">
        <v>5.7207600000000003</v>
      </c>
      <c r="IX9">
        <v>3.3220455439999998E-2</v>
      </c>
      <c r="IY9">
        <v>5.5644705239999998E-3</v>
      </c>
      <c r="IZ9">
        <v>2.3117851160000001E-2</v>
      </c>
      <c r="JA9">
        <v>5.3070856960000003E-2</v>
      </c>
      <c r="JB9">
        <v>11.54823889</v>
      </c>
      <c r="JC9">
        <v>1.092928506</v>
      </c>
      <c r="JD9">
        <v>8.5839427700000002</v>
      </c>
      <c r="JE9">
        <v>14.594431780000001</v>
      </c>
      <c r="JF9">
        <v>8.2845210869999999</v>
      </c>
      <c r="JG9">
        <v>4.5554815670000002</v>
      </c>
      <c r="JH9">
        <v>0.68948534839999998</v>
      </c>
      <c r="JI9">
        <v>38.04481655</v>
      </c>
      <c r="JJ9">
        <v>1.20071014</v>
      </c>
      <c r="JK9">
        <v>0.28678314840000002</v>
      </c>
      <c r="JL9">
        <v>0.72096455329999998</v>
      </c>
      <c r="JM9">
        <v>2.0526525360000001</v>
      </c>
      <c r="JN9">
        <v>5.8296062490000002</v>
      </c>
      <c r="JO9">
        <v>2.320893737</v>
      </c>
      <c r="JP9">
        <v>0.91110563899999997</v>
      </c>
      <c r="JQ9">
        <v>15.341049</v>
      </c>
      <c r="JR9">
        <v>308.91304439999999</v>
      </c>
      <c r="JS9">
        <v>48.447149400000001</v>
      </c>
      <c r="JT9">
        <v>188.42733229999999</v>
      </c>
      <c r="JU9">
        <v>432.56615549999998</v>
      </c>
      <c r="JV9">
        <v>0.37591769429999999</v>
      </c>
      <c r="JW9">
        <v>0.1463262209</v>
      </c>
      <c r="JX9">
        <v>0.1213889365</v>
      </c>
      <c r="JY9">
        <v>0.95930090450000005</v>
      </c>
      <c r="JZ9">
        <v>0.47654486359999998</v>
      </c>
      <c r="KA9">
        <v>0.28613883829999998</v>
      </c>
      <c r="KB9">
        <v>0.1256123264</v>
      </c>
      <c r="KC9">
        <v>1.5499095839999999</v>
      </c>
      <c r="KD9">
        <v>0.85246255790000003</v>
      </c>
      <c r="KE9">
        <v>0.38539565199999998</v>
      </c>
      <c r="KF9">
        <v>0.27161400000000002</v>
      </c>
      <c r="KG9">
        <v>2.1125699999999998</v>
      </c>
      <c r="KH9">
        <v>0.53187247429999995</v>
      </c>
      <c r="KI9">
        <v>0.25037484650000003</v>
      </c>
      <c r="KJ9">
        <v>0.126135</v>
      </c>
      <c r="KK9">
        <v>1.52162</v>
      </c>
      <c r="KL9">
        <v>0.85246255790000003</v>
      </c>
      <c r="KM9">
        <v>0.38539565199999998</v>
      </c>
      <c r="KN9">
        <v>0.27161400000000002</v>
      </c>
      <c r="KO9">
        <v>2.1125699999999998</v>
      </c>
      <c r="KP9">
        <v>0.15465130660000001</v>
      </c>
      <c r="KQ9">
        <v>6.2077613259999997E-2</v>
      </c>
      <c r="KR9">
        <v>5.5775655489999999E-2</v>
      </c>
      <c r="KS9">
        <v>0.37473846989999998</v>
      </c>
      <c r="KT9">
        <v>0.1942173046</v>
      </c>
      <c r="KU9">
        <v>8.0398895560000003E-2</v>
      </c>
      <c r="KV9">
        <v>7.3672848260000007E-2</v>
      </c>
      <c r="KW9">
        <v>0.47202360869999999</v>
      </c>
      <c r="KX9">
        <v>-0.2421781543</v>
      </c>
      <c r="KY9">
        <v>0.67729843570000003</v>
      </c>
      <c r="KZ9">
        <v>-3.346939281</v>
      </c>
      <c r="LA9">
        <v>1.5762541379999999</v>
      </c>
      <c r="LB9">
        <v>3.1605403000000001</v>
      </c>
      <c r="LC9">
        <v>1.92542748</v>
      </c>
      <c r="LD9">
        <v>1.5856697239999999</v>
      </c>
      <c r="LE9">
        <v>17.193187519999999</v>
      </c>
      <c r="LF9">
        <v>1.555404601</v>
      </c>
      <c r="LG9">
        <v>0.50418358370000005</v>
      </c>
      <c r="LH9">
        <v>0.73243499749999996</v>
      </c>
      <c r="LI9">
        <v>4.3952999850000003</v>
      </c>
      <c r="LJ9">
        <v>4.6274067469999999E-2</v>
      </c>
      <c r="LK9">
        <v>1.9552837409999999E-2</v>
      </c>
      <c r="LL9">
        <v>1.729906069E-2</v>
      </c>
      <c r="LM9">
        <v>0.1297063507</v>
      </c>
      <c r="LN9">
        <v>97.365671410000004</v>
      </c>
      <c r="LO9">
        <v>6.5216707820000002</v>
      </c>
      <c r="LP9">
        <v>52.874834139999997</v>
      </c>
      <c r="LQ9">
        <v>100</v>
      </c>
      <c r="LR9">
        <v>0.32040573989999999</v>
      </c>
      <c r="LS9">
        <v>0.1278193702</v>
      </c>
      <c r="LT9">
        <v>9.7117176969999996E-2</v>
      </c>
      <c r="LU9">
        <v>0.79620635429999997</v>
      </c>
      <c r="LV9">
        <v>14.165125379999999</v>
      </c>
      <c r="LW9">
        <v>5.659179999</v>
      </c>
      <c r="LX9">
        <v>0</v>
      </c>
      <c r="LY9">
        <v>29.279080050000001</v>
      </c>
      <c r="LZ9">
        <v>6.9215251530000002</v>
      </c>
      <c r="MA9">
        <v>1.711796908</v>
      </c>
      <c r="MB9">
        <v>2.275157563</v>
      </c>
      <c r="MC9">
        <v>13.65308872</v>
      </c>
      <c r="MD9">
        <v>0.35344761149999998</v>
      </c>
      <c r="ME9">
        <v>0.13966786719999999</v>
      </c>
      <c r="MF9">
        <v>0.122169734</v>
      </c>
      <c r="MG9">
        <v>0.85252931669999998</v>
      </c>
      <c r="MH9">
        <v>0.44576793059999997</v>
      </c>
      <c r="MI9">
        <v>0.25392709559999999</v>
      </c>
      <c r="MJ9">
        <v>0.1218702457</v>
      </c>
      <c r="MK9">
        <v>1.4108827420000001</v>
      </c>
      <c r="ML9">
        <v>0.79921554210000001</v>
      </c>
      <c r="MM9">
        <v>0.35542483289999999</v>
      </c>
      <c r="MN9">
        <v>0.27299400000000001</v>
      </c>
      <c r="MO9">
        <v>1.99739</v>
      </c>
      <c r="MP9">
        <v>0.49751360379999998</v>
      </c>
      <c r="MQ9">
        <v>0.2324419274</v>
      </c>
      <c r="MR9">
        <v>0.12611</v>
      </c>
      <c r="MS9">
        <v>1.46831</v>
      </c>
      <c r="MT9">
        <v>0.79921554210000001</v>
      </c>
      <c r="MU9">
        <v>0.35542483289999999</v>
      </c>
      <c r="MV9">
        <v>0.27299400000000001</v>
      </c>
      <c r="MW9">
        <v>1.99739</v>
      </c>
      <c r="MX9">
        <v>0.1472364474</v>
      </c>
      <c r="MY9">
        <v>5.887537357E-2</v>
      </c>
      <c r="MZ9">
        <v>5.4506695199999997E-2</v>
      </c>
      <c r="NA9">
        <v>0.35510154729999999</v>
      </c>
      <c r="NB9">
        <v>0.18396397850000001</v>
      </c>
      <c r="NC9">
        <v>7.573037094E-2</v>
      </c>
      <c r="ND9">
        <v>7.0047055179999998E-2</v>
      </c>
      <c r="NE9">
        <v>0.44123146130000002</v>
      </c>
      <c r="NF9">
        <v>-0.25302470989999998</v>
      </c>
      <c r="NG9">
        <v>0.59656362689999998</v>
      </c>
      <c r="NH9">
        <v>-2.7410854009999999</v>
      </c>
      <c r="NI9">
        <v>1.4299410850000001</v>
      </c>
      <c r="NJ9">
        <v>3.0169368809999999</v>
      </c>
      <c r="NK9">
        <v>1.5771375670000001</v>
      </c>
      <c r="NL9">
        <v>1.5730208459999999</v>
      </c>
      <c r="NM9">
        <v>13.351936439999999</v>
      </c>
      <c r="NN9">
        <v>1.560182856</v>
      </c>
      <c r="NO9">
        <v>0.52886136169999998</v>
      </c>
      <c r="NP9">
        <v>0.72967499749999998</v>
      </c>
      <c r="NQ9">
        <v>4.3745999849999997</v>
      </c>
      <c r="NR9">
        <v>4.3249619369999999E-2</v>
      </c>
      <c r="NS9">
        <v>1.8273738130000002E-2</v>
      </c>
      <c r="NT9">
        <v>1.7459390660000001E-2</v>
      </c>
      <c r="NU9">
        <v>0.12197000180000001</v>
      </c>
      <c r="NV9">
        <v>97.936842440000007</v>
      </c>
      <c r="NW9">
        <v>5.2847438850000001</v>
      </c>
      <c r="NX9">
        <v>68.288367980000004</v>
      </c>
      <c r="NY9">
        <v>100</v>
      </c>
      <c r="NZ9">
        <v>0.30609291529999999</v>
      </c>
      <c r="OA9">
        <v>0.1216363332</v>
      </c>
      <c r="OB9">
        <v>0.1018400171</v>
      </c>
      <c r="OC9">
        <v>0.82144672590000001</v>
      </c>
      <c r="OD9">
        <v>14.465839409999999</v>
      </c>
      <c r="OE9">
        <v>5.4557473969999997</v>
      </c>
      <c r="OF9">
        <v>0</v>
      </c>
      <c r="OG9">
        <v>29.788253619999999</v>
      </c>
      <c r="OH9">
        <v>6.9441795949999996</v>
      </c>
      <c r="OI9">
        <v>1.7958004329999999</v>
      </c>
      <c r="OJ9">
        <v>2.2859232920000001</v>
      </c>
      <c r="OK9">
        <v>13.70473161</v>
      </c>
      <c r="OL9">
        <v>0.85537745170000001</v>
      </c>
      <c r="OM9">
        <v>-0.93351123079999998</v>
      </c>
      <c r="ON9">
        <v>6.2960871730000001</v>
      </c>
      <c r="OO9">
        <v>5.29847</v>
      </c>
      <c r="OP9">
        <v>6.0104199999999999</v>
      </c>
      <c r="OQ9">
        <v>11.30889</v>
      </c>
      <c r="OR9">
        <v>0.6249393298</v>
      </c>
      <c r="OS9" s="2">
        <v>3.5326268110000001E-5</v>
      </c>
      <c r="OT9">
        <v>1.00081693E-3</v>
      </c>
      <c r="OU9" s="2">
        <v>3.5326268110000001E-5</v>
      </c>
      <c r="OV9">
        <v>6.4114976119999999E-4</v>
      </c>
      <c r="OW9">
        <v>8.6095023880000004E-4</v>
      </c>
      <c r="OX9">
        <v>1.3986669089999999E-4</v>
      </c>
      <c r="OY9">
        <v>1.7698358359999999</v>
      </c>
      <c r="OZ9">
        <v>0.71291629680000002</v>
      </c>
      <c r="PA9">
        <v>1.4834474360000001</v>
      </c>
      <c r="PB9">
        <v>10.468901069999999</v>
      </c>
      <c r="PC9">
        <v>87.32116766</v>
      </c>
      <c r="PD9">
        <v>0.81101680990000002</v>
      </c>
      <c r="PE9">
        <v>-0.76741039529999999</v>
      </c>
      <c r="PF9">
        <v>4.3838684920000004</v>
      </c>
      <c r="PG9">
        <v>2.42388</v>
      </c>
      <c r="PH9">
        <v>3.9249399999999999</v>
      </c>
      <c r="PI9">
        <v>6.3488199999999999</v>
      </c>
      <c r="PJ9">
        <v>0.61075907780000005</v>
      </c>
      <c r="PK9" s="2">
        <v>3.0354787710000002E-5</v>
      </c>
      <c r="PL9">
        <v>9.8698498699999995E-4</v>
      </c>
      <c r="PM9" s="2">
        <v>3.0354787710000002E-5</v>
      </c>
      <c r="PN9">
        <v>6.3961074070000002E-4</v>
      </c>
      <c r="PO9">
        <v>8.545492593E-4</v>
      </c>
      <c r="PP9">
        <v>1.3243572770000001E-4</v>
      </c>
      <c r="PQ9">
        <v>1.765425247</v>
      </c>
      <c r="PR9">
        <v>0.6134928757</v>
      </c>
      <c r="PS9">
        <v>1.362656189</v>
      </c>
      <c r="PT9">
        <v>10.349046019999999</v>
      </c>
      <c r="PU9">
        <v>87.258494780000007</v>
      </c>
      <c r="PV9">
        <v>1.914419476</v>
      </c>
      <c r="PW9">
        <v>0.72069984200000003</v>
      </c>
      <c r="PX9">
        <v>1.543278846</v>
      </c>
      <c r="PY9">
        <v>9.4225421069999999</v>
      </c>
      <c r="PZ9">
        <v>87.171717060000006</v>
      </c>
      <c r="QA9">
        <v>1.9115067960000001</v>
      </c>
      <c r="QB9">
        <v>0.61007349219999996</v>
      </c>
      <c r="QC9">
        <v>1.4164808360000001</v>
      </c>
      <c r="QD9">
        <v>9.3377104749999997</v>
      </c>
      <c r="QE9">
        <v>87.147640440000004</v>
      </c>
      <c r="QF9" s="2">
        <v>3.621223002E-5</v>
      </c>
      <c r="QG9">
        <v>6.9950269859999996E-4</v>
      </c>
      <c r="QH9">
        <v>9.0008730140000005E-4</v>
      </c>
      <c r="QI9">
        <v>1.4589773430000001E-4</v>
      </c>
      <c r="QJ9" s="2">
        <v>3.1008341290000003E-5</v>
      </c>
      <c r="QK9">
        <v>6.9848495510000004E-4</v>
      </c>
      <c r="QL9">
        <v>8.9643504489999996E-4</v>
      </c>
      <c r="QM9">
        <v>1.378018678E-4</v>
      </c>
      <c r="QN9">
        <v>79.346560850000003</v>
      </c>
      <c r="QO9">
        <v>40.024911289999999</v>
      </c>
      <c r="QP9">
        <v>116.49067890000001</v>
      </c>
      <c r="QQ9">
        <v>45.493569809999997</v>
      </c>
      <c r="QR9">
        <v>75.457556220000001</v>
      </c>
      <c r="QS9">
        <v>40.022136809999999</v>
      </c>
      <c r="QT9">
        <v>116.4911867</v>
      </c>
      <c r="QU9">
        <v>45.48737946</v>
      </c>
    </row>
    <row r="10" spans="1:463" x14ac:dyDescent="0.2">
      <c r="A10" t="s">
        <v>280</v>
      </c>
      <c r="B10" s="2">
        <v>-4.1500414229999998E-11</v>
      </c>
      <c r="C10" s="2">
        <v>-8.9574761999999993E-12</v>
      </c>
      <c r="D10">
        <v>3.7137704139999998E-2</v>
      </c>
      <c r="E10">
        <v>7.786329786E-2</v>
      </c>
      <c r="F10">
        <v>0.45129137809999997</v>
      </c>
      <c r="G10">
        <v>0.1138603239</v>
      </c>
      <c r="H10">
        <v>0.23872074269999999</v>
      </c>
      <c r="I10">
        <v>1.383612252</v>
      </c>
      <c r="J10">
        <v>32.579758920000003</v>
      </c>
      <c r="K10">
        <v>32.616896619999999</v>
      </c>
      <c r="L10">
        <v>32.616896619999999</v>
      </c>
      <c r="M10">
        <v>32.616896619999999</v>
      </c>
      <c r="N10">
        <v>32.539033330000002</v>
      </c>
      <c r="O10">
        <v>32.616896619999999</v>
      </c>
      <c r="P10">
        <v>32.165605249999999</v>
      </c>
      <c r="Q10">
        <v>32.616896619999999</v>
      </c>
      <c r="R10">
        <v>2.5829471719999999</v>
      </c>
      <c r="S10">
        <v>0.79732214540000002</v>
      </c>
      <c r="T10">
        <v>1.3041357730000001</v>
      </c>
      <c r="U10">
        <v>4.1978387359999996</v>
      </c>
      <c r="V10">
        <v>2.7978962489999999</v>
      </c>
      <c r="W10">
        <v>0.54048078769999996</v>
      </c>
      <c r="X10">
        <v>1.3633526380000001</v>
      </c>
      <c r="Y10">
        <v>4.0731065510000004</v>
      </c>
      <c r="Z10">
        <v>5.3808434209999998</v>
      </c>
      <c r="AA10">
        <v>0.97361067980000005</v>
      </c>
      <c r="AB10">
        <v>3.0794800000000002</v>
      </c>
      <c r="AC10">
        <v>7.4813400000000003</v>
      </c>
      <c r="AD10">
        <v>1.5708278790000001</v>
      </c>
      <c r="AE10">
        <v>0.24787363649999999</v>
      </c>
      <c r="AF10">
        <v>1.101231852</v>
      </c>
      <c r="AG10">
        <v>2.4092286359999999</v>
      </c>
      <c r="AH10">
        <v>5.3808434209999998</v>
      </c>
      <c r="AI10">
        <v>0.97361067980000005</v>
      </c>
      <c r="AJ10">
        <v>3.0794800000000002</v>
      </c>
      <c r="AK10">
        <v>7.4813400000000003</v>
      </c>
      <c r="AL10">
        <v>0.52153004000000003</v>
      </c>
      <c r="AM10">
        <v>9.5471519830000004E-2</v>
      </c>
      <c r="AN10">
        <v>0.35997453109999999</v>
      </c>
      <c r="AO10">
        <v>0.90585562129999997</v>
      </c>
      <c r="AP10">
        <v>0.67443708599999996</v>
      </c>
      <c r="AQ10">
        <v>0.1217196327</v>
      </c>
      <c r="AR10">
        <v>0.4589542653</v>
      </c>
      <c r="AS10">
        <v>1.128884319</v>
      </c>
      <c r="AT10">
        <v>-0.37494960220000001</v>
      </c>
      <c r="AU10">
        <v>0.42820046810000001</v>
      </c>
      <c r="AV10">
        <v>-1.710989026</v>
      </c>
      <c r="AW10">
        <v>0.92702172949999995</v>
      </c>
      <c r="AX10">
        <v>4.3470442800000004</v>
      </c>
      <c r="AY10">
        <v>1.156047448</v>
      </c>
      <c r="AZ10">
        <v>2.8176686910000002</v>
      </c>
      <c r="BA10">
        <v>9.4480954970000006</v>
      </c>
      <c r="BB10">
        <v>8.9346180740000003E-2</v>
      </c>
      <c r="BC10">
        <v>1.410340994E-2</v>
      </c>
      <c r="BD10">
        <v>6.224081611E-2</v>
      </c>
      <c r="BE10">
        <v>0.13760133290000001</v>
      </c>
      <c r="BF10">
        <v>4.0170540790000002</v>
      </c>
      <c r="BG10">
        <v>0.88516806270000004</v>
      </c>
      <c r="BH10">
        <v>2.8951111840000001</v>
      </c>
      <c r="BI10">
        <v>7.8394612160000001</v>
      </c>
      <c r="BJ10">
        <v>4.3405703850000004</v>
      </c>
      <c r="BK10">
        <v>6.1757189170000002</v>
      </c>
      <c r="BL10">
        <v>4.4189129469999998E-2</v>
      </c>
      <c r="BM10">
        <v>29.739284139999999</v>
      </c>
      <c r="BN10">
        <v>1.058226399</v>
      </c>
      <c r="BO10">
        <v>0.19691515230000001</v>
      </c>
      <c r="BP10">
        <v>0.71828358690000005</v>
      </c>
      <c r="BQ10">
        <v>1.889790383</v>
      </c>
      <c r="BR10">
        <v>114.65994739999999</v>
      </c>
      <c r="BS10">
        <v>17.692380490000001</v>
      </c>
      <c r="BT10">
        <v>72.673714649999994</v>
      </c>
      <c r="BU10">
        <v>160.6662738</v>
      </c>
      <c r="BV10">
        <v>1.7325233739999999</v>
      </c>
      <c r="BW10">
        <v>0.1863641426</v>
      </c>
      <c r="BX10">
        <v>1.2061339879999999</v>
      </c>
      <c r="BY10">
        <v>2.1722686260000001</v>
      </c>
      <c r="BZ10">
        <v>2.224427731</v>
      </c>
      <c r="CA10">
        <v>0.22880928989999999</v>
      </c>
      <c r="CB10">
        <v>1.362718232</v>
      </c>
      <c r="CC10">
        <v>2.9504860119999998</v>
      </c>
      <c r="CD10">
        <v>3.9569511049999999</v>
      </c>
      <c r="CE10">
        <v>0.22453637000000001</v>
      </c>
      <c r="CF10">
        <v>3.0794800000000002</v>
      </c>
      <c r="CG10">
        <v>4.1783400000000004</v>
      </c>
      <c r="CH10">
        <v>1.4672710259999999</v>
      </c>
      <c r="CI10">
        <v>0.19729428539999999</v>
      </c>
      <c r="CJ10">
        <v>1.101231852</v>
      </c>
      <c r="CK10">
        <v>2.1717089129999998</v>
      </c>
      <c r="CL10">
        <v>3.9569511049999999</v>
      </c>
      <c r="CM10">
        <v>0.22453637000000001</v>
      </c>
      <c r="CN10">
        <v>3.0794800000000002</v>
      </c>
      <c r="CO10">
        <v>4.1783400000000004</v>
      </c>
      <c r="CP10">
        <v>0.51433136040000005</v>
      </c>
      <c r="CQ10">
        <v>9.0221131499999996E-2</v>
      </c>
      <c r="CR10">
        <v>0.3596291647</v>
      </c>
      <c r="CS10">
        <v>0.85967381840000001</v>
      </c>
      <c r="CT10">
        <v>0.65324830190000005</v>
      </c>
      <c r="CU10">
        <v>0.109487102</v>
      </c>
      <c r="CV10">
        <v>0.4589542653</v>
      </c>
      <c r="CW10">
        <v>1.033877224</v>
      </c>
      <c r="CX10">
        <v>-0.4036341685</v>
      </c>
      <c r="CY10">
        <v>0.24667613799999999</v>
      </c>
      <c r="CZ10">
        <v>-1.4874821499999999</v>
      </c>
      <c r="DA10">
        <v>0.44707816369999998</v>
      </c>
      <c r="DB10">
        <v>3.3788640050000001</v>
      </c>
      <c r="DC10">
        <v>0.4631031424</v>
      </c>
      <c r="DD10">
        <v>2.3946732279999998</v>
      </c>
      <c r="DE10">
        <v>6.3816375729999999</v>
      </c>
      <c r="DF10">
        <v>8.3910469880000005E-2</v>
      </c>
      <c r="DG10">
        <v>1.326490546E-2</v>
      </c>
      <c r="DH10">
        <v>5.9219417269999998E-2</v>
      </c>
      <c r="DI10">
        <v>0.12968999959999999</v>
      </c>
      <c r="DJ10">
        <v>3.8783510259999998</v>
      </c>
      <c r="DK10">
        <v>0.77262822919999996</v>
      </c>
      <c r="DL10">
        <v>2.8951111840000001</v>
      </c>
      <c r="DM10">
        <v>7.0781946969999998</v>
      </c>
      <c r="DN10">
        <v>12.727661510000001</v>
      </c>
      <c r="DO10">
        <v>8.0125153959999995</v>
      </c>
      <c r="DP10">
        <v>1.5024304020000001</v>
      </c>
      <c r="DQ10">
        <v>46.593037270000004</v>
      </c>
      <c r="DR10">
        <v>1.0579686450000001</v>
      </c>
      <c r="DS10">
        <v>0.19673617739999999</v>
      </c>
      <c r="DT10">
        <v>0.71818485499999996</v>
      </c>
      <c r="DU10">
        <v>1.887987182</v>
      </c>
      <c r="DV10">
        <v>122.08064570000001</v>
      </c>
      <c r="DW10">
        <v>18.811953469999999</v>
      </c>
      <c r="DX10">
        <v>77.106947599999998</v>
      </c>
      <c r="DY10">
        <v>168.86353260000001</v>
      </c>
      <c r="DZ10">
        <v>1.602806583</v>
      </c>
      <c r="EA10">
        <v>0.4446009622</v>
      </c>
      <c r="EB10">
        <v>0.91947517109999999</v>
      </c>
      <c r="EC10">
        <v>3.4293456020000002</v>
      </c>
      <c r="ED10">
        <v>1.6602634549999999</v>
      </c>
      <c r="EE10">
        <v>0.28597147109999999</v>
      </c>
      <c r="EF10">
        <v>1.0155401289999999</v>
      </c>
      <c r="EG10">
        <v>2.7918173959999999</v>
      </c>
      <c r="EH10">
        <v>3.263070038</v>
      </c>
      <c r="EI10">
        <v>0.58135414050000001</v>
      </c>
      <c r="EJ10">
        <v>2.1722214289999999</v>
      </c>
      <c r="EK10">
        <v>5.5386128570000004</v>
      </c>
      <c r="EL10">
        <v>1.410391435</v>
      </c>
      <c r="EM10">
        <v>0.22557870729999999</v>
      </c>
      <c r="EN10">
        <v>0.89891372550000004</v>
      </c>
      <c r="EO10">
        <v>2.1744059999999998</v>
      </c>
      <c r="EP10">
        <v>4.9323165790000001</v>
      </c>
      <c r="EQ10">
        <v>0.99918121159999995</v>
      </c>
      <c r="ER10">
        <v>2.8919800000000002</v>
      </c>
      <c r="ES10">
        <v>7.4442599999999999</v>
      </c>
      <c r="ET10">
        <v>0.43199486300000001</v>
      </c>
      <c r="EU10">
        <v>8.0523661819999995E-2</v>
      </c>
      <c r="EV10">
        <v>0.2708127105</v>
      </c>
      <c r="EW10">
        <v>0.75221805050000001</v>
      </c>
      <c r="EX10">
        <v>0.56211732749999999</v>
      </c>
      <c r="EY10">
        <v>0.1017780942</v>
      </c>
      <c r="EZ10">
        <v>0.36169848570000002</v>
      </c>
      <c r="FA10">
        <v>0.96171417079999999</v>
      </c>
      <c r="FB10">
        <v>-0.15719426189999999</v>
      </c>
      <c r="FC10">
        <v>0.39677065989999999</v>
      </c>
      <c r="FD10">
        <v>-0.94133186270000002</v>
      </c>
      <c r="FE10">
        <v>0.88568277660000005</v>
      </c>
      <c r="FF10">
        <v>4.060724639</v>
      </c>
      <c r="FG10">
        <v>0.78497059209999998</v>
      </c>
      <c r="FH10">
        <v>2.2989082110000001</v>
      </c>
      <c r="FI10">
        <v>7.4247299590000004</v>
      </c>
      <c r="FJ10">
        <v>2.559569771</v>
      </c>
      <c r="FK10">
        <v>0.87377684170000003</v>
      </c>
      <c r="FL10">
        <v>1.1470686699999999</v>
      </c>
      <c r="FM10">
        <v>4.6318128979999997</v>
      </c>
      <c r="FN10">
        <v>2.372746808</v>
      </c>
      <c r="FO10">
        <v>0.48877679080000003</v>
      </c>
      <c r="FP10">
        <v>1.206097185</v>
      </c>
      <c r="FQ10">
        <v>3.8770402540000002</v>
      </c>
      <c r="FR10">
        <v>4.5755881049999996</v>
      </c>
      <c r="FS10">
        <v>0.96835053280000005</v>
      </c>
      <c r="FT10">
        <v>2.5445600000000002</v>
      </c>
      <c r="FU10">
        <v>7.4442599999999999</v>
      </c>
      <c r="FV10">
        <v>3.8408004739999999</v>
      </c>
      <c r="FW10">
        <v>1.152828443</v>
      </c>
      <c r="FX10">
        <v>1.77206</v>
      </c>
      <c r="FY10">
        <v>7.4442599999999999</v>
      </c>
      <c r="FZ10">
        <v>7.0871705490000006E-2</v>
      </c>
      <c r="GA10">
        <v>1.125650234E-2</v>
      </c>
      <c r="GB10">
        <v>4.7943103280000003E-2</v>
      </c>
      <c r="GC10">
        <v>0.1103171996</v>
      </c>
      <c r="GD10">
        <v>3.9500172419999999</v>
      </c>
      <c r="GE10">
        <v>0.87419628149999995</v>
      </c>
      <c r="GF10">
        <v>2.8585008300000001</v>
      </c>
      <c r="GG10">
        <v>7.5838276520000001</v>
      </c>
      <c r="GH10">
        <v>4.5879303489999996</v>
      </c>
      <c r="GI10">
        <v>7.4824115610000002</v>
      </c>
      <c r="GJ10">
        <v>7.3873430190000006E-2</v>
      </c>
      <c r="GK10">
        <v>40.507264220000003</v>
      </c>
      <c r="GL10">
        <v>0.85683054599999997</v>
      </c>
      <c r="GM10">
        <v>0.16798884980000001</v>
      </c>
      <c r="GN10">
        <v>0.52903826720000002</v>
      </c>
      <c r="GO10">
        <v>1.5096625020000001</v>
      </c>
      <c r="GP10">
        <v>6.0265258560000001</v>
      </c>
      <c r="GQ10">
        <v>2.011651708</v>
      </c>
      <c r="GR10">
        <v>2.314700813</v>
      </c>
      <c r="GS10">
        <v>18.098990400000002</v>
      </c>
      <c r="GT10">
        <v>144.69588640000001</v>
      </c>
      <c r="GU10">
        <v>23.24360523</v>
      </c>
      <c r="GV10">
        <v>90.647696229999994</v>
      </c>
      <c r="GW10">
        <v>208.58057400000001</v>
      </c>
      <c r="GX10">
        <v>1.393597092</v>
      </c>
      <c r="GY10">
        <v>0.2347256637</v>
      </c>
      <c r="GZ10">
        <v>0.91947517109999999</v>
      </c>
      <c r="HA10">
        <v>2.1134540149999999</v>
      </c>
      <c r="HB10">
        <v>1.54917854</v>
      </c>
      <c r="HC10">
        <v>0.2100399017</v>
      </c>
      <c r="HD10">
        <v>1.015277164</v>
      </c>
      <c r="HE10">
        <v>2.237680036</v>
      </c>
      <c r="HF10">
        <v>2.942775632</v>
      </c>
      <c r="HG10">
        <v>0.3470334927</v>
      </c>
      <c r="HH10">
        <v>2.1722214289999999</v>
      </c>
      <c r="HI10">
        <v>3.8257142860000002</v>
      </c>
      <c r="HJ10">
        <v>1.3289244229999999</v>
      </c>
      <c r="HK10">
        <v>0.18109907040000001</v>
      </c>
      <c r="HL10">
        <v>0.89890499999999995</v>
      </c>
      <c r="HM10">
        <v>1.8594588889999999</v>
      </c>
      <c r="HN10">
        <v>3.879728053</v>
      </c>
      <c r="HO10">
        <v>0.39123845810000002</v>
      </c>
      <c r="HP10">
        <v>2.8919800000000002</v>
      </c>
      <c r="HQ10">
        <v>4.8780599999999996</v>
      </c>
      <c r="HR10">
        <v>0.4249456244</v>
      </c>
      <c r="HS10">
        <v>7.5635645730000006E-2</v>
      </c>
      <c r="HT10">
        <v>0.27079861109999998</v>
      </c>
      <c r="HU10">
        <v>0.70543454179999998</v>
      </c>
      <c r="HV10">
        <v>0.54379607330000002</v>
      </c>
      <c r="HW10">
        <v>9.0331733090000005E-2</v>
      </c>
      <c r="HX10">
        <v>0.36167620690000002</v>
      </c>
      <c r="HY10">
        <v>0.87171428350000002</v>
      </c>
      <c r="HZ10">
        <v>-0.21644377819999999</v>
      </c>
      <c r="IA10">
        <v>0.2823689519</v>
      </c>
      <c r="IB10">
        <v>-0.94646579890000004</v>
      </c>
      <c r="IC10">
        <v>0.58072384580000003</v>
      </c>
      <c r="ID10">
        <v>3.4962337649999999</v>
      </c>
      <c r="IE10">
        <v>0.51213490189999999</v>
      </c>
      <c r="IF10">
        <v>2.2199274199999999</v>
      </c>
      <c r="IG10">
        <v>5.8327517259999997</v>
      </c>
      <c r="IH10">
        <v>1.8686066029999999</v>
      </c>
      <c r="II10">
        <v>0.33212749549999998</v>
      </c>
      <c r="IJ10">
        <v>1.1457682389999999</v>
      </c>
      <c r="IK10">
        <v>2.7886142700000001</v>
      </c>
      <c r="IL10">
        <v>2.011121449</v>
      </c>
      <c r="IM10">
        <v>0.29088402499999999</v>
      </c>
      <c r="IN10">
        <v>1.2059871849999999</v>
      </c>
      <c r="IO10">
        <v>2.911247725</v>
      </c>
      <c r="IP10">
        <v>3.654799895</v>
      </c>
      <c r="IQ10">
        <v>0.40057699400000002</v>
      </c>
      <c r="IR10">
        <v>2.5445600000000002</v>
      </c>
      <c r="IS10">
        <v>4.5604800000000001</v>
      </c>
      <c r="IT10">
        <v>3.2741986839999999</v>
      </c>
      <c r="IU10">
        <v>0.58949231059999996</v>
      </c>
      <c r="IV10">
        <v>1.77206</v>
      </c>
      <c r="IW10">
        <v>4.3517799999999998</v>
      </c>
      <c r="IX10">
        <v>6.7634953890000002E-2</v>
      </c>
      <c r="IY10">
        <v>1.0774403050000001E-2</v>
      </c>
      <c r="IZ10">
        <v>4.6734453619999998E-2</v>
      </c>
      <c r="JA10">
        <v>0.1027844441</v>
      </c>
      <c r="JB10">
        <v>3.8298476350000001</v>
      </c>
      <c r="JC10">
        <v>0.765959999</v>
      </c>
      <c r="JD10">
        <v>2.8525306979999998</v>
      </c>
      <c r="JE10">
        <v>6.9204544510000003</v>
      </c>
      <c r="JF10">
        <v>7.9916877900000003</v>
      </c>
      <c r="JG10">
        <v>7.8888740779999997</v>
      </c>
      <c r="JH10">
        <v>0.4924895346</v>
      </c>
      <c r="JI10">
        <v>40.641421690000001</v>
      </c>
      <c r="JJ10">
        <v>0.85565998619999994</v>
      </c>
      <c r="JK10">
        <v>0.16807710479999999</v>
      </c>
      <c r="JL10">
        <v>0.52903826720000002</v>
      </c>
      <c r="JM10">
        <v>1.490706208</v>
      </c>
      <c r="JN10">
        <v>7.5387872060000003</v>
      </c>
      <c r="JO10">
        <v>2.3247389049999998</v>
      </c>
      <c r="JP10">
        <v>2.7086924400000001</v>
      </c>
      <c r="JQ10">
        <v>19.05934499</v>
      </c>
      <c r="JR10">
        <v>151.658682</v>
      </c>
      <c r="JS10">
        <v>24.567630950000002</v>
      </c>
      <c r="JT10">
        <v>97.290986869999998</v>
      </c>
      <c r="JU10">
        <v>213.97489909999999</v>
      </c>
      <c r="JV10">
        <v>0.50104043610000004</v>
      </c>
      <c r="JW10">
        <v>0.11841521570000001</v>
      </c>
      <c r="JX10">
        <v>0.2927060937</v>
      </c>
      <c r="JY10">
        <v>0.95781900129999997</v>
      </c>
      <c r="JZ10">
        <v>0.6923063008</v>
      </c>
      <c r="KA10">
        <v>0.23741564330000001</v>
      </c>
      <c r="KB10">
        <v>0.30675275299999999</v>
      </c>
      <c r="KC10">
        <v>1.8383078129999999</v>
      </c>
      <c r="KD10">
        <v>1.1933467369999999</v>
      </c>
      <c r="KE10">
        <v>0.31714469639999998</v>
      </c>
      <c r="KF10">
        <v>0.67844000000000004</v>
      </c>
      <c r="KG10">
        <v>2.5314199999999998</v>
      </c>
      <c r="KH10">
        <v>0.81483003509999996</v>
      </c>
      <c r="KI10">
        <v>0.20862853649999999</v>
      </c>
      <c r="KJ10">
        <v>0.34673749999999998</v>
      </c>
      <c r="KK10">
        <v>1.51766</v>
      </c>
      <c r="KL10">
        <v>1.1933467369999999</v>
      </c>
      <c r="KM10">
        <v>0.31714469639999998</v>
      </c>
      <c r="KN10">
        <v>0.67844000000000004</v>
      </c>
      <c r="KO10">
        <v>2.5314199999999998</v>
      </c>
      <c r="KP10">
        <v>0.24546330399999999</v>
      </c>
      <c r="KQ10">
        <v>5.3722593300000003E-2</v>
      </c>
      <c r="KR10">
        <v>0.14863881139999999</v>
      </c>
      <c r="KS10">
        <v>0.3983124281</v>
      </c>
      <c r="KT10">
        <v>0.29253447859999998</v>
      </c>
      <c r="KU10">
        <v>6.4700636069999998E-2</v>
      </c>
      <c r="KV10">
        <v>0.17859049469999999</v>
      </c>
      <c r="KW10">
        <v>0.46601440820000001</v>
      </c>
      <c r="KX10">
        <v>-0.30007735270000002</v>
      </c>
      <c r="KY10">
        <v>0.34154221350000002</v>
      </c>
      <c r="KZ10">
        <v>-1.871580026</v>
      </c>
      <c r="LA10">
        <v>0.5286182478</v>
      </c>
      <c r="LB10">
        <v>2.4265050160000001</v>
      </c>
      <c r="LC10">
        <v>0.85065581710000004</v>
      </c>
      <c r="LD10">
        <v>1.4858143770000001</v>
      </c>
      <c r="LE10">
        <v>8.0596080620000006</v>
      </c>
      <c r="LF10">
        <v>1.5492793890000001</v>
      </c>
      <c r="LG10">
        <v>0.2191338088</v>
      </c>
      <c r="LH10">
        <v>1.1366599959999999</v>
      </c>
      <c r="LI10">
        <v>3.1077599889999998</v>
      </c>
      <c r="LJ10">
        <v>6.7244968860000004E-2</v>
      </c>
      <c r="LK10">
        <v>1.6219081350000001E-2</v>
      </c>
      <c r="LL10">
        <v>3.4312673430000003E-2</v>
      </c>
      <c r="LM10">
        <v>0.1182266597</v>
      </c>
      <c r="LN10">
        <v>92.583637150000001</v>
      </c>
      <c r="LO10">
        <v>9.2026940429999993</v>
      </c>
      <c r="LP10">
        <v>51.212608009999997</v>
      </c>
      <c r="LQ10">
        <v>100</v>
      </c>
      <c r="LR10">
        <v>0.55073242870000005</v>
      </c>
      <c r="LS10">
        <v>0.12697069429999999</v>
      </c>
      <c r="LT10">
        <v>0.30964532490000002</v>
      </c>
      <c r="LU10">
        <v>0.8972755818</v>
      </c>
      <c r="LV10">
        <v>17.82354144</v>
      </c>
      <c r="LW10">
        <v>6.0182899660000002</v>
      </c>
      <c r="LX10">
        <v>2.9731635550000002</v>
      </c>
      <c r="LY10">
        <v>33.362792749999997</v>
      </c>
      <c r="LZ10">
        <v>6.5424438629999999</v>
      </c>
      <c r="MA10">
        <v>0.65384884759999995</v>
      </c>
      <c r="MB10">
        <v>3.2177517039999999</v>
      </c>
      <c r="MC10">
        <v>8.7977055889999995</v>
      </c>
      <c r="MD10">
        <v>0.4969207363</v>
      </c>
      <c r="ME10">
        <v>0.1180729359</v>
      </c>
      <c r="MF10">
        <v>0.29138870529999999</v>
      </c>
      <c r="MG10">
        <v>0.94625785679999996</v>
      </c>
      <c r="MH10">
        <v>0.66878510579999995</v>
      </c>
      <c r="MI10">
        <v>0.2090651056</v>
      </c>
      <c r="MJ10">
        <v>0.30264654880000003</v>
      </c>
      <c r="MK10">
        <v>1.472788685</v>
      </c>
      <c r="ML10">
        <v>1.1657058419999999</v>
      </c>
      <c r="MM10">
        <v>0.2899831424</v>
      </c>
      <c r="MN10">
        <v>0.67920000000000003</v>
      </c>
      <c r="MO10">
        <v>2.18146</v>
      </c>
      <c r="MP10">
        <v>0.80223882889999998</v>
      </c>
      <c r="MQ10">
        <v>0.1972844084</v>
      </c>
      <c r="MR10">
        <v>0.3570625</v>
      </c>
      <c r="MS10">
        <v>1.269833333</v>
      </c>
      <c r="MT10">
        <v>1.1657058419999999</v>
      </c>
      <c r="MU10">
        <v>0.2899831424</v>
      </c>
      <c r="MV10">
        <v>0.67920000000000003</v>
      </c>
      <c r="MW10">
        <v>2.18146</v>
      </c>
      <c r="MX10">
        <v>0.24291665030000001</v>
      </c>
      <c r="MY10">
        <v>5.2640043859999999E-2</v>
      </c>
      <c r="MZ10">
        <v>0.15159750550000001</v>
      </c>
      <c r="NA10">
        <v>0.37288384450000001</v>
      </c>
      <c r="NB10">
        <v>0.28850628389999999</v>
      </c>
      <c r="NC10">
        <v>6.2158839180000001E-2</v>
      </c>
      <c r="ND10">
        <v>0.18011360849999999</v>
      </c>
      <c r="NE10">
        <v>0.43250874680000001</v>
      </c>
      <c r="NF10">
        <v>-0.27267006780000003</v>
      </c>
      <c r="NG10">
        <v>0.30736671090000001</v>
      </c>
      <c r="NH10">
        <v>-1.372975386</v>
      </c>
      <c r="NI10">
        <v>0.5518545721</v>
      </c>
      <c r="NJ10">
        <v>2.3539050939999999</v>
      </c>
      <c r="NK10">
        <v>0.67070934630000001</v>
      </c>
      <c r="NL10">
        <v>1.48500352</v>
      </c>
      <c r="NM10">
        <v>6.0910232860000004</v>
      </c>
      <c r="NN10">
        <v>1.5525139160000001</v>
      </c>
      <c r="NO10">
        <v>0.2245538785</v>
      </c>
      <c r="NP10">
        <v>1.1398799959999999</v>
      </c>
      <c r="NQ10">
        <v>3.1077599889999998</v>
      </c>
      <c r="NR10">
        <v>6.6174279170000003E-2</v>
      </c>
      <c r="NS10">
        <v>1.5603176180000001E-2</v>
      </c>
      <c r="NT10">
        <v>3.4343771160000001E-2</v>
      </c>
      <c r="NU10">
        <v>0.1139239643</v>
      </c>
      <c r="NV10">
        <v>92.798412189999993</v>
      </c>
      <c r="NW10">
        <v>9.1592910950000004</v>
      </c>
      <c r="NX10">
        <v>51.679186919999999</v>
      </c>
      <c r="NY10">
        <v>100</v>
      </c>
      <c r="NZ10">
        <v>0.54719263289999998</v>
      </c>
      <c r="OA10">
        <v>0.1270940971</v>
      </c>
      <c r="OB10">
        <v>0.30947940439999999</v>
      </c>
      <c r="OC10">
        <v>0.89257839579999998</v>
      </c>
      <c r="OD10">
        <v>18.251206459999999</v>
      </c>
      <c r="OE10">
        <v>5.8267882579999997</v>
      </c>
      <c r="OF10">
        <v>4.0457360590000002</v>
      </c>
      <c r="OG10">
        <v>33.362792749999997</v>
      </c>
      <c r="OH10">
        <v>6.533012898</v>
      </c>
      <c r="OI10">
        <v>0.66749429189999998</v>
      </c>
      <c r="OJ10">
        <v>3.2177517039999999</v>
      </c>
      <c r="OK10">
        <v>8.7728533130000006</v>
      </c>
      <c r="OL10">
        <v>0.61654883260000004</v>
      </c>
      <c r="OM10">
        <v>-0.35331249529999997</v>
      </c>
      <c r="ON10">
        <v>5.7567902540000002</v>
      </c>
      <c r="OO10">
        <v>4.7511999999999999</v>
      </c>
      <c r="OP10">
        <v>4.0406000000000004</v>
      </c>
      <c r="OQ10">
        <v>8.7918000000000003</v>
      </c>
      <c r="OR10">
        <v>0.45773728829999999</v>
      </c>
      <c r="OS10" s="2">
        <v>3.3402854580000003E-5</v>
      </c>
      <c r="OT10">
        <v>7.2105729430000005E-4</v>
      </c>
      <c r="OU10" s="2">
        <v>3.3402854580000003E-5</v>
      </c>
      <c r="OV10">
        <v>4.9321607000000003E-4</v>
      </c>
      <c r="OW10">
        <v>6.3355392999999999E-4</v>
      </c>
      <c r="OX10" s="2">
        <v>8.750336425E-5</v>
      </c>
      <c r="OY10">
        <v>1.2946344910000001</v>
      </c>
      <c r="OZ10">
        <v>0.66810971600000002</v>
      </c>
      <c r="PA10">
        <v>0.87382518740000004</v>
      </c>
      <c r="PB10">
        <v>10.05077309</v>
      </c>
      <c r="PC10">
        <v>86.408614349999993</v>
      </c>
      <c r="PD10">
        <v>0.59235791920000003</v>
      </c>
      <c r="PE10">
        <v>-0.4155761597</v>
      </c>
      <c r="PF10">
        <v>4.1069341599999998</v>
      </c>
      <c r="PG10">
        <v>2.5712700000000002</v>
      </c>
      <c r="PH10">
        <v>2.8930099999999999</v>
      </c>
      <c r="PI10">
        <v>5.4642799999999996</v>
      </c>
      <c r="PJ10">
        <v>0.45076642420000002</v>
      </c>
      <c r="PK10" s="2">
        <v>2.977939871E-5</v>
      </c>
      <c r="PL10">
        <v>7.17117426E-4</v>
      </c>
      <c r="PM10" s="2">
        <v>2.977939871E-5</v>
      </c>
      <c r="PN10">
        <v>4.9279759940000002E-4</v>
      </c>
      <c r="PO10">
        <v>6.326424006E-4</v>
      </c>
      <c r="PP10" s="2">
        <v>8.4475025390000005E-5</v>
      </c>
      <c r="PQ10">
        <v>1.2929992349999999</v>
      </c>
      <c r="PR10">
        <v>0.59637904750000004</v>
      </c>
      <c r="PS10">
        <v>0.83014949490000001</v>
      </c>
      <c r="PT10">
        <v>10.03706953</v>
      </c>
      <c r="PU10">
        <v>86.412187860000003</v>
      </c>
      <c r="PV10">
        <v>1.6233605579999999</v>
      </c>
      <c r="PW10">
        <v>0.7020448977</v>
      </c>
      <c r="PX10">
        <v>0.96429855900000006</v>
      </c>
      <c r="PY10">
        <v>9.4310813240000009</v>
      </c>
      <c r="PZ10">
        <v>87.461910590000002</v>
      </c>
      <c r="QA10">
        <v>1.6231765060000001</v>
      </c>
      <c r="QB10">
        <v>0.62494224529999998</v>
      </c>
      <c r="QC10">
        <v>0.91347619349999998</v>
      </c>
      <c r="QD10">
        <v>9.4175756489999998</v>
      </c>
      <c r="QE10">
        <v>87.465065999999993</v>
      </c>
      <c r="QF10" s="2">
        <v>3.5236293959999998E-5</v>
      </c>
      <c r="QG10">
        <v>5.9779517459999996E-4</v>
      </c>
      <c r="QH10">
        <v>7.6681482539999997E-4</v>
      </c>
      <c r="QI10" s="2">
        <v>9.8398962030000003E-5</v>
      </c>
      <c r="QJ10" s="2">
        <v>3.1587734910000003E-5</v>
      </c>
      <c r="QK10">
        <v>5.9761988129999996E-4</v>
      </c>
      <c r="QL10">
        <v>7.6627011870000002E-4</v>
      </c>
      <c r="QM10" s="2">
        <v>9.5230051540000005E-5</v>
      </c>
      <c r="QN10">
        <v>22.124915850000001</v>
      </c>
      <c r="QO10">
        <v>122.23758239999999</v>
      </c>
      <c r="QP10">
        <v>40.004128969999996</v>
      </c>
      <c r="QQ10">
        <v>114.25865810000001</v>
      </c>
      <c r="QR10">
        <v>26.245873670000002</v>
      </c>
      <c r="QS10">
        <v>122.2375827</v>
      </c>
      <c r="QT10">
        <v>40.004935150000001</v>
      </c>
      <c r="QU10">
        <v>114.2585306</v>
      </c>
    </row>
    <row r="11" spans="1:463" x14ac:dyDescent="0.2">
      <c r="A11" t="s">
        <v>281</v>
      </c>
      <c r="B11" s="2">
        <v>-2.283227423E-11</v>
      </c>
      <c r="C11" s="2">
        <v>-2.219819145E-11</v>
      </c>
      <c r="D11">
        <v>3.4479161760000002E-2</v>
      </c>
      <c r="E11">
        <v>7.4105916689999995E-2</v>
      </c>
      <c r="F11">
        <v>0.4455534209</v>
      </c>
      <c r="G11">
        <v>0.10570951050000001</v>
      </c>
      <c r="H11">
        <v>0.22720100430000001</v>
      </c>
      <c r="I11">
        <v>1.3660202749999999</v>
      </c>
      <c r="J11">
        <v>32.582417460000002</v>
      </c>
      <c r="K11">
        <v>32.616896619999999</v>
      </c>
      <c r="L11">
        <v>32.616896619999999</v>
      </c>
      <c r="M11">
        <v>32.616896619999999</v>
      </c>
      <c r="N11">
        <v>32.542790709999998</v>
      </c>
      <c r="O11">
        <v>32.616896619999999</v>
      </c>
      <c r="P11">
        <v>32.171343200000003</v>
      </c>
      <c r="Q11">
        <v>32.616896619999999</v>
      </c>
      <c r="R11">
        <v>2.6411568239999998</v>
      </c>
      <c r="S11">
        <v>0.87949214850000001</v>
      </c>
      <c r="T11">
        <v>1.2531854330000001</v>
      </c>
      <c r="U11">
        <v>4.4155318320000001</v>
      </c>
      <c r="V11">
        <v>2.2528937400000002</v>
      </c>
      <c r="W11">
        <v>0.66554404509999998</v>
      </c>
      <c r="X11">
        <v>1.1781592460000001</v>
      </c>
      <c r="Y11">
        <v>3.6147511030000001</v>
      </c>
      <c r="Z11">
        <v>4.8940505630000004</v>
      </c>
      <c r="AA11">
        <v>1.017266741</v>
      </c>
      <c r="AB11">
        <v>2.6069559999999998</v>
      </c>
      <c r="AC11">
        <v>7.2503820000000001</v>
      </c>
      <c r="AD11">
        <v>1.2911095349999999</v>
      </c>
      <c r="AE11">
        <v>0.19300788620000001</v>
      </c>
      <c r="AF11">
        <v>0.88492303699999997</v>
      </c>
      <c r="AG11">
        <v>1.9597586360000001</v>
      </c>
      <c r="AH11">
        <v>4.8940505630000004</v>
      </c>
      <c r="AI11">
        <v>1.017266741</v>
      </c>
      <c r="AJ11">
        <v>2.6069559999999998</v>
      </c>
      <c r="AK11">
        <v>7.2503820000000001</v>
      </c>
      <c r="AL11">
        <v>0.4015520507</v>
      </c>
      <c r="AM11">
        <v>7.4364661979999996E-2</v>
      </c>
      <c r="AN11">
        <v>0.25883578359999998</v>
      </c>
      <c r="AO11">
        <v>0.68327521729999996</v>
      </c>
      <c r="AP11">
        <v>0.5330745496</v>
      </c>
      <c r="AQ11">
        <v>9.9659746229999999E-2</v>
      </c>
      <c r="AR11">
        <v>0.34281055669999999</v>
      </c>
      <c r="AS11">
        <v>0.90444973969999998</v>
      </c>
      <c r="AT11">
        <v>-5.1928080180000002E-2</v>
      </c>
      <c r="AU11">
        <v>0.83559990620000002</v>
      </c>
      <c r="AV11">
        <v>-1.650050918</v>
      </c>
      <c r="AW11">
        <v>2.265820835</v>
      </c>
      <c r="AX11">
        <v>6.0369186829999997</v>
      </c>
      <c r="AY11">
        <v>2.5353891640000001</v>
      </c>
      <c r="AZ11">
        <v>2.6905617510000002</v>
      </c>
      <c r="BA11">
        <v>18.336124089999998</v>
      </c>
      <c r="BB11">
        <v>7.8688174380000003E-2</v>
      </c>
      <c r="BC11">
        <v>1.7153782959999999E-2</v>
      </c>
      <c r="BD11">
        <v>5.1094214700000001E-2</v>
      </c>
      <c r="BE11">
        <v>0.14237560930000001</v>
      </c>
      <c r="BF11">
        <v>3.470972127</v>
      </c>
      <c r="BG11">
        <v>0.50087888729999996</v>
      </c>
      <c r="BH11">
        <v>2.4917266329999999</v>
      </c>
      <c r="BI11">
        <v>5.0359639730000003</v>
      </c>
      <c r="BJ11">
        <v>3.1913837869999999</v>
      </c>
      <c r="BK11">
        <v>6.1580153409999996</v>
      </c>
      <c r="BL11">
        <v>2.2094564739999999E-2</v>
      </c>
      <c r="BM11">
        <v>42.265714879999997</v>
      </c>
      <c r="BN11">
        <v>0.80052584270000005</v>
      </c>
      <c r="BO11">
        <v>0.14652874790000001</v>
      </c>
      <c r="BP11">
        <v>0.51840008849999997</v>
      </c>
      <c r="BQ11">
        <v>1.405586467</v>
      </c>
      <c r="BR11">
        <v>132.4877008</v>
      </c>
      <c r="BS11">
        <v>25.952208769999999</v>
      </c>
      <c r="BT11">
        <v>70.23674948</v>
      </c>
      <c r="BU11">
        <v>195.71687439999999</v>
      </c>
      <c r="BV11">
        <v>1.4925567019999999</v>
      </c>
      <c r="BW11">
        <v>0.1652751546</v>
      </c>
      <c r="BX11">
        <v>1.1258733240000001</v>
      </c>
      <c r="BY11">
        <v>2.0441215420000001</v>
      </c>
      <c r="BZ11">
        <v>1.796365003</v>
      </c>
      <c r="CA11">
        <v>0.2799672755</v>
      </c>
      <c r="CB11">
        <v>1.169374541</v>
      </c>
      <c r="CC11">
        <v>2.334216676</v>
      </c>
      <c r="CD11">
        <v>3.2889217049999999</v>
      </c>
      <c r="CE11">
        <v>0.25671905750000001</v>
      </c>
      <c r="CF11">
        <v>2.4975149999999999</v>
      </c>
      <c r="CG11">
        <v>3.5301330000000002</v>
      </c>
      <c r="CH11">
        <v>1.1881236559999999</v>
      </c>
      <c r="CI11">
        <v>0.15056819220000001</v>
      </c>
      <c r="CJ11">
        <v>0.86772832929999999</v>
      </c>
      <c r="CK11">
        <v>1.7489287710000001</v>
      </c>
      <c r="CL11">
        <v>3.2889217049999999</v>
      </c>
      <c r="CM11">
        <v>0.25671905750000001</v>
      </c>
      <c r="CN11">
        <v>2.4975149999999999</v>
      </c>
      <c r="CO11">
        <v>3.5301330000000002</v>
      </c>
      <c r="CP11">
        <v>0.39368779459999997</v>
      </c>
      <c r="CQ11">
        <v>6.9541886979999995E-2</v>
      </c>
      <c r="CR11">
        <v>0.25837743470000002</v>
      </c>
      <c r="CS11">
        <v>0.66366781509999995</v>
      </c>
      <c r="CT11">
        <v>0.50643772239999996</v>
      </c>
      <c r="CU11">
        <v>8.6541533419999997E-2</v>
      </c>
      <c r="CV11">
        <v>0.3402857205</v>
      </c>
      <c r="CW11">
        <v>0.81256706509999999</v>
      </c>
      <c r="CX11">
        <v>-0.1738681641</v>
      </c>
      <c r="CY11">
        <v>0.51340324380000002</v>
      </c>
      <c r="CZ11">
        <v>-1.608769213</v>
      </c>
      <c r="DA11">
        <v>0.80144180089999995</v>
      </c>
      <c r="DB11">
        <v>3.7761412050000001</v>
      </c>
      <c r="DC11">
        <v>0.75279126689999998</v>
      </c>
      <c r="DD11">
        <v>2.6215083209999999</v>
      </c>
      <c r="DE11">
        <v>6.6224335720000003</v>
      </c>
      <c r="DF11">
        <v>7.3108399919999997E-2</v>
      </c>
      <c r="DG11">
        <v>1.509032141E-2</v>
      </c>
      <c r="DH11">
        <v>4.9066666500000002E-2</v>
      </c>
      <c r="DI11">
        <v>0.12937499960000001</v>
      </c>
      <c r="DJ11">
        <v>3.3117387599999999</v>
      </c>
      <c r="DK11">
        <v>0.4258338914</v>
      </c>
      <c r="DL11">
        <v>2.4611019970000001</v>
      </c>
      <c r="DM11">
        <v>4.4274758829999996</v>
      </c>
      <c r="DN11">
        <v>17.354378430000001</v>
      </c>
      <c r="DO11">
        <v>10.019443130000001</v>
      </c>
      <c r="DP11">
        <v>1.71778834</v>
      </c>
      <c r="DQ11">
        <v>48.566023739999999</v>
      </c>
      <c r="DR11">
        <v>0.80043314619999995</v>
      </c>
      <c r="DS11">
        <v>0.1465097249</v>
      </c>
      <c r="DT11">
        <v>0.51861295240000005</v>
      </c>
      <c r="DU11">
        <v>1.405466061</v>
      </c>
      <c r="DV11">
        <v>142.01188350000001</v>
      </c>
      <c r="DW11">
        <v>26.359446680000001</v>
      </c>
      <c r="DX11">
        <v>77.294686260000006</v>
      </c>
      <c r="DY11">
        <v>203.8043485</v>
      </c>
      <c r="DZ11">
        <v>1.463264696</v>
      </c>
      <c r="EA11">
        <v>0.31987384419999998</v>
      </c>
      <c r="EB11">
        <v>0.91630390949999996</v>
      </c>
      <c r="EC11">
        <v>2.9048371080000002</v>
      </c>
      <c r="ED11">
        <v>1.38890234</v>
      </c>
      <c r="EE11">
        <v>0.38380155059999999</v>
      </c>
      <c r="EF11">
        <v>0.64305032120000005</v>
      </c>
      <c r="EG11">
        <v>2.3954522100000002</v>
      </c>
      <c r="EH11">
        <v>2.852167036</v>
      </c>
      <c r="EI11">
        <v>0.45568868899999998</v>
      </c>
      <c r="EJ11">
        <v>1.9355420000000001</v>
      </c>
      <c r="EK11">
        <v>4.0874638570000004</v>
      </c>
      <c r="EL11">
        <v>1.230591467</v>
      </c>
      <c r="EM11">
        <v>0.1803285164</v>
      </c>
      <c r="EN11">
        <v>0.89123715000000003</v>
      </c>
      <c r="EO11">
        <v>1.8836869789999999</v>
      </c>
      <c r="EP11">
        <v>4.5875364789999997</v>
      </c>
      <c r="EQ11">
        <v>0.95231103569999997</v>
      </c>
      <c r="ER11">
        <v>2.5907010000000001</v>
      </c>
      <c r="ES11">
        <v>6.7757949999999996</v>
      </c>
      <c r="ET11">
        <v>0.3744636059</v>
      </c>
      <c r="EU11">
        <v>6.893672797E-2</v>
      </c>
      <c r="EV11">
        <v>0.23913823370000001</v>
      </c>
      <c r="EW11">
        <v>0.61131558509999995</v>
      </c>
      <c r="EX11">
        <v>0.48846797559999999</v>
      </c>
      <c r="EY11">
        <v>8.6169335190000002E-2</v>
      </c>
      <c r="EZ11">
        <v>0.31625762829999998</v>
      </c>
      <c r="FA11">
        <v>0.80114547329999997</v>
      </c>
      <c r="FB11">
        <v>2.542559145E-2</v>
      </c>
      <c r="FC11">
        <v>0.61364831480000004</v>
      </c>
      <c r="FD11">
        <v>-1.1452985490000001</v>
      </c>
      <c r="FE11">
        <v>2.5808512189999999</v>
      </c>
      <c r="FF11">
        <v>4.5169275170000001</v>
      </c>
      <c r="FG11">
        <v>1.60845577</v>
      </c>
      <c r="FH11">
        <v>2.7980762879999999</v>
      </c>
      <c r="FI11">
        <v>15.16641081</v>
      </c>
      <c r="FJ11">
        <v>2.5236801739999999</v>
      </c>
      <c r="FK11">
        <v>0.82512223630000003</v>
      </c>
      <c r="FL11">
        <v>1.201074618</v>
      </c>
      <c r="FM11">
        <v>4.2812350219999997</v>
      </c>
      <c r="FN11">
        <v>2.0638563049999998</v>
      </c>
      <c r="FO11">
        <v>0.6098561495</v>
      </c>
      <c r="FP11">
        <v>0.93117374980000001</v>
      </c>
      <c r="FQ11">
        <v>3.2386786380000001</v>
      </c>
      <c r="FR11">
        <v>4.1728012999999997</v>
      </c>
      <c r="FS11">
        <v>0.90389332870000005</v>
      </c>
      <c r="FT11">
        <v>2.5119389999999999</v>
      </c>
      <c r="FU11">
        <v>6.5480679999999998</v>
      </c>
      <c r="FV11">
        <v>3.2348388209999999</v>
      </c>
      <c r="FW11">
        <v>0.90725713559999999</v>
      </c>
      <c r="FX11">
        <v>1.5867089999999999</v>
      </c>
      <c r="FY11">
        <v>6.2300409999999999</v>
      </c>
      <c r="FZ11">
        <v>7.0769981379999999E-2</v>
      </c>
      <c r="GA11">
        <v>1.3388592560000001E-2</v>
      </c>
      <c r="GB11">
        <v>4.9667678399999998E-2</v>
      </c>
      <c r="GC11">
        <v>0.1141457139</v>
      </c>
      <c r="GD11">
        <v>3.4202610830000002</v>
      </c>
      <c r="GE11">
        <v>0.50246179170000005</v>
      </c>
      <c r="GF11">
        <v>2.3628214029999999</v>
      </c>
      <c r="GG11">
        <v>4.750082924</v>
      </c>
      <c r="GH11">
        <v>3.3173660260000002</v>
      </c>
      <c r="GI11">
        <v>6.1746380009999999</v>
      </c>
      <c r="GJ11">
        <v>2.4624476730000001E-2</v>
      </c>
      <c r="GK11">
        <v>34.695887710000001</v>
      </c>
      <c r="GL11">
        <v>0.75105616070000003</v>
      </c>
      <c r="GM11">
        <v>0.14465533920000001</v>
      </c>
      <c r="GN11">
        <v>0.43017799480000002</v>
      </c>
      <c r="GO11">
        <v>1.2683157540000001</v>
      </c>
      <c r="GP11">
        <v>6.3686096110000001</v>
      </c>
      <c r="GQ11">
        <v>2.7647501449999998</v>
      </c>
      <c r="GR11">
        <v>1.5020930809999999</v>
      </c>
      <c r="GS11">
        <v>13.332858460000001</v>
      </c>
      <c r="GT11">
        <v>145.86868989999999</v>
      </c>
      <c r="GU11">
        <v>24.871612670000001</v>
      </c>
      <c r="GV11">
        <v>87.607319270000005</v>
      </c>
      <c r="GW11">
        <v>201.33818049999999</v>
      </c>
      <c r="GX11">
        <v>1.204670237</v>
      </c>
      <c r="GY11">
        <v>0.13721210389999999</v>
      </c>
      <c r="GZ11">
        <v>0.89051047729999999</v>
      </c>
      <c r="HA11">
        <v>1.6031361180000001</v>
      </c>
      <c r="HB11">
        <v>1.2721565450000001</v>
      </c>
      <c r="HC11">
        <v>0.27014739069999999</v>
      </c>
      <c r="HD11">
        <v>0.64278826759999996</v>
      </c>
      <c r="HE11">
        <v>2.0035533810000001</v>
      </c>
      <c r="HF11">
        <v>2.4768267819999998</v>
      </c>
      <c r="HG11">
        <v>0.27542855929999999</v>
      </c>
      <c r="HH11">
        <v>1.8992088570000001</v>
      </c>
      <c r="HI11">
        <v>3.1874389999999999</v>
      </c>
      <c r="HJ11">
        <v>1.139679227</v>
      </c>
      <c r="HK11">
        <v>0.14802799859999999</v>
      </c>
      <c r="HL11">
        <v>0.86915270789999999</v>
      </c>
      <c r="HM11">
        <v>1.6336853</v>
      </c>
      <c r="HN11">
        <v>3.2497223160000002</v>
      </c>
      <c r="HO11">
        <v>0.34217141140000001</v>
      </c>
      <c r="HP11">
        <v>2.2744360000000001</v>
      </c>
      <c r="HQ11">
        <v>4.1592739999999999</v>
      </c>
      <c r="HR11">
        <v>0.36627172540000003</v>
      </c>
      <c r="HS11">
        <v>6.4888137989999997E-2</v>
      </c>
      <c r="HT11">
        <v>0.2375944549</v>
      </c>
      <c r="HU11">
        <v>0.58168724819999995</v>
      </c>
      <c r="HV11">
        <v>0.46615020130000001</v>
      </c>
      <c r="HW11">
        <v>7.6477906949999994E-2</v>
      </c>
      <c r="HX11">
        <v>0.31436806900000003</v>
      </c>
      <c r="HY11">
        <v>0.7056517028</v>
      </c>
      <c r="HZ11">
        <v>-6.0373475279999998E-2</v>
      </c>
      <c r="IA11">
        <v>0.46043310529999998</v>
      </c>
      <c r="IB11">
        <v>-1.0975223190000001</v>
      </c>
      <c r="IC11">
        <v>1.3095843739999999</v>
      </c>
      <c r="ID11">
        <v>3.5250071759999999</v>
      </c>
      <c r="IE11">
        <v>0.7486520887</v>
      </c>
      <c r="IF11">
        <v>2.534478601</v>
      </c>
      <c r="IG11">
        <v>6.8505423390000004</v>
      </c>
      <c r="IH11">
        <v>1.532078109</v>
      </c>
      <c r="II11">
        <v>0.18092616149999999</v>
      </c>
      <c r="IJ11">
        <v>1.1371395289999999</v>
      </c>
      <c r="IK11">
        <v>2.1192004469999999</v>
      </c>
      <c r="IL11">
        <v>1.717644207</v>
      </c>
      <c r="IM11">
        <v>0.31861994910000002</v>
      </c>
      <c r="IN11">
        <v>0.92933455330000003</v>
      </c>
      <c r="IO11">
        <v>2.348130222</v>
      </c>
      <c r="IP11">
        <v>3.0608278050000002</v>
      </c>
      <c r="IQ11">
        <v>0.3266968328</v>
      </c>
      <c r="IR11">
        <v>2.228758</v>
      </c>
      <c r="IS11">
        <v>3.7081930000000001</v>
      </c>
      <c r="IT11">
        <v>2.698856884</v>
      </c>
      <c r="IU11">
        <v>0.45843049660000001</v>
      </c>
      <c r="IV11">
        <v>1.5337339999999999</v>
      </c>
      <c r="IW11">
        <v>3.6449259999999999</v>
      </c>
      <c r="IX11">
        <v>6.6515573709999998E-2</v>
      </c>
      <c r="IY11">
        <v>1.2379452189999999E-2</v>
      </c>
      <c r="IZ11">
        <v>4.632857127E-2</v>
      </c>
      <c r="JA11">
        <v>0.10964235260000001</v>
      </c>
      <c r="JB11">
        <v>3.280017102</v>
      </c>
      <c r="JC11">
        <v>0.43714966700000002</v>
      </c>
      <c r="JD11">
        <v>2.3430490850000001</v>
      </c>
      <c r="JE11">
        <v>4.4125887590000001</v>
      </c>
      <c r="JF11">
        <v>13.85748476</v>
      </c>
      <c r="JG11">
        <v>8.6630486750000006</v>
      </c>
      <c r="JH11">
        <v>1.1819748830000001</v>
      </c>
      <c r="JI11">
        <v>48.424431040000002</v>
      </c>
      <c r="JJ11">
        <v>0.74890878640000003</v>
      </c>
      <c r="JK11">
        <v>0.14440100380000001</v>
      </c>
      <c r="JL11">
        <v>0.42827663849999997</v>
      </c>
      <c r="JM11">
        <v>1.2708971090000001</v>
      </c>
      <c r="JN11">
        <v>8.5687213989999993</v>
      </c>
      <c r="JO11">
        <v>2.9868044299999998</v>
      </c>
      <c r="JP11">
        <v>2.9303127309999999</v>
      </c>
      <c r="JQ11">
        <v>16.875799270000002</v>
      </c>
      <c r="JR11">
        <v>155.00065860000001</v>
      </c>
      <c r="JS11">
        <v>25.787269139999999</v>
      </c>
      <c r="JT11">
        <v>91.205631460000006</v>
      </c>
      <c r="JU11">
        <v>215.84952279999999</v>
      </c>
      <c r="JV11">
        <v>0.28818912860000001</v>
      </c>
      <c r="JW11">
        <v>8.701910987E-2</v>
      </c>
      <c r="JX11">
        <v>0.12622214779999999</v>
      </c>
      <c r="JY11">
        <v>0.57164256810000003</v>
      </c>
      <c r="JZ11">
        <v>0.36821800300000002</v>
      </c>
      <c r="KA11">
        <v>0.18227738930000001</v>
      </c>
      <c r="KB11">
        <v>0.13696126559999999</v>
      </c>
      <c r="KC11">
        <v>1.3880574530000001</v>
      </c>
      <c r="KD11">
        <v>0.65640713159999997</v>
      </c>
      <c r="KE11">
        <v>0.24195365299999999</v>
      </c>
      <c r="KF11">
        <v>0.30315300000000001</v>
      </c>
      <c r="KG11">
        <v>1.8777980000000001</v>
      </c>
      <c r="KH11">
        <v>0.41484275110000002</v>
      </c>
      <c r="KI11">
        <v>0.1452959214</v>
      </c>
      <c r="KJ11">
        <v>0.1949398</v>
      </c>
      <c r="KK11">
        <v>1.1794505</v>
      </c>
      <c r="KL11">
        <v>0.65640713159999997</v>
      </c>
      <c r="KM11">
        <v>0.24195365299999999</v>
      </c>
      <c r="KN11">
        <v>0.30315300000000001</v>
      </c>
      <c r="KO11">
        <v>1.8777980000000001</v>
      </c>
      <c r="KP11">
        <v>0.12141424470000001</v>
      </c>
      <c r="KQ11">
        <v>3.775234886E-2</v>
      </c>
      <c r="KR11">
        <v>5.8184114029999998E-2</v>
      </c>
      <c r="KS11">
        <v>0.27377741950000001</v>
      </c>
      <c r="KT11">
        <v>0.14990857830000001</v>
      </c>
      <c r="KU11">
        <v>4.8890489740000001E-2</v>
      </c>
      <c r="KV11">
        <v>7.6941679829999998E-2</v>
      </c>
      <c r="KW11">
        <v>0.34989647369999999</v>
      </c>
      <c r="KX11">
        <v>-0.21992839419999999</v>
      </c>
      <c r="KY11">
        <v>0.49639350609999999</v>
      </c>
      <c r="KZ11">
        <v>-2.5648004270000002</v>
      </c>
      <c r="LA11">
        <v>1.119274221</v>
      </c>
      <c r="LB11">
        <v>2.8494536039999998</v>
      </c>
      <c r="LC11">
        <v>1.120346268</v>
      </c>
      <c r="LD11">
        <v>1.7167434020000001</v>
      </c>
      <c r="LE11">
        <v>12.699863799999999</v>
      </c>
      <c r="LF11">
        <v>1.5490261430000001</v>
      </c>
      <c r="LG11">
        <v>0.37259451739999999</v>
      </c>
      <c r="LH11">
        <v>0.83696999709999997</v>
      </c>
      <c r="LI11">
        <v>4.0047599859999998</v>
      </c>
      <c r="LJ11">
        <v>3.7161937370000002E-2</v>
      </c>
      <c r="LK11">
        <v>1.267574854E-2</v>
      </c>
      <c r="LL11">
        <v>2.171154506E-2</v>
      </c>
      <c r="LM11">
        <v>9.7368866410000005E-2</v>
      </c>
      <c r="LN11">
        <v>99.561107379999996</v>
      </c>
      <c r="LO11">
        <v>1.722544224</v>
      </c>
      <c r="LP11">
        <v>88.974812200000002</v>
      </c>
      <c r="LQ11">
        <v>100</v>
      </c>
      <c r="LR11">
        <v>0.25943373240000001</v>
      </c>
      <c r="LS11">
        <v>8.0815938170000004E-2</v>
      </c>
      <c r="LT11">
        <v>0.1178100844</v>
      </c>
      <c r="LU11">
        <v>0.68537276359999999</v>
      </c>
      <c r="LV11">
        <v>14.614579190000001</v>
      </c>
      <c r="LW11">
        <v>5.6315593149999996</v>
      </c>
      <c r="LX11">
        <v>0</v>
      </c>
      <c r="LY11">
        <v>28.666922490000001</v>
      </c>
      <c r="LZ11">
        <v>6.7349601110000004</v>
      </c>
      <c r="MA11">
        <v>1.2603493400000001</v>
      </c>
      <c r="MB11">
        <v>2.497028545</v>
      </c>
      <c r="MC11">
        <v>11.947859579999999</v>
      </c>
      <c r="MD11">
        <v>0.27377934110000002</v>
      </c>
      <c r="ME11">
        <v>8.2621130919999994E-2</v>
      </c>
      <c r="MF11">
        <v>0.12622214779999999</v>
      </c>
      <c r="MG11">
        <v>0.57612644810000002</v>
      </c>
      <c r="MH11">
        <v>0.34741589049999999</v>
      </c>
      <c r="MI11">
        <v>0.158456818</v>
      </c>
      <c r="MJ11">
        <v>0.13281687759999999</v>
      </c>
      <c r="MK11">
        <v>1.166036021</v>
      </c>
      <c r="ML11">
        <v>0.62119523160000001</v>
      </c>
      <c r="MM11">
        <v>0.21891815489999999</v>
      </c>
      <c r="MN11">
        <v>0.30315300000000001</v>
      </c>
      <c r="MO11">
        <v>1.6352739999999999</v>
      </c>
      <c r="MP11">
        <v>0.39442751079999999</v>
      </c>
      <c r="MQ11">
        <v>0.12993013989999999</v>
      </c>
      <c r="MR11">
        <v>0.18972166670000001</v>
      </c>
      <c r="MS11">
        <v>0.95626949999999999</v>
      </c>
      <c r="MT11">
        <v>0.62119523160000001</v>
      </c>
      <c r="MU11">
        <v>0.21891815489999999</v>
      </c>
      <c r="MV11">
        <v>0.30315300000000001</v>
      </c>
      <c r="MW11">
        <v>1.6352739999999999</v>
      </c>
      <c r="MX11">
        <v>0.1174763533</v>
      </c>
      <c r="MY11">
        <v>3.5264326899999997E-2</v>
      </c>
      <c r="MZ11">
        <v>5.559566891E-2</v>
      </c>
      <c r="NA11">
        <v>0.26253534340000001</v>
      </c>
      <c r="NB11">
        <v>0.1442860584</v>
      </c>
      <c r="NC11">
        <v>4.5137550679999999E-2</v>
      </c>
      <c r="ND11">
        <v>6.7728370979999994E-2</v>
      </c>
      <c r="NE11">
        <v>0.31324694910000001</v>
      </c>
      <c r="NF11">
        <v>-0.2082104853</v>
      </c>
      <c r="NG11">
        <v>0.42760634240000001</v>
      </c>
      <c r="NH11">
        <v>-1.804516638</v>
      </c>
      <c r="NI11">
        <v>0.9246626121</v>
      </c>
      <c r="NJ11">
        <v>2.720497436</v>
      </c>
      <c r="NK11">
        <v>0.89471052679999996</v>
      </c>
      <c r="NL11">
        <v>1.7167434020000001</v>
      </c>
      <c r="NM11">
        <v>9.2352512519999994</v>
      </c>
      <c r="NN11">
        <v>1.5539430320000001</v>
      </c>
      <c r="NO11">
        <v>0.36420925240000002</v>
      </c>
      <c r="NP11">
        <v>0.83296799710000002</v>
      </c>
      <c r="NQ11">
        <v>4.0240799860000003</v>
      </c>
      <c r="NR11">
        <v>3.5474085189999997E-2</v>
      </c>
      <c r="NS11">
        <v>1.156871626E-2</v>
      </c>
      <c r="NT11">
        <v>1.959345023E-2</v>
      </c>
      <c r="NU11">
        <v>9.291477226E-2</v>
      </c>
      <c r="NV11">
        <v>99.670253959999997</v>
      </c>
      <c r="NW11">
        <v>1.4038900009999999</v>
      </c>
      <c r="NX11">
        <v>90.897039329999998</v>
      </c>
      <c r="NY11">
        <v>100</v>
      </c>
      <c r="NZ11">
        <v>0.25290069720000002</v>
      </c>
      <c r="OA11">
        <v>7.6616413889999999E-2</v>
      </c>
      <c r="OB11">
        <v>0.11959301980000001</v>
      </c>
      <c r="OC11">
        <v>0.64123066299999998</v>
      </c>
      <c r="OD11">
        <v>15.300404909999999</v>
      </c>
      <c r="OE11">
        <v>5.4168658230000002</v>
      </c>
      <c r="OF11">
        <v>0</v>
      </c>
      <c r="OG11">
        <v>26.673225980000002</v>
      </c>
      <c r="OH11">
        <v>6.7145328339999999</v>
      </c>
      <c r="OI11">
        <v>1.310409055</v>
      </c>
      <c r="OJ11">
        <v>2.4850400669999999</v>
      </c>
      <c r="OK11">
        <v>12.005263149999999</v>
      </c>
      <c r="OL11">
        <v>0.52907747279999995</v>
      </c>
      <c r="OM11">
        <v>-0.31722907280000001</v>
      </c>
      <c r="ON11">
        <v>6.9781232309999996</v>
      </c>
      <c r="OO11">
        <v>4.5234059999999996</v>
      </c>
      <c r="OP11">
        <v>3.5285229999999999</v>
      </c>
      <c r="OQ11">
        <v>8.0519289999999994</v>
      </c>
      <c r="OR11">
        <v>0.39078052610000003</v>
      </c>
      <c r="OS11" s="2">
        <v>2.856705886E-5</v>
      </c>
      <c r="OT11">
        <v>6.3597162679999996E-4</v>
      </c>
      <c r="OU11" s="2">
        <v>2.856705886E-5</v>
      </c>
      <c r="OV11">
        <v>4.1913077399999998E-4</v>
      </c>
      <c r="OW11">
        <v>5.6867122600000005E-4</v>
      </c>
      <c r="OX11" s="2">
        <v>6.7300400799999996E-5</v>
      </c>
      <c r="OY11">
        <v>1.1725009099999999</v>
      </c>
      <c r="OZ11">
        <v>0.57153918479999999</v>
      </c>
      <c r="PA11">
        <v>0.74641061799999997</v>
      </c>
      <c r="PB11">
        <v>10.425574660000001</v>
      </c>
      <c r="PC11">
        <v>89.729383589999998</v>
      </c>
      <c r="PD11">
        <v>0.5009493478</v>
      </c>
      <c r="PE11">
        <v>-0.34926928569999999</v>
      </c>
      <c r="PF11">
        <v>4.2283099909999997</v>
      </c>
      <c r="PG11">
        <v>1.9037999999999999</v>
      </c>
      <c r="PH11">
        <v>2.3494350000000002</v>
      </c>
      <c r="PI11">
        <v>4.2532350000000001</v>
      </c>
      <c r="PJ11">
        <v>0.38320073729999998</v>
      </c>
      <c r="PK11" s="2">
        <v>2.4954161419999998E-5</v>
      </c>
      <c r="PL11">
        <v>6.3125779379999999E-4</v>
      </c>
      <c r="PM11" s="2">
        <v>2.4954161419999998E-5</v>
      </c>
      <c r="PN11">
        <v>4.1833476999999998E-4</v>
      </c>
      <c r="PO11">
        <v>5.6732723000000001E-4</v>
      </c>
      <c r="PP11" s="2">
        <v>6.3930563809999996E-5</v>
      </c>
      <c r="PQ11">
        <v>1.1698656220000001</v>
      </c>
      <c r="PR11">
        <v>0.50189485550000001</v>
      </c>
      <c r="PS11">
        <v>0.6816448946</v>
      </c>
      <c r="PT11">
        <v>10.429974440000001</v>
      </c>
      <c r="PU11">
        <v>89.727358229999993</v>
      </c>
      <c r="PV11">
        <v>1.3252258269999999</v>
      </c>
      <c r="PW11">
        <v>0.59389084079999999</v>
      </c>
      <c r="PX11">
        <v>0.74379883530000002</v>
      </c>
      <c r="PY11">
        <v>10.362474389999999</v>
      </c>
      <c r="PZ11">
        <v>90.133844609999997</v>
      </c>
      <c r="QA11">
        <v>1.32498527</v>
      </c>
      <c r="QB11">
        <v>0.52260254740000001</v>
      </c>
      <c r="QC11">
        <v>0.67180690949999999</v>
      </c>
      <c r="QD11">
        <v>10.358429149999999</v>
      </c>
      <c r="QE11">
        <v>90.134375300000002</v>
      </c>
      <c r="QF11" s="2">
        <v>2.9631288029999999E-5</v>
      </c>
      <c r="QG11">
        <v>4.6506563399999998E-4</v>
      </c>
      <c r="QH11">
        <v>6.3696336599999999E-4</v>
      </c>
      <c r="QI11" s="2">
        <v>7.0570013419999999E-5</v>
      </c>
      <c r="QJ11" s="2">
        <v>2.594526797E-5</v>
      </c>
      <c r="QK11">
        <v>4.6498266779999999E-4</v>
      </c>
      <c r="QL11">
        <v>6.3665433219999999E-4</v>
      </c>
      <c r="QM11" s="2">
        <v>6.7022446600000006E-5</v>
      </c>
      <c r="QN11">
        <v>50.659071709999999</v>
      </c>
      <c r="QO11">
        <v>40.026631209999998</v>
      </c>
      <c r="QP11">
        <v>120.74629229999999</v>
      </c>
      <c r="QQ11">
        <v>45.49783575</v>
      </c>
      <c r="QR11">
        <v>41.000655719999997</v>
      </c>
      <c r="QS11">
        <v>40.0267561</v>
      </c>
      <c r="QT11">
        <v>120.74926050000001</v>
      </c>
      <c r="QU11">
        <v>114.74805259999999</v>
      </c>
    </row>
    <row r="12" spans="1:463" x14ac:dyDescent="0.2">
      <c r="A12" t="s">
        <v>282</v>
      </c>
      <c r="B12" s="2">
        <v>-4.8779605529999999E-11</v>
      </c>
      <c r="C12" s="2">
        <v>-1.347024242E-11</v>
      </c>
      <c r="D12">
        <v>3.5381847360000003E-2</v>
      </c>
      <c r="E12">
        <v>7.5705612680000006E-2</v>
      </c>
      <c r="F12">
        <v>0.45178652209999998</v>
      </c>
      <c r="G12">
        <v>0.1084770503</v>
      </c>
      <c r="H12">
        <v>0.23210550520000001</v>
      </c>
      <c r="I12">
        <v>1.385130312</v>
      </c>
      <c r="J12">
        <v>32.581514779999999</v>
      </c>
      <c r="K12">
        <v>32.616896619999999</v>
      </c>
      <c r="L12">
        <v>32.616896619999999</v>
      </c>
      <c r="M12">
        <v>32.616896619999999</v>
      </c>
      <c r="N12">
        <v>32.541191009999999</v>
      </c>
      <c r="O12">
        <v>32.616896619999999</v>
      </c>
      <c r="P12">
        <v>32.1651101</v>
      </c>
      <c r="Q12">
        <v>32.616896619999999</v>
      </c>
      <c r="R12">
        <v>3.8341854120000001</v>
      </c>
      <c r="S12">
        <v>1.3765195320000001</v>
      </c>
      <c r="T12">
        <v>1.5628593770000001</v>
      </c>
      <c r="U12">
        <v>6.5984358170000004</v>
      </c>
      <c r="V12">
        <v>2.499703588</v>
      </c>
      <c r="W12">
        <v>0.65823464740000004</v>
      </c>
      <c r="X12">
        <v>1.1652573399999999</v>
      </c>
      <c r="Y12">
        <v>3.796771127</v>
      </c>
      <c r="Z12">
        <v>6.3338890000000001</v>
      </c>
      <c r="AA12">
        <v>1.456952391</v>
      </c>
      <c r="AB12">
        <v>3.21027</v>
      </c>
      <c r="AC12">
        <v>9.5062800000000003</v>
      </c>
      <c r="AD12">
        <v>1.537579982</v>
      </c>
      <c r="AE12">
        <v>0.2389341331</v>
      </c>
      <c r="AF12">
        <v>1.032314653</v>
      </c>
      <c r="AG12">
        <v>2.200291515</v>
      </c>
      <c r="AH12">
        <v>6.3338890000000001</v>
      </c>
      <c r="AI12">
        <v>1.456952391</v>
      </c>
      <c r="AJ12">
        <v>3.21027</v>
      </c>
      <c r="AK12">
        <v>9.5062800000000003</v>
      </c>
      <c r="AL12">
        <v>0.46081052709999998</v>
      </c>
      <c r="AM12">
        <v>7.6759485929999996E-2</v>
      </c>
      <c r="AN12">
        <v>0.30571539069999998</v>
      </c>
      <c r="AO12">
        <v>0.68759540770000005</v>
      </c>
      <c r="AP12">
        <v>0.61968310950000005</v>
      </c>
      <c r="AQ12">
        <v>0.10788260500000001</v>
      </c>
      <c r="AR12">
        <v>0.4245229572</v>
      </c>
      <c r="AS12">
        <v>0.93153818030000002</v>
      </c>
      <c r="AT12">
        <v>0.39658600869999999</v>
      </c>
      <c r="AU12">
        <v>0.952277712</v>
      </c>
      <c r="AV12">
        <v>-1.538522298</v>
      </c>
      <c r="AW12">
        <v>3.4591981349999998</v>
      </c>
      <c r="AX12">
        <v>7.7625762729999996</v>
      </c>
      <c r="AY12">
        <v>5.1623214309999996</v>
      </c>
      <c r="AZ12">
        <v>3.2059879809999998</v>
      </c>
      <c r="BA12">
        <v>36.995275509999999</v>
      </c>
      <c r="BB12">
        <v>7.7298936609999994E-2</v>
      </c>
      <c r="BC12">
        <v>1.468824635E-2</v>
      </c>
      <c r="BD12">
        <v>5.153149982E-2</v>
      </c>
      <c r="BE12">
        <v>0.12302124959999999</v>
      </c>
      <c r="BF12">
        <v>4.3943928469999998</v>
      </c>
      <c r="BG12">
        <v>0.75568033099999998</v>
      </c>
      <c r="BH12">
        <v>2.963137267</v>
      </c>
      <c r="BI12">
        <v>8.4166864169999993</v>
      </c>
      <c r="BJ12">
        <v>0.80162387499999999</v>
      </c>
      <c r="BK12">
        <v>1.9060409410000001</v>
      </c>
      <c r="BL12">
        <v>2.2094564739999999E-2</v>
      </c>
      <c r="BM12">
        <v>17.60959604</v>
      </c>
      <c r="BN12">
        <v>0.90901582729999997</v>
      </c>
      <c r="BO12">
        <v>0.1488803447</v>
      </c>
      <c r="BP12">
        <v>0.58879699590000001</v>
      </c>
      <c r="BQ12">
        <v>1.348415216</v>
      </c>
      <c r="BR12">
        <v>133.95763059999999</v>
      </c>
      <c r="BS12">
        <v>24.772958509999999</v>
      </c>
      <c r="BT12">
        <v>81.286769840000005</v>
      </c>
      <c r="BU12">
        <v>194.05606349999999</v>
      </c>
      <c r="BV12">
        <v>1.93971822</v>
      </c>
      <c r="BW12">
        <v>0.23784612799999999</v>
      </c>
      <c r="BX12">
        <v>1.4618196880000001</v>
      </c>
      <c r="BY12">
        <v>2.7009142819999998</v>
      </c>
      <c r="BZ12">
        <v>1.942802833</v>
      </c>
      <c r="CA12">
        <v>0.30000621220000001</v>
      </c>
      <c r="CB12">
        <v>1.144321323</v>
      </c>
      <c r="CC12">
        <v>2.5360203120000002</v>
      </c>
      <c r="CD12">
        <v>3.8825210530000001</v>
      </c>
      <c r="CE12">
        <v>0.2202377264</v>
      </c>
      <c r="CF12">
        <v>3.0903</v>
      </c>
      <c r="CG12">
        <v>4.0960400000000003</v>
      </c>
      <c r="CH12">
        <v>1.382290265</v>
      </c>
      <c r="CI12">
        <v>0.16259635019999999</v>
      </c>
      <c r="CJ12">
        <v>1.015712706</v>
      </c>
      <c r="CK12">
        <v>1.8856061639999999</v>
      </c>
      <c r="CL12">
        <v>3.8825210530000001</v>
      </c>
      <c r="CM12">
        <v>0.2202377264</v>
      </c>
      <c r="CN12">
        <v>3.0903</v>
      </c>
      <c r="CO12">
        <v>4.0960400000000003</v>
      </c>
      <c r="CP12">
        <v>0.45019030659999998</v>
      </c>
      <c r="CQ12">
        <v>7.0822694290000002E-2</v>
      </c>
      <c r="CR12">
        <v>0.3021633923</v>
      </c>
      <c r="CS12">
        <v>0.66088840120000003</v>
      </c>
      <c r="CT12">
        <v>0.5802027448</v>
      </c>
      <c r="CU12">
        <v>8.7672523860000004E-2</v>
      </c>
      <c r="CV12">
        <v>0.40033017949999999</v>
      </c>
      <c r="CW12">
        <v>0.83502245720000001</v>
      </c>
      <c r="CX12">
        <v>4.6304700509999998E-2</v>
      </c>
      <c r="CY12">
        <v>0.50207075690000003</v>
      </c>
      <c r="CZ12">
        <v>-1.1495924209999999</v>
      </c>
      <c r="DA12">
        <v>1.178694959</v>
      </c>
      <c r="DB12">
        <v>3.81617614</v>
      </c>
      <c r="DC12">
        <v>0.68600073559999997</v>
      </c>
      <c r="DD12">
        <v>2.823996094</v>
      </c>
      <c r="DE12">
        <v>6.0927286599999997</v>
      </c>
      <c r="DF12">
        <v>7.0229082629999995E-2</v>
      </c>
      <c r="DG12">
        <v>1.1911428809999999E-2</v>
      </c>
      <c r="DH12">
        <v>5.0263414460000003E-2</v>
      </c>
      <c r="DI12">
        <v>0.1042952539</v>
      </c>
      <c r="DJ12">
        <v>4.0433918459999996</v>
      </c>
      <c r="DK12">
        <v>0.50957023109999999</v>
      </c>
      <c r="DL12">
        <v>2.8525415820000002</v>
      </c>
      <c r="DM12">
        <v>5.2648843669999996</v>
      </c>
      <c r="DN12">
        <v>6.6037781080000002</v>
      </c>
      <c r="DO12">
        <v>4.8107823620000003</v>
      </c>
      <c r="DP12">
        <v>0.64074237739999995</v>
      </c>
      <c r="DQ12">
        <v>23.028846290000001</v>
      </c>
      <c r="DR12">
        <v>0.90888335570000001</v>
      </c>
      <c r="DS12">
        <v>0.14894777249999999</v>
      </c>
      <c r="DT12">
        <v>0.58833857489999997</v>
      </c>
      <c r="DU12">
        <v>1.349945556</v>
      </c>
      <c r="DV12">
        <v>146.3820724</v>
      </c>
      <c r="DW12">
        <v>24.00741906</v>
      </c>
      <c r="DX12">
        <v>95.881640129999994</v>
      </c>
      <c r="DY12">
        <v>198.951864</v>
      </c>
      <c r="DZ12">
        <v>1.999794539</v>
      </c>
      <c r="EA12">
        <v>0.53732150420000002</v>
      </c>
      <c r="EB12">
        <v>1.2043913230000001</v>
      </c>
      <c r="EC12">
        <v>5.3546660499999996</v>
      </c>
      <c r="ED12">
        <v>1.528685182</v>
      </c>
      <c r="EE12">
        <v>0.41288483939999998</v>
      </c>
      <c r="EF12">
        <v>0.73849813379999996</v>
      </c>
      <c r="EG12">
        <v>2.4964718559999999</v>
      </c>
      <c r="EH12">
        <v>3.5284797220000002</v>
      </c>
      <c r="EI12">
        <v>0.68278376289999998</v>
      </c>
      <c r="EJ12">
        <v>2.1277685709999998</v>
      </c>
      <c r="EK12">
        <v>6.4958999999999998</v>
      </c>
      <c r="EL12">
        <v>1.4788280760000001</v>
      </c>
      <c r="EM12">
        <v>0.2295438642</v>
      </c>
      <c r="EN12">
        <v>1.02383837</v>
      </c>
      <c r="EO12">
        <v>2.267347869</v>
      </c>
      <c r="EP12">
        <v>5.9920099999999996</v>
      </c>
      <c r="EQ12">
        <v>1.3969498739999999</v>
      </c>
      <c r="ER12">
        <v>2.7768099999999998</v>
      </c>
      <c r="ES12">
        <v>9.3814700000000002</v>
      </c>
      <c r="ET12">
        <v>0.42705643580000002</v>
      </c>
      <c r="EU12">
        <v>7.3254103330000001E-2</v>
      </c>
      <c r="EV12">
        <v>0.28413821700000003</v>
      </c>
      <c r="EW12">
        <v>0.63700815970000002</v>
      </c>
      <c r="EX12">
        <v>0.56642921820000003</v>
      </c>
      <c r="EY12">
        <v>9.7173746359999993E-2</v>
      </c>
      <c r="EZ12">
        <v>0.38582766410000002</v>
      </c>
      <c r="FA12">
        <v>0.87078323339999997</v>
      </c>
      <c r="FB12">
        <v>0.31704229439999998</v>
      </c>
      <c r="FC12">
        <v>0.66651430180000004</v>
      </c>
      <c r="FD12">
        <v>-0.80412265169999997</v>
      </c>
      <c r="FE12">
        <v>3.9937133230000001</v>
      </c>
      <c r="FF12">
        <v>5.3393510439999998</v>
      </c>
      <c r="FG12">
        <v>2.67277203</v>
      </c>
      <c r="FH12">
        <v>2.7950578940000002</v>
      </c>
      <c r="FI12">
        <v>27.05480116</v>
      </c>
      <c r="FJ12">
        <v>3.6742206519999998</v>
      </c>
      <c r="FK12">
        <v>1.300712597</v>
      </c>
      <c r="FL12">
        <v>1.5734449939999999</v>
      </c>
      <c r="FM12">
        <v>6.6196953289999998</v>
      </c>
      <c r="FN12">
        <v>2.3177893479999998</v>
      </c>
      <c r="FO12">
        <v>0.63321115679999995</v>
      </c>
      <c r="FP12">
        <v>0.99659850279999995</v>
      </c>
      <c r="FQ12">
        <v>3.5918390740000001</v>
      </c>
      <c r="FR12">
        <v>5.4764694739999999</v>
      </c>
      <c r="FS12">
        <v>1.3506845300000001</v>
      </c>
      <c r="FT12">
        <v>2.5441199999999999</v>
      </c>
      <c r="FU12">
        <v>9.3814700000000002</v>
      </c>
      <c r="FV12">
        <v>4.0871986319999998</v>
      </c>
      <c r="FW12">
        <v>1.358502093</v>
      </c>
      <c r="FX12">
        <v>2.0095000000000001</v>
      </c>
      <c r="FY12">
        <v>7.8148400000000002</v>
      </c>
      <c r="FZ12">
        <v>6.9786291380000004E-2</v>
      </c>
      <c r="GA12">
        <v>1.1337512669999999E-2</v>
      </c>
      <c r="GB12">
        <v>4.8372631409999998E-2</v>
      </c>
      <c r="GC12">
        <v>0.10556999960000001</v>
      </c>
      <c r="GD12">
        <v>4.3057825430000003</v>
      </c>
      <c r="GE12">
        <v>0.73498333370000002</v>
      </c>
      <c r="GF12">
        <v>2.910595877</v>
      </c>
      <c r="GG12">
        <v>8.4684028060000003</v>
      </c>
      <c r="GH12">
        <v>0.81198849090000003</v>
      </c>
      <c r="GI12">
        <v>1.7475590649999999</v>
      </c>
      <c r="GJ12">
        <v>2.4624476730000001E-2</v>
      </c>
      <c r="GK12">
        <v>15.90741197</v>
      </c>
      <c r="GL12">
        <v>0.8434454831</v>
      </c>
      <c r="GM12">
        <v>0.15024170780000001</v>
      </c>
      <c r="GN12">
        <v>0.50131396679999995</v>
      </c>
      <c r="GO12">
        <v>1.236521464</v>
      </c>
      <c r="GP12">
        <v>5.6286062929999998</v>
      </c>
      <c r="GQ12">
        <v>2.5613454349999998</v>
      </c>
      <c r="GR12">
        <v>1.98479267</v>
      </c>
      <c r="GS12">
        <v>14.429943359999999</v>
      </c>
      <c r="GT12">
        <v>146.90766740000001</v>
      </c>
      <c r="GU12">
        <v>22.68823575</v>
      </c>
      <c r="GV12">
        <v>94.723880219999998</v>
      </c>
      <c r="GW12">
        <v>206.7284683</v>
      </c>
      <c r="GX12">
        <v>1.559540688</v>
      </c>
      <c r="GY12">
        <v>0.20387380490000001</v>
      </c>
      <c r="GZ12">
        <v>1.176120952</v>
      </c>
      <c r="HA12">
        <v>2.299882293</v>
      </c>
      <c r="HB12">
        <v>1.3829309279999999</v>
      </c>
      <c r="HC12">
        <v>0.2912362624</v>
      </c>
      <c r="HD12">
        <v>0.71607207549999996</v>
      </c>
      <c r="HE12">
        <v>2.1314193239999999</v>
      </c>
      <c r="HF12">
        <v>2.9424716169999998</v>
      </c>
      <c r="HG12">
        <v>0.32622094639999999</v>
      </c>
      <c r="HH12">
        <v>2.1277685709999998</v>
      </c>
      <c r="HI12">
        <v>3.7512485710000001</v>
      </c>
      <c r="HJ12">
        <v>1.3337942780000001</v>
      </c>
      <c r="HK12">
        <v>0.16938318290000001</v>
      </c>
      <c r="HL12">
        <v>0.94697258819999997</v>
      </c>
      <c r="HM12">
        <v>1.82945493</v>
      </c>
      <c r="HN12">
        <v>3.8722955259999998</v>
      </c>
      <c r="HO12">
        <v>0.36237075130000002</v>
      </c>
      <c r="HP12">
        <v>2.7768099999999998</v>
      </c>
      <c r="HQ12">
        <v>4.7656400000000003</v>
      </c>
      <c r="HR12">
        <v>0.41530750129999999</v>
      </c>
      <c r="HS12">
        <v>6.776006306E-2</v>
      </c>
      <c r="HT12">
        <v>0.2797386724</v>
      </c>
      <c r="HU12">
        <v>0.59781112540000003</v>
      </c>
      <c r="HV12">
        <v>0.53186632970000003</v>
      </c>
      <c r="HW12">
        <v>8.0013051469999999E-2</v>
      </c>
      <c r="HX12">
        <v>0.36965751920000001</v>
      </c>
      <c r="HY12">
        <v>0.75839847010000006</v>
      </c>
      <c r="HZ12">
        <v>0.1486276846</v>
      </c>
      <c r="IA12">
        <v>0.4750651997</v>
      </c>
      <c r="IB12">
        <v>-0.86357143670000003</v>
      </c>
      <c r="IC12">
        <v>1.619993918</v>
      </c>
      <c r="ID12">
        <v>3.7148149789999998</v>
      </c>
      <c r="IE12">
        <v>0.84495949510000001</v>
      </c>
      <c r="IF12">
        <v>2.5885799540000001</v>
      </c>
      <c r="IG12">
        <v>7.6734807759999999</v>
      </c>
      <c r="IH12">
        <v>1.989364613</v>
      </c>
      <c r="II12">
        <v>0.24329219669999999</v>
      </c>
      <c r="IJ12">
        <v>1.4542736350000001</v>
      </c>
      <c r="IK12">
        <v>2.7033299089999998</v>
      </c>
      <c r="IL12">
        <v>1.882930913</v>
      </c>
      <c r="IM12">
        <v>0.34205215690000002</v>
      </c>
      <c r="IN12">
        <v>0.99665846840000005</v>
      </c>
      <c r="IO12">
        <v>2.7324126789999998</v>
      </c>
      <c r="IP12">
        <v>3.659997368</v>
      </c>
      <c r="IQ12">
        <v>0.37205730599999998</v>
      </c>
      <c r="IR12">
        <v>2.5441199999999999</v>
      </c>
      <c r="IS12">
        <v>4.5176299999999996</v>
      </c>
      <c r="IT12">
        <v>3.2307224739999998</v>
      </c>
      <c r="IU12">
        <v>0.53551829610000001</v>
      </c>
      <c r="IV12">
        <v>2.0095000000000001</v>
      </c>
      <c r="IW12">
        <v>4.5176299999999996</v>
      </c>
      <c r="IX12">
        <v>6.4062512129999999E-2</v>
      </c>
      <c r="IY12">
        <v>9.6439505860000004E-3</v>
      </c>
      <c r="IZ12">
        <v>4.7144102399999999E-2</v>
      </c>
      <c r="JA12">
        <v>9.4493683879999998E-2</v>
      </c>
      <c r="JB12">
        <v>4.0099165640000001</v>
      </c>
      <c r="JC12">
        <v>0.52721980089999998</v>
      </c>
      <c r="JD12">
        <v>2.79393673</v>
      </c>
      <c r="JE12">
        <v>5.2272047349999999</v>
      </c>
      <c r="JF12">
        <v>4.7426783779999999</v>
      </c>
      <c r="JG12">
        <v>3.3909262139999998</v>
      </c>
      <c r="JH12">
        <v>0.54173848810000003</v>
      </c>
      <c r="JI12">
        <v>16.859666579999999</v>
      </c>
      <c r="JJ12">
        <v>0.84044444600000001</v>
      </c>
      <c r="JK12">
        <v>0.15017740409999999</v>
      </c>
      <c r="JL12">
        <v>0.50256138240000003</v>
      </c>
      <c r="JM12">
        <v>1.2228876070000001</v>
      </c>
      <c r="JN12">
        <v>8.0297209229999993</v>
      </c>
      <c r="JO12">
        <v>2.5369229899999999</v>
      </c>
      <c r="JP12">
        <v>3.127308545</v>
      </c>
      <c r="JQ12">
        <v>14.479192319999999</v>
      </c>
      <c r="JR12">
        <v>159.35192420000001</v>
      </c>
      <c r="JS12">
        <v>22.01090627</v>
      </c>
      <c r="JT12">
        <v>105.827179</v>
      </c>
      <c r="JU12">
        <v>212.11560919999999</v>
      </c>
      <c r="JV12">
        <v>0.35185595390000002</v>
      </c>
      <c r="JW12">
        <v>9.944095218E-2</v>
      </c>
      <c r="JX12">
        <v>0.14439446619999999</v>
      </c>
      <c r="JY12">
        <v>0.63342399689999995</v>
      </c>
      <c r="JZ12">
        <v>0.42857039879999997</v>
      </c>
      <c r="KA12">
        <v>0.17493400889999999</v>
      </c>
      <c r="KB12">
        <v>0.19330631840000001</v>
      </c>
      <c r="KC12">
        <v>1.2136243259999999</v>
      </c>
      <c r="KD12">
        <v>0.78042635260000004</v>
      </c>
      <c r="KE12">
        <v>0.23764501730000001</v>
      </c>
      <c r="KF12">
        <v>0.38500099999999998</v>
      </c>
      <c r="KG12">
        <v>1.76989</v>
      </c>
      <c r="KH12">
        <v>0.51639157629999999</v>
      </c>
      <c r="KI12">
        <v>0.15859520439999999</v>
      </c>
      <c r="KJ12">
        <v>0.2057516667</v>
      </c>
      <c r="KK12">
        <v>1.0269950000000001</v>
      </c>
      <c r="KL12">
        <v>0.78042635260000004</v>
      </c>
      <c r="KM12">
        <v>0.23764501730000001</v>
      </c>
      <c r="KN12">
        <v>0.38500099999999998</v>
      </c>
      <c r="KO12">
        <v>1.76989</v>
      </c>
      <c r="KP12">
        <v>0.1483118326</v>
      </c>
      <c r="KQ12">
        <v>4.1460802409999997E-2</v>
      </c>
      <c r="KR12">
        <v>8.356353087E-2</v>
      </c>
      <c r="KS12">
        <v>0.29258203849999997</v>
      </c>
      <c r="KT12">
        <v>0.18114407299999999</v>
      </c>
      <c r="KU12">
        <v>5.120195868E-2</v>
      </c>
      <c r="KV12">
        <v>0.101072327</v>
      </c>
      <c r="KW12">
        <v>0.36845236739999998</v>
      </c>
      <c r="KX12">
        <v>-0.1912048982</v>
      </c>
      <c r="KY12">
        <v>0.41695301759999998</v>
      </c>
      <c r="KZ12">
        <v>-1.2997844080000001</v>
      </c>
      <c r="LA12">
        <v>1.0497818649999999</v>
      </c>
      <c r="LB12">
        <v>2.6754618670000001</v>
      </c>
      <c r="LC12">
        <v>0.77422104400000002</v>
      </c>
      <c r="LD12">
        <v>1.7640142409999999</v>
      </c>
      <c r="LE12">
        <v>7.041197736</v>
      </c>
      <c r="LF12">
        <v>1.5299055210000001</v>
      </c>
      <c r="LG12">
        <v>0.3986736655</v>
      </c>
      <c r="LH12">
        <v>0.88342999690000001</v>
      </c>
      <c r="LI12">
        <v>4.7237399839999998</v>
      </c>
      <c r="LJ12">
        <v>4.5594521210000002E-2</v>
      </c>
      <c r="LK12">
        <v>1.300270962E-2</v>
      </c>
      <c r="LL12">
        <v>2.6116498580000001E-2</v>
      </c>
      <c r="LM12">
        <v>0.1004799339</v>
      </c>
      <c r="LN12">
        <v>99.320450149999999</v>
      </c>
      <c r="LO12">
        <v>2.2227804359999999</v>
      </c>
      <c r="LP12">
        <v>87.47238179</v>
      </c>
      <c r="LQ12">
        <v>100</v>
      </c>
      <c r="LR12">
        <v>0.32345197939999998</v>
      </c>
      <c r="LS12">
        <v>9.4843273110000001E-2</v>
      </c>
      <c r="LT12">
        <v>0.16893912720000001</v>
      </c>
      <c r="LU12">
        <v>0.67622187229999997</v>
      </c>
      <c r="LV12">
        <v>15.221733410000001</v>
      </c>
      <c r="LW12">
        <v>5.5778002390000001</v>
      </c>
      <c r="LX12">
        <v>2.322405286</v>
      </c>
      <c r="LY12">
        <v>27.551922229999999</v>
      </c>
      <c r="LZ12">
        <v>6.8046916900000003</v>
      </c>
      <c r="MA12">
        <v>1.226474616</v>
      </c>
      <c r="MB12">
        <v>2.116966648</v>
      </c>
      <c r="MC12">
        <v>11.31951602</v>
      </c>
      <c r="MD12">
        <v>0.32994600619999997</v>
      </c>
      <c r="ME12">
        <v>8.7264912710000003E-2</v>
      </c>
      <c r="MF12">
        <v>0.1380422258</v>
      </c>
      <c r="MG12">
        <v>0.56090147150000003</v>
      </c>
      <c r="MH12">
        <v>0.40920269380000002</v>
      </c>
      <c r="MI12">
        <v>0.15447746509999999</v>
      </c>
      <c r="MJ12">
        <v>0.19217014630000001</v>
      </c>
      <c r="MK12">
        <v>1.110592901</v>
      </c>
      <c r="ML12">
        <v>0.73914869999999999</v>
      </c>
      <c r="MM12">
        <v>0.2157456864</v>
      </c>
      <c r="MN12">
        <v>0.36780600000000002</v>
      </c>
      <c r="MO12">
        <v>1.6088</v>
      </c>
      <c r="MP12">
        <v>0.49815193159999999</v>
      </c>
      <c r="MQ12">
        <v>0.1463896978</v>
      </c>
      <c r="MR12">
        <v>0.2059433333</v>
      </c>
      <c r="MS12">
        <v>0.98595999999999995</v>
      </c>
      <c r="MT12">
        <v>0.73914869999999999</v>
      </c>
      <c r="MU12">
        <v>0.2157456864</v>
      </c>
      <c r="MV12">
        <v>0.36780600000000002</v>
      </c>
      <c r="MW12">
        <v>1.6088</v>
      </c>
      <c r="MX12">
        <v>0.14421465210000001</v>
      </c>
      <c r="MY12">
        <v>3.9243825410000002E-2</v>
      </c>
      <c r="MZ12">
        <v>8.1650976589999993E-2</v>
      </c>
      <c r="NA12">
        <v>0.2682494648</v>
      </c>
      <c r="NB12">
        <v>0.17500722469999999</v>
      </c>
      <c r="NC12">
        <v>4.8014767739999999E-2</v>
      </c>
      <c r="ND12">
        <v>9.5591098949999995E-2</v>
      </c>
      <c r="NE12">
        <v>0.35499123960000001</v>
      </c>
      <c r="NF12">
        <v>-0.21603561090000001</v>
      </c>
      <c r="NG12">
        <v>0.34256601240000001</v>
      </c>
      <c r="NH12">
        <v>-1.160656873</v>
      </c>
      <c r="NI12">
        <v>0.57727476879999995</v>
      </c>
      <c r="NJ12">
        <v>2.5375063400000002</v>
      </c>
      <c r="NK12">
        <v>0.58550116409999997</v>
      </c>
      <c r="NL12">
        <v>1.6720484019999999</v>
      </c>
      <c r="NM12">
        <v>5.0832492550000001</v>
      </c>
      <c r="NN12">
        <v>1.530988942</v>
      </c>
      <c r="NO12">
        <v>0.3500386197</v>
      </c>
      <c r="NP12">
        <v>0.88319999689999995</v>
      </c>
      <c r="NQ12">
        <v>4.7678999839999996</v>
      </c>
      <c r="NR12">
        <v>4.3675023200000003E-2</v>
      </c>
      <c r="NS12">
        <v>1.17921476E-2</v>
      </c>
      <c r="NT12">
        <v>2.5331725579999999E-2</v>
      </c>
      <c r="NU12">
        <v>9.5186612279999999E-2</v>
      </c>
      <c r="NV12">
        <v>99.534011239999998</v>
      </c>
      <c r="NW12">
        <v>1.72387589</v>
      </c>
      <c r="NX12">
        <v>89.68183827</v>
      </c>
      <c r="NY12">
        <v>100</v>
      </c>
      <c r="NZ12">
        <v>0.31714116170000001</v>
      </c>
      <c r="OA12">
        <v>9.0380841049999994E-2</v>
      </c>
      <c r="OB12">
        <v>0.16663615209999999</v>
      </c>
      <c r="OC12">
        <v>0.63284610119999996</v>
      </c>
      <c r="OD12">
        <v>15.94769076</v>
      </c>
      <c r="OE12">
        <v>5.4512946449999999</v>
      </c>
      <c r="OF12">
        <v>2.275740168</v>
      </c>
      <c r="OG12">
        <v>28.706611259999999</v>
      </c>
      <c r="OH12">
        <v>6.7538691460000004</v>
      </c>
      <c r="OI12">
        <v>1.1349305919999999</v>
      </c>
      <c r="OJ12">
        <v>2.0973594320000002</v>
      </c>
      <c r="OK12">
        <v>11.32246381</v>
      </c>
      <c r="OL12">
        <v>0.60699462790000003</v>
      </c>
      <c r="OM12">
        <v>0.36076594649999999</v>
      </c>
      <c r="ON12">
        <v>9.1247264910000006</v>
      </c>
      <c r="OO12">
        <v>6.7160599999999997</v>
      </c>
      <c r="OP12">
        <v>3.8788100000000001</v>
      </c>
      <c r="OQ12">
        <v>10.59487</v>
      </c>
      <c r="OR12">
        <v>0.44393072140000001</v>
      </c>
      <c r="OS12" s="2">
        <v>3.9057905169999998E-5</v>
      </c>
      <c r="OT12">
        <v>7.2477920390000001E-4</v>
      </c>
      <c r="OU12" s="2">
        <v>3.9057905169999998E-5</v>
      </c>
      <c r="OV12">
        <v>4.6697953930000002E-4</v>
      </c>
      <c r="OW12">
        <v>6.5473046070000003E-4</v>
      </c>
      <c r="OX12" s="2">
        <v>7.00487432E-5</v>
      </c>
      <c r="OY12">
        <v>1.3414719900000001</v>
      </c>
      <c r="OZ12">
        <v>0.7733890658</v>
      </c>
      <c r="PA12">
        <v>0.77839404680000002</v>
      </c>
      <c r="PB12">
        <v>10.823022290000001</v>
      </c>
      <c r="PC12">
        <v>90.856542770000004</v>
      </c>
      <c r="PD12">
        <v>0.56505120340000003</v>
      </c>
      <c r="PE12">
        <v>-1.6684156330000002E-2</v>
      </c>
      <c r="PF12">
        <v>4.0826573990000004</v>
      </c>
      <c r="PG12">
        <v>2.5363799999999999</v>
      </c>
      <c r="PH12">
        <v>2.60073</v>
      </c>
      <c r="PI12">
        <v>5.1371099999999998</v>
      </c>
      <c r="PJ12">
        <v>0.43360074920000002</v>
      </c>
      <c r="PK12" s="2">
        <v>3.3048683400000001E-5</v>
      </c>
      <c r="PL12">
        <v>7.1998035120000002E-4</v>
      </c>
      <c r="PM12" s="2">
        <v>3.3048683400000001E-5</v>
      </c>
      <c r="PN12">
        <v>4.6639933450000001E-4</v>
      </c>
      <c r="PO12">
        <v>6.5380066550000001E-4</v>
      </c>
      <c r="PP12" s="2">
        <v>6.6179685710000003E-5</v>
      </c>
      <c r="PQ12">
        <v>1.3391293179999999</v>
      </c>
      <c r="PR12">
        <v>0.66231365909999995</v>
      </c>
      <c r="PS12">
        <v>0.69431181689999999</v>
      </c>
      <c r="PT12">
        <v>10.832138110000001</v>
      </c>
      <c r="PU12">
        <v>90.851892489999997</v>
      </c>
      <c r="PV12">
        <v>1.608560999</v>
      </c>
      <c r="PW12">
        <v>0.76668009500000001</v>
      </c>
      <c r="PX12">
        <v>0.76002820820000005</v>
      </c>
      <c r="PY12">
        <v>10.338310509999999</v>
      </c>
      <c r="PZ12">
        <v>90.57468575</v>
      </c>
      <c r="QA12">
        <v>1.6081376709999999</v>
      </c>
      <c r="QB12">
        <v>0.6491189382</v>
      </c>
      <c r="QC12">
        <v>0.67524444279999996</v>
      </c>
      <c r="QD12">
        <v>10.345989899999999</v>
      </c>
      <c r="QE12">
        <v>90.573754589999993</v>
      </c>
      <c r="QF12" s="2">
        <v>3.8376633969999998E-5</v>
      </c>
      <c r="QG12">
        <v>5.5992520219999998E-4</v>
      </c>
      <c r="QH12">
        <v>7.6901479780000005E-4</v>
      </c>
      <c r="QI12" s="2">
        <v>7.7236175219999999E-5</v>
      </c>
      <c r="QJ12" s="2">
        <v>3.2326028690000003E-5</v>
      </c>
      <c r="QK12">
        <v>5.5985235150000001E-4</v>
      </c>
      <c r="QL12">
        <v>7.687976485E-4</v>
      </c>
      <c r="QM12" s="2">
        <v>7.3237609719999997E-5</v>
      </c>
      <c r="QN12">
        <v>21.668700579999999</v>
      </c>
      <c r="QO12">
        <v>120.74400420000001</v>
      </c>
      <c r="QP12">
        <v>40.029726859999997</v>
      </c>
      <c r="QQ12">
        <v>114.7511063</v>
      </c>
      <c r="QR12">
        <v>19.04588592</v>
      </c>
      <c r="QS12">
        <v>120.7467609</v>
      </c>
      <c r="QT12">
        <v>114.7464129</v>
      </c>
      <c r="QU12">
        <v>40.023719010000001</v>
      </c>
    </row>
    <row r="13" spans="1:463" x14ac:dyDescent="0.2">
      <c r="A13" t="s">
        <v>283</v>
      </c>
      <c r="B13" s="2">
        <v>-1.336692278E-11</v>
      </c>
      <c r="C13" s="2">
        <v>-1.2444590120000001E-11</v>
      </c>
      <c r="D13">
        <v>3.8287961740000001E-2</v>
      </c>
      <c r="E13">
        <v>8.6937763799999998E-2</v>
      </c>
      <c r="F13">
        <v>0.48960409700000002</v>
      </c>
      <c r="G13">
        <v>0.1173868936</v>
      </c>
      <c r="H13">
        <v>0.26654210789999999</v>
      </c>
      <c r="I13">
        <v>1.501075049</v>
      </c>
      <c r="J13">
        <v>32.57860866</v>
      </c>
      <c r="K13">
        <v>32.616896619999999</v>
      </c>
      <c r="L13">
        <v>32.616896619999999</v>
      </c>
      <c r="M13">
        <v>32.616896619999999</v>
      </c>
      <c r="N13">
        <v>32.529958860000001</v>
      </c>
      <c r="O13">
        <v>32.616896619999999</v>
      </c>
      <c r="P13">
        <v>32.127292529999998</v>
      </c>
      <c r="Q13">
        <v>32.616896619999999</v>
      </c>
      <c r="R13">
        <v>1.7711563589999999</v>
      </c>
      <c r="S13">
        <v>0.23822565979999999</v>
      </c>
      <c r="T13">
        <v>1.0870556119999999</v>
      </c>
      <c r="U13">
        <v>2.175035657</v>
      </c>
      <c r="V13">
        <v>2.6937232199999999</v>
      </c>
      <c r="W13">
        <v>0.70310118479999995</v>
      </c>
      <c r="X13">
        <v>1.1380407960000001</v>
      </c>
      <c r="Y13">
        <v>4.2125800289999997</v>
      </c>
      <c r="Z13">
        <v>4.4648795789999998</v>
      </c>
      <c r="AA13">
        <v>0.77832053300000004</v>
      </c>
      <c r="AB13">
        <v>2.5652789999999999</v>
      </c>
      <c r="AC13">
        <v>5.6815040000000003</v>
      </c>
      <c r="AD13">
        <v>1.403680832</v>
      </c>
      <c r="AE13">
        <v>0.31448121280000002</v>
      </c>
      <c r="AF13">
        <v>0.7561537143</v>
      </c>
      <c r="AG13">
        <v>2.458323086</v>
      </c>
      <c r="AH13">
        <v>4.4648795789999998</v>
      </c>
      <c r="AI13">
        <v>0.77832053300000004</v>
      </c>
      <c r="AJ13">
        <v>2.5652789999999999</v>
      </c>
      <c r="AK13">
        <v>5.6815040000000003</v>
      </c>
      <c r="AL13">
        <v>0.43019404369999997</v>
      </c>
      <c r="AM13">
        <v>0.130847188</v>
      </c>
      <c r="AN13">
        <v>0.2262669527</v>
      </c>
      <c r="AO13">
        <v>0.89573986159999996</v>
      </c>
      <c r="AP13">
        <v>0.56375461069999999</v>
      </c>
      <c r="AQ13">
        <v>0.16432738699999999</v>
      </c>
      <c r="AR13">
        <v>0.30728842119999999</v>
      </c>
      <c r="AS13">
        <v>1.1219710169999999</v>
      </c>
      <c r="AT13">
        <v>-0.55477967689999996</v>
      </c>
      <c r="AU13">
        <v>0.57561959429999998</v>
      </c>
      <c r="AV13">
        <v>-3.5773355320000002</v>
      </c>
      <c r="AW13">
        <v>0.38347794010000003</v>
      </c>
      <c r="AX13">
        <v>5.1494467510000002</v>
      </c>
      <c r="AY13">
        <v>2.3572850440000002</v>
      </c>
      <c r="AZ13">
        <v>2.390696165</v>
      </c>
      <c r="BA13">
        <v>23.75827177</v>
      </c>
      <c r="BB13">
        <v>6.6623302509999996E-2</v>
      </c>
      <c r="BC13">
        <v>1.0527036599999999E-2</v>
      </c>
      <c r="BD13">
        <v>4.4616541199999998E-2</v>
      </c>
      <c r="BE13">
        <v>0.106355172</v>
      </c>
      <c r="BF13">
        <v>6.7458596890000004</v>
      </c>
      <c r="BG13">
        <v>1.5540435880000001</v>
      </c>
      <c r="BH13">
        <v>3.7591734859999999</v>
      </c>
      <c r="BI13">
        <v>11.259478789999999</v>
      </c>
      <c r="BJ13">
        <v>9.3621778920000001</v>
      </c>
      <c r="BK13">
        <v>8.5319109060000002</v>
      </c>
      <c r="BL13">
        <v>0.70702607159999997</v>
      </c>
      <c r="BM13">
        <v>46.757443510000002</v>
      </c>
      <c r="BN13">
        <v>0.85096276630000001</v>
      </c>
      <c r="BO13">
        <v>0.26812914729999998</v>
      </c>
      <c r="BP13">
        <v>0.41393420990000002</v>
      </c>
      <c r="BQ13">
        <v>1.9553038659999999</v>
      </c>
      <c r="BR13">
        <v>153.56024410000001</v>
      </c>
      <c r="BS13">
        <v>22.446287649999999</v>
      </c>
      <c r="BT13">
        <v>94.024576400000001</v>
      </c>
      <c r="BU13">
        <v>224.1321208</v>
      </c>
      <c r="BV13">
        <v>1.4010675130000001</v>
      </c>
      <c r="BW13">
        <v>0.1469097208</v>
      </c>
      <c r="BX13">
        <v>0.84609238330000003</v>
      </c>
      <c r="BY13">
        <v>1.6038384969999999</v>
      </c>
      <c r="BZ13">
        <v>2.1376601499999999</v>
      </c>
      <c r="CA13">
        <v>0.32153966449999999</v>
      </c>
      <c r="CB13">
        <v>1.1320940779999999</v>
      </c>
      <c r="CC13">
        <v>2.932741016</v>
      </c>
      <c r="CD13">
        <v>3.538727663</v>
      </c>
      <c r="CE13">
        <v>0.35491941339999999</v>
      </c>
      <c r="CF13">
        <v>2.2550370000000002</v>
      </c>
      <c r="CG13">
        <v>3.8544170000000002</v>
      </c>
      <c r="CH13">
        <v>1.3166946669999999</v>
      </c>
      <c r="CI13">
        <v>0.2619082942</v>
      </c>
      <c r="CJ13">
        <v>0.75500834589999999</v>
      </c>
      <c r="CK13">
        <v>2.1232619289999999</v>
      </c>
      <c r="CL13">
        <v>3.538727663</v>
      </c>
      <c r="CM13">
        <v>0.35491941339999999</v>
      </c>
      <c r="CN13">
        <v>2.2550370000000002</v>
      </c>
      <c r="CO13">
        <v>3.8544170000000002</v>
      </c>
      <c r="CP13">
        <v>0.41821688689999997</v>
      </c>
      <c r="CQ13">
        <v>0.1181997799</v>
      </c>
      <c r="CR13">
        <v>0.22417790339999999</v>
      </c>
      <c r="CS13">
        <v>0.84537097709999998</v>
      </c>
      <c r="CT13">
        <v>0.53566362170000004</v>
      </c>
      <c r="CU13">
        <v>0.14134694040000001</v>
      </c>
      <c r="CV13">
        <v>0.30728842119999999</v>
      </c>
      <c r="CW13">
        <v>0.99315715989999998</v>
      </c>
      <c r="CX13">
        <v>-0.39789901950000001</v>
      </c>
      <c r="CY13">
        <v>0.43273721180000002</v>
      </c>
      <c r="CZ13">
        <v>-2.476719632</v>
      </c>
      <c r="DA13">
        <v>0.27253540450000002</v>
      </c>
      <c r="DB13">
        <v>4.0129221130000001</v>
      </c>
      <c r="DC13">
        <v>1.382288076</v>
      </c>
      <c r="DD13">
        <v>2.2493357349999998</v>
      </c>
      <c r="DE13">
        <v>12.72735247</v>
      </c>
      <c r="DF13">
        <v>6.3887396819999998E-2</v>
      </c>
      <c r="DG13">
        <v>9.532510252E-3</v>
      </c>
      <c r="DH13">
        <v>4.4616541199999998E-2</v>
      </c>
      <c r="DI13">
        <v>9.8759031920000004E-2</v>
      </c>
      <c r="DJ13">
        <v>6.2322030609999999</v>
      </c>
      <c r="DK13">
        <v>1.2537367779999999</v>
      </c>
      <c r="DL13">
        <v>3.7591734859999999</v>
      </c>
      <c r="DM13">
        <v>9.3951215450000003</v>
      </c>
      <c r="DN13">
        <v>23.81827449</v>
      </c>
      <c r="DO13">
        <v>13.0733274</v>
      </c>
      <c r="DP13">
        <v>5.302695537</v>
      </c>
      <c r="DQ13">
        <v>77.114151840000005</v>
      </c>
      <c r="DR13">
        <v>0.84483247380000004</v>
      </c>
      <c r="DS13">
        <v>0.25809226819999997</v>
      </c>
      <c r="DT13">
        <v>0.41355005540000001</v>
      </c>
      <c r="DU13">
        <v>1.9123737119999999</v>
      </c>
      <c r="DV13">
        <v>159.8090163</v>
      </c>
      <c r="DW13">
        <v>22.386703300000001</v>
      </c>
      <c r="DX13">
        <v>101.2565616</v>
      </c>
      <c r="DY13">
        <v>224.1321208</v>
      </c>
      <c r="DZ13">
        <v>1.332703679</v>
      </c>
      <c r="EA13">
        <v>0.2019873126</v>
      </c>
      <c r="EB13">
        <v>0.72121434910000004</v>
      </c>
      <c r="EC13">
        <v>1.7722109610000001</v>
      </c>
      <c r="ED13">
        <v>1.7206110379999999</v>
      </c>
      <c r="EE13">
        <v>0.4475621179</v>
      </c>
      <c r="EF13">
        <v>0.87455224340000004</v>
      </c>
      <c r="EG13">
        <v>3.1717826320000002</v>
      </c>
      <c r="EH13">
        <v>3.0533147170000001</v>
      </c>
      <c r="EI13">
        <v>0.58461560619999997</v>
      </c>
      <c r="EJ13">
        <v>1.804854143</v>
      </c>
      <c r="EK13">
        <v>4.8292034289999997</v>
      </c>
      <c r="EL13">
        <v>1.3736231569999999</v>
      </c>
      <c r="EM13">
        <v>0.30591807180000002</v>
      </c>
      <c r="EN13">
        <v>0.73621326720000002</v>
      </c>
      <c r="EO13">
        <v>2.4861047460000001</v>
      </c>
      <c r="EP13">
        <v>4.2882191110000001</v>
      </c>
      <c r="EQ13">
        <v>0.7849646361</v>
      </c>
      <c r="ER13">
        <v>2.3140200000000002</v>
      </c>
      <c r="ES13">
        <v>6.1600190000000001</v>
      </c>
      <c r="ET13">
        <v>0.41027349619999998</v>
      </c>
      <c r="EU13">
        <v>0.1134506089</v>
      </c>
      <c r="EV13">
        <v>0.21143502140000001</v>
      </c>
      <c r="EW13">
        <v>0.77944327980000006</v>
      </c>
      <c r="EX13">
        <v>0.52613992990000003</v>
      </c>
      <c r="EY13">
        <v>0.14170372710000001</v>
      </c>
      <c r="EZ13">
        <v>0.28166912150000001</v>
      </c>
      <c r="FA13">
        <v>0.9959185103</v>
      </c>
      <c r="FB13">
        <v>-0.34962757360000002</v>
      </c>
      <c r="FC13">
        <v>0.38851733620000001</v>
      </c>
      <c r="FD13">
        <v>-1.5984381249999999</v>
      </c>
      <c r="FE13">
        <v>0.28366477089999997</v>
      </c>
      <c r="FF13">
        <v>4.0323975519999999</v>
      </c>
      <c r="FG13">
        <v>1.0777757990000001</v>
      </c>
      <c r="FH13">
        <v>2.4079075670000001</v>
      </c>
      <c r="FI13">
        <v>9.8634167359999996</v>
      </c>
      <c r="FJ13">
        <v>1.7566758710000001</v>
      </c>
      <c r="FK13">
        <v>0.27582587009999998</v>
      </c>
      <c r="FL13">
        <v>1.0092455360000001</v>
      </c>
      <c r="FM13">
        <v>2.7757242469999999</v>
      </c>
      <c r="FN13">
        <v>2.5315114030000001</v>
      </c>
      <c r="FO13">
        <v>0.66268220330000005</v>
      </c>
      <c r="FP13">
        <v>1.001546958</v>
      </c>
      <c r="FQ13">
        <v>3.9751693459999999</v>
      </c>
      <c r="FR13">
        <v>4.0199492369999996</v>
      </c>
      <c r="FS13">
        <v>0.73949163949999996</v>
      </c>
      <c r="FT13">
        <v>2.2410100000000002</v>
      </c>
      <c r="FU13">
        <v>5.5799260000000004</v>
      </c>
      <c r="FV13">
        <v>3.3780990470000001</v>
      </c>
      <c r="FW13">
        <v>0.77663634500000001</v>
      </c>
      <c r="FX13">
        <v>1.7543089999999999</v>
      </c>
      <c r="FY13">
        <v>5.2428809999999997</v>
      </c>
      <c r="FZ13">
        <v>6.3060662700000006E-2</v>
      </c>
      <c r="GA13">
        <v>9.5178413140000005E-3</v>
      </c>
      <c r="GB13">
        <v>4.2200610540000003E-2</v>
      </c>
      <c r="GC13">
        <v>9.4541694590000003E-2</v>
      </c>
      <c r="GD13">
        <v>6.6094169110000003</v>
      </c>
      <c r="GE13">
        <v>1.529201271</v>
      </c>
      <c r="GF13">
        <v>3.6472079069999999</v>
      </c>
      <c r="GG13">
        <v>11.55043848</v>
      </c>
      <c r="GH13">
        <v>8.7496183639999998</v>
      </c>
      <c r="GI13">
        <v>8.6886480170000002</v>
      </c>
      <c r="GJ13">
        <v>0.61561191820000005</v>
      </c>
      <c r="GK13">
        <v>51.292785029999997</v>
      </c>
      <c r="GL13">
        <v>0.81865640129999995</v>
      </c>
      <c r="GM13">
        <v>0.2290924657</v>
      </c>
      <c r="GN13">
        <v>0.37504510930000001</v>
      </c>
      <c r="GO13">
        <v>1.7047877709999999</v>
      </c>
      <c r="GP13">
        <v>5.9245726210000003</v>
      </c>
      <c r="GQ13">
        <v>2.1497791899999998</v>
      </c>
      <c r="GR13">
        <v>0.78798325540000003</v>
      </c>
      <c r="GS13">
        <v>14.750061560000001</v>
      </c>
      <c r="GT13">
        <v>161.97545199999999</v>
      </c>
      <c r="GU13">
        <v>23.042156800000001</v>
      </c>
      <c r="GV13">
        <v>105.7734372</v>
      </c>
      <c r="GW13">
        <v>236.9633963</v>
      </c>
      <c r="GX13">
        <v>1.198589093</v>
      </c>
      <c r="GY13">
        <v>0.15283086209999999</v>
      </c>
      <c r="GZ13">
        <v>0.71221092200000002</v>
      </c>
      <c r="HA13">
        <v>1.478213913</v>
      </c>
      <c r="HB13">
        <v>1.567300801</v>
      </c>
      <c r="HC13">
        <v>0.3351961134</v>
      </c>
      <c r="HD13">
        <v>0.86499038169999998</v>
      </c>
      <c r="HE13">
        <v>2.4086118170000002</v>
      </c>
      <c r="HF13">
        <v>2.7658898939999998</v>
      </c>
      <c r="HG13">
        <v>0.42798911589999999</v>
      </c>
      <c r="HH13">
        <v>1.794887286</v>
      </c>
      <c r="HI13">
        <v>3.7080014289999998</v>
      </c>
      <c r="HJ13">
        <v>1.294826711</v>
      </c>
      <c r="HK13">
        <v>0.25650022659999999</v>
      </c>
      <c r="HL13">
        <v>0.73504836640000004</v>
      </c>
      <c r="HM13">
        <v>2.2074370160000001</v>
      </c>
      <c r="HN13">
        <v>3.5388916579999998</v>
      </c>
      <c r="HO13">
        <v>0.48839008389999999</v>
      </c>
      <c r="HP13">
        <v>2.0748950000000002</v>
      </c>
      <c r="HQ13">
        <v>5.0357399999999997</v>
      </c>
      <c r="HR13">
        <v>0.39858810030000003</v>
      </c>
      <c r="HS13">
        <v>0.1018424641</v>
      </c>
      <c r="HT13">
        <v>0.21143502140000001</v>
      </c>
      <c r="HU13">
        <v>0.75243154300000004</v>
      </c>
      <c r="HV13">
        <v>0.50277829650000005</v>
      </c>
      <c r="HW13">
        <v>0.1218820302</v>
      </c>
      <c r="HX13">
        <v>0.28166912150000001</v>
      </c>
      <c r="HY13">
        <v>0.86896571609999995</v>
      </c>
      <c r="HZ13">
        <v>-0.30339828470000002</v>
      </c>
      <c r="IA13">
        <v>0.34711739549999998</v>
      </c>
      <c r="IB13">
        <v>-1.6993480219999999</v>
      </c>
      <c r="IC13">
        <v>0.2148701864</v>
      </c>
      <c r="ID13">
        <v>3.548315294</v>
      </c>
      <c r="IE13">
        <v>0.88045883020000004</v>
      </c>
      <c r="IF13">
        <v>2.2525872640000002</v>
      </c>
      <c r="IG13">
        <v>9.0167098239999994</v>
      </c>
      <c r="IH13">
        <v>1.4602554720000001</v>
      </c>
      <c r="II13">
        <v>0.19876602769999999</v>
      </c>
      <c r="IJ13">
        <v>0.88173167129999996</v>
      </c>
      <c r="IK13">
        <v>2.317014972</v>
      </c>
      <c r="IL13">
        <v>2.0786361860000002</v>
      </c>
      <c r="IM13">
        <v>0.37393288250000001</v>
      </c>
      <c r="IN13">
        <v>1.0015230959999999</v>
      </c>
      <c r="IO13">
        <v>3.0734248169999998</v>
      </c>
      <c r="IP13">
        <v>3.3736284209999998</v>
      </c>
      <c r="IQ13">
        <v>0.44096404909999998</v>
      </c>
      <c r="IR13">
        <v>2.0339960000000001</v>
      </c>
      <c r="IS13">
        <v>4.5204519999999997</v>
      </c>
      <c r="IT13">
        <v>3.0024845</v>
      </c>
      <c r="IU13">
        <v>0.50822484909999999</v>
      </c>
      <c r="IV13">
        <v>1.754297</v>
      </c>
      <c r="IW13">
        <v>4.0340410000000002</v>
      </c>
      <c r="IX13">
        <v>6.1001854110000003E-2</v>
      </c>
      <c r="IY13">
        <v>8.8549019309999994E-3</v>
      </c>
      <c r="IZ13">
        <v>4.2200610540000003E-2</v>
      </c>
      <c r="JA13">
        <v>8.9722999689999999E-2</v>
      </c>
      <c r="JB13">
        <v>6.1420032039999999</v>
      </c>
      <c r="JC13">
        <v>1.2404889320000001</v>
      </c>
      <c r="JD13">
        <v>3.6472079069999999</v>
      </c>
      <c r="JE13">
        <v>9.4928634130000003</v>
      </c>
      <c r="JF13">
        <v>19.653260599999999</v>
      </c>
      <c r="JG13">
        <v>11.27361125</v>
      </c>
      <c r="JH13">
        <v>2.610194533</v>
      </c>
      <c r="JI13">
        <v>74.028938690000004</v>
      </c>
      <c r="JJ13">
        <v>0.81045440700000004</v>
      </c>
      <c r="JK13">
        <v>0.21992932230000001</v>
      </c>
      <c r="JL13">
        <v>0.37654616549999997</v>
      </c>
      <c r="JM13">
        <v>1.6702703720000001</v>
      </c>
      <c r="JN13">
        <v>7.3929688850000002</v>
      </c>
      <c r="JO13">
        <v>2.6948693170000002</v>
      </c>
      <c r="JP13">
        <v>0.96035459249999999</v>
      </c>
      <c r="JQ13">
        <v>19.502585570000001</v>
      </c>
      <c r="JR13">
        <v>167.20972459999999</v>
      </c>
      <c r="JS13">
        <v>23.084063369999999</v>
      </c>
      <c r="JT13">
        <v>111.4541426</v>
      </c>
      <c r="JU13">
        <v>236.9633963</v>
      </c>
      <c r="JV13">
        <v>0.27001537619999999</v>
      </c>
      <c r="JW13">
        <v>0.13095806460000001</v>
      </c>
      <c r="JX13">
        <v>8.4487873399999996E-2</v>
      </c>
      <c r="JY13">
        <v>0.88309055550000004</v>
      </c>
      <c r="JZ13">
        <v>0.3403753659</v>
      </c>
      <c r="KA13">
        <v>0.19944396510000001</v>
      </c>
      <c r="KB13">
        <v>0.13034149850000001</v>
      </c>
      <c r="KC13">
        <v>1.154097838</v>
      </c>
      <c r="KD13">
        <v>0.61039074209999999</v>
      </c>
      <c r="KE13">
        <v>0.31196772550000001</v>
      </c>
      <c r="KF13">
        <v>0.254917</v>
      </c>
      <c r="KG13">
        <v>2.0189330000000001</v>
      </c>
      <c r="KH13">
        <v>0.38134060539999998</v>
      </c>
      <c r="KI13">
        <v>0.24992355199999999</v>
      </c>
      <c r="KJ13">
        <v>0.11686133329999999</v>
      </c>
      <c r="KK13">
        <v>1.705638</v>
      </c>
      <c r="KL13">
        <v>0.61039074209999999</v>
      </c>
      <c r="KM13">
        <v>0.31196772550000001</v>
      </c>
      <c r="KN13">
        <v>0.254917</v>
      </c>
      <c r="KO13">
        <v>2.0189330000000001</v>
      </c>
      <c r="KP13">
        <v>0.11118021810000001</v>
      </c>
      <c r="KQ13">
        <v>5.401188438E-2</v>
      </c>
      <c r="KR13">
        <v>5.3731864320000003E-2</v>
      </c>
      <c r="KS13">
        <v>0.32831952800000003</v>
      </c>
      <c r="KT13">
        <v>0.1392994031</v>
      </c>
      <c r="KU13">
        <v>6.7265481390000006E-2</v>
      </c>
      <c r="KV13">
        <v>6.6794801289999997E-2</v>
      </c>
      <c r="KW13">
        <v>0.40329938879999999</v>
      </c>
      <c r="KX13">
        <v>-0.32915079000000003</v>
      </c>
      <c r="KY13">
        <v>0.56428451040000005</v>
      </c>
      <c r="KZ13">
        <v>-2.719252574</v>
      </c>
      <c r="LA13">
        <v>1.177098875</v>
      </c>
      <c r="LB13">
        <v>3.023292949</v>
      </c>
      <c r="LC13">
        <v>1.0058922560000001</v>
      </c>
      <c r="LD13">
        <v>1.6710095039999999</v>
      </c>
      <c r="LE13">
        <v>10.955056150000001</v>
      </c>
      <c r="LF13">
        <v>1.5471895790000001</v>
      </c>
      <c r="LG13">
        <v>0.59502926789999999</v>
      </c>
      <c r="LH13">
        <v>0.62099999790000004</v>
      </c>
      <c r="LI13">
        <v>5.0618399829999996</v>
      </c>
      <c r="LJ13">
        <v>3.2519401099999998E-2</v>
      </c>
      <c r="LK13">
        <v>1.7352012659999999E-2</v>
      </c>
      <c r="LL13">
        <v>1.198159539E-2</v>
      </c>
      <c r="LM13">
        <v>9.7627148339999997E-2</v>
      </c>
      <c r="LN13">
        <v>99.040611279999993</v>
      </c>
      <c r="LO13">
        <v>3.3534370519999999</v>
      </c>
      <c r="LP13">
        <v>74.745912509999997</v>
      </c>
      <c r="LQ13">
        <v>100</v>
      </c>
      <c r="LR13">
        <v>0.23005003190000001</v>
      </c>
      <c r="LS13">
        <v>0.1149125956</v>
      </c>
      <c r="LT13">
        <v>7.9159773599999997E-2</v>
      </c>
      <c r="LU13">
        <v>0.68037666259999996</v>
      </c>
      <c r="LV13">
        <v>13.441790579999999</v>
      </c>
      <c r="LW13">
        <v>5.314362</v>
      </c>
      <c r="LX13">
        <v>0</v>
      </c>
      <c r="LY13">
        <v>29.750517250000001</v>
      </c>
      <c r="LZ13">
        <v>7.2283495240000004</v>
      </c>
      <c r="MA13">
        <v>2.3345556260000002</v>
      </c>
      <c r="MB13">
        <v>1.9755662039999999</v>
      </c>
      <c r="MC13">
        <v>16.103059640000001</v>
      </c>
      <c r="MD13">
        <v>0.26031424939999998</v>
      </c>
      <c r="ME13">
        <v>0.12125241539999999</v>
      </c>
      <c r="MF13">
        <v>8.5077436150000005E-2</v>
      </c>
      <c r="MG13">
        <v>0.76630375360000003</v>
      </c>
      <c r="MH13">
        <v>0.31634108220000001</v>
      </c>
      <c r="MI13">
        <v>0.17893190810000001</v>
      </c>
      <c r="MJ13">
        <v>0.1330435338</v>
      </c>
      <c r="MK13">
        <v>1.2285626030000001</v>
      </c>
      <c r="ML13">
        <v>0.57665533160000004</v>
      </c>
      <c r="MM13">
        <v>0.27966088119999999</v>
      </c>
      <c r="MN13">
        <v>0.254917</v>
      </c>
      <c r="MO13">
        <v>1.8308690000000001</v>
      </c>
      <c r="MP13">
        <v>0.36235855960000002</v>
      </c>
      <c r="MQ13">
        <v>0.22727978360000001</v>
      </c>
      <c r="MR13">
        <v>0.115188</v>
      </c>
      <c r="MS13">
        <v>1.3643110000000001</v>
      </c>
      <c r="MT13">
        <v>0.57665533160000004</v>
      </c>
      <c r="MU13">
        <v>0.27966088119999999</v>
      </c>
      <c r="MV13">
        <v>0.254917</v>
      </c>
      <c r="MW13">
        <v>1.8308690000000001</v>
      </c>
      <c r="MX13">
        <v>0.1055949449</v>
      </c>
      <c r="MY13">
        <v>4.862421921E-2</v>
      </c>
      <c r="MZ13">
        <v>5.3566911049999999E-2</v>
      </c>
      <c r="NA13">
        <v>0.28396186670000001</v>
      </c>
      <c r="NB13">
        <v>0.13231686400000001</v>
      </c>
      <c r="NC13">
        <v>6.0985414119999998E-2</v>
      </c>
      <c r="ND13">
        <v>6.3866028029999994E-2</v>
      </c>
      <c r="NE13">
        <v>0.37126477740000002</v>
      </c>
      <c r="NF13">
        <v>-0.28885864300000003</v>
      </c>
      <c r="NG13">
        <v>0.5776161044</v>
      </c>
      <c r="NH13">
        <v>-2.3434525430000002</v>
      </c>
      <c r="NI13">
        <v>1.1542562350000001</v>
      </c>
      <c r="NJ13">
        <v>3.0041975330000001</v>
      </c>
      <c r="NK13">
        <v>0.92266526979999997</v>
      </c>
      <c r="NL13">
        <v>1.6710095039999999</v>
      </c>
      <c r="NM13">
        <v>9.5005196099999996</v>
      </c>
      <c r="NN13">
        <v>1.5244009329999999</v>
      </c>
      <c r="NO13">
        <v>0.59962812590000003</v>
      </c>
      <c r="NP13">
        <v>0.62099999790000004</v>
      </c>
      <c r="NQ13">
        <v>5.0687399820000003</v>
      </c>
      <c r="NR13">
        <v>3.0672714699999999E-2</v>
      </c>
      <c r="NS13">
        <v>1.569147764E-2</v>
      </c>
      <c r="NT13">
        <v>1.1818329210000001E-2</v>
      </c>
      <c r="NU13">
        <v>9.2212479829999999E-2</v>
      </c>
      <c r="NV13">
        <v>99.316161339999994</v>
      </c>
      <c r="NW13">
        <v>2.3273363840000001</v>
      </c>
      <c r="NX13">
        <v>85.108263370000003</v>
      </c>
      <c r="NY13">
        <v>100</v>
      </c>
      <c r="NZ13">
        <v>0.2184072749</v>
      </c>
      <c r="OA13">
        <v>0.10344874229999999</v>
      </c>
      <c r="OB13">
        <v>7.9022635600000002E-2</v>
      </c>
      <c r="OC13">
        <v>0.64075430700000002</v>
      </c>
      <c r="OD13">
        <v>13.53912201</v>
      </c>
      <c r="OE13">
        <v>5.2110666290000003</v>
      </c>
      <c r="OF13">
        <v>0</v>
      </c>
      <c r="OG13">
        <v>29.750517250000001</v>
      </c>
      <c r="OH13">
        <v>7.3913537270000003</v>
      </c>
      <c r="OI13">
        <v>2.4938877970000002</v>
      </c>
      <c r="OJ13">
        <v>1.972876895</v>
      </c>
      <c r="OK13">
        <v>16.103059640000001</v>
      </c>
      <c r="OL13">
        <v>0.5769437717</v>
      </c>
      <c r="OM13">
        <v>-0.84621796179999997</v>
      </c>
      <c r="ON13">
        <v>6.2573858470000001</v>
      </c>
      <c r="OO13">
        <v>2.2745139999999999</v>
      </c>
      <c r="OP13">
        <v>3.9677820000000001</v>
      </c>
      <c r="OQ13">
        <v>6.2422959999999996</v>
      </c>
      <c r="OR13">
        <v>0.42577188529999999</v>
      </c>
      <c r="OS13" s="2">
        <v>2.676683991E-5</v>
      </c>
      <c r="OT13">
        <v>7.0047186529999998E-4</v>
      </c>
      <c r="OU13" s="2">
        <v>2.676683991E-5</v>
      </c>
      <c r="OV13">
        <v>4.3416620390000001E-4</v>
      </c>
      <c r="OW13">
        <v>6.1668779610000004E-4</v>
      </c>
      <c r="OX13" s="2">
        <v>8.3784069189999998E-5</v>
      </c>
      <c r="OY13">
        <v>1.2994557529999999</v>
      </c>
      <c r="OZ13">
        <v>0.53888306689999999</v>
      </c>
      <c r="PA13">
        <v>1.035916203</v>
      </c>
      <c r="PB13">
        <v>10.218953640000001</v>
      </c>
      <c r="PC13">
        <v>90.637863609999997</v>
      </c>
      <c r="PD13">
        <v>0.54495651940000001</v>
      </c>
      <c r="PE13">
        <v>-0.56345317250000004</v>
      </c>
      <c r="PF13">
        <v>4.5084482570000004</v>
      </c>
      <c r="PG13">
        <v>1.7188380000000001</v>
      </c>
      <c r="PH13">
        <v>2.7744390000000001</v>
      </c>
      <c r="PI13">
        <v>4.493277</v>
      </c>
      <c r="PJ13">
        <v>0.41420572259999999</v>
      </c>
      <c r="PK13" s="2">
        <v>2.4447674840000001E-5</v>
      </c>
      <c r="PL13">
        <v>6.8649464920000002E-4</v>
      </c>
      <c r="PM13" s="2">
        <v>2.4447674840000001E-5</v>
      </c>
      <c r="PN13">
        <v>4.313802508E-4</v>
      </c>
      <c r="PO13">
        <v>6.0975774920000005E-4</v>
      </c>
      <c r="PP13" s="2">
        <v>7.6736899979999994E-5</v>
      </c>
      <c r="PQ13">
        <v>1.2953678820000001</v>
      </c>
      <c r="PR13">
        <v>0.48996558750000002</v>
      </c>
      <c r="PS13">
        <v>0.8973786614</v>
      </c>
      <c r="PT13">
        <v>10.05272048</v>
      </c>
      <c r="PU13">
        <v>90.733675880000007</v>
      </c>
      <c r="PV13">
        <v>1.363107195</v>
      </c>
      <c r="PW13">
        <v>0.52743854459999995</v>
      </c>
      <c r="PX13">
        <v>1.0094884500000001</v>
      </c>
      <c r="PY13">
        <v>11.386035590000001</v>
      </c>
      <c r="PZ13">
        <v>90.134214420000006</v>
      </c>
      <c r="QA13">
        <v>1.358547299</v>
      </c>
      <c r="QB13">
        <v>0.48532514459999998</v>
      </c>
      <c r="QC13">
        <v>0.86693078960000003</v>
      </c>
      <c r="QD13">
        <v>11.329425479999999</v>
      </c>
      <c r="QE13">
        <v>90.234703920000001</v>
      </c>
      <c r="QF13" s="2">
        <v>2.5463472380000001E-5</v>
      </c>
      <c r="QG13">
        <v>4.7918797620000002E-4</v>
      </c>
      <c r="QH13">
        <v>6.768670238E-4</v>
      </c>
      <c r="QI13" s="2">
        <v>8.544279156E-5</v>
      </c>
      <c r="QJ13" s="2">
        <v>2.319126329E-5</v>
      </c>
      <c r="QK13">
        <v>4.7707256550000001E-4</v>
      </c>
      <c r="QL13">
        <v>6.7258443450000005E-4</v>
      </c>
      <c r="QM13" s="2">
        <v>7.7780210370000002E-5</v>
      </c>
      <c r="QN13">
        <v>80.235505619999998</v>
      </c>
      <c r="QO13">
        <v>40.008539140000003</v>
      </c>
      <c r="QP13">
        <v>125.75248550000001</v>
      </c>
      <c r="QQ13">
        <v>114.7578346</v>
      </c>
      <c r="QR13">
        <v>73.844257650000003</v>
      </c>
      <c r="QS13">
        <v>125.7520767</v>
      </c>
      <c r="QT13">
        <v>114.7584038</v>
      </c>
      <c r="QU13">
        <v>40.014445440000003</v>
      </c>
    </row>
    <row r="14" spans="1:463" x14ac:dyDescent="0.2">
      <c r="A14" t="s">
        <v>284</v>
      </c>
      <c r="B14" s="2">
        <v>-1.4779783539999999E-11</v>
      </c>
      <c r="C14" s="2">
        <v>-1.230354076E-11</v>
      </c>
      <c r="D14">
        <v>2.5366607820000001E-2</v>
      </c>
      <c r="E14">
        <v>6.1405473180000003E-2</v>
      </c>
      <c r="F14">
        <v>0.40984401679999999</v>
      </c>
      <c r="G14">
        <v>7.7771371440000001E-2</v>
      </c>
      <c r="H14">
        <v>0.18826277029999999</v>
      </c>
      <c r="I14">
        <v>1.25653897</v>
      </c>
      <c r="J14">
        <v>32.59153002</v>
      </c>
      <c r="K14">
        <v>32.616896619999999</v>
      </c>
      <c r="L14">
        <v>32.616896619999999</v>
      </c>
      <c r="M14">
        <v>32.616896619999999</v>
      </c>
      <c r="N14">
        <v>32.555491150000002</v>
      </c>
      <c r="O14">
        <v>32.616896619999999</v>
      </c>
      <c r="P14">
        <v>32.207052609999998</v>
      </c>
      <c r="Q14">
        <v>32.616896619999999</v>
      </c>
      <c r="R14">
        <v>5.3022364560000002</v>
      </c>
      <c r="S14">
        <v>6.0084374110000001</v>
      </c>
      <c r="T14">
        <v>0.67422036100000005</v>
      </c>
      <c r="U14">
        <v>18.86953471</v>
      </c>
      <c r="V14">
        <v>2.4999656020000001</v>
      </c>
      <c r="W14">
        <v>0.73188409990000003</v>
      </c>
      <c r="X14">
        <v>0.82197874500000001</v>
      </c>
      <c r="Y14">
        <v>4.0281522030000003</v>
      </c>
      <c r="Z14">
        <v>7.8022020579999998</v>
      </c>
      <c r="AA14">
        <v>6.0933728839999999</v>
      </c>
      <c r="AB14">
        <v>2.297104</v>
      </c>
      <c r="AC14">
        <v>22.307943000000002</v>
      </c>
      <c r="AD14">
        <v>1.5589542089999999</v>
      </c>
      <c r="AE14">
        <v>0.68141595720000003</v>
      </c>
      <c r="AF14">
        <v>0.77326571229999996</v>
      </c>
      <c r="AG14">
        <v>4.1177624369999997</v>
      </c>
      <c r="AH14">
        <v>7.8022020579999998</v>
      </c>
      <c r="AI14">
        <v>6.0933728839999999</v>
      </c>
      <c r="AJ14">
        <v>2.297104</v>
      </c>
      <c r="AK14">
        <v>22.307943000000002</v>
      </c>
      <c r="AL14">
        <v>0.4202175219</v>
      </c>
      <c r="AM14">
        <v>0.14648263249999999</v>
      </c>
      <c r="AN14">
        <v>0.2151539237</v>
      </c>
      <c r="AO14">
        <v>1.0025349400000001</v>
      </c>
      <c r="AP14">
        <v>0.66543383509999998</v>
      </c>
      <c r="AQ14">
        <v>0.29547219149999998</v>
      </c>
      <c r="AR14">
        <v>0.30280673990000001</v>
      </c>
      <c r="AS14">
        <v>1.9472773860000001</v>
      </c>
      <c r="AT14">
        <v>1.631463933</v>
      </c>
      <c r="AU14">
        <v>4.2696739309999998</v>
      </c>
      <c r="AV14">
        <v>-2.5004519549999999</v>
      </c>
      <c r="AW14">
        <v>16.506115980000001</v>
      </c>
      <c r="AX14">
        <v>39.101585040000003</v>
      </c>
      <c r="AY14">
        <v>67.527607840000002</v>
      </c>
      <c r="AZ14">
        <v>2.5066244389999999</v>
      </c>
      <c r="BA14">
        <v>388.14697360000002</v>
      </c>
      <c r="BB14">
        <v>0.1034759497</v>
      </c>
      <c r="BC14">
        <v>6.7092502439999993E-2</v>
      </c>
      <c r="BD14">
        <v>4.3817446660000002E-2</v>
      </c>
      <c r="BE14">
        <v>0.44974199840000001</v>
      </c>
      <c r="BF14">
        <v>7.0651196470000004</v>
      </c>
      <c r="BG14">
        <v>2.8436295039999999</v>
      </c>
      <c r="BH14">
        <v>2.7207548909999999</v>
      </c>
      <c r="BI14">
        <v>17.103955200000001</v>
      </c>
      <c r="BJ14">
        <v>18.01804456</v>
      </c>
      <c r="BK14">
        <v>20.866390899999999</v>
      </c>
      <c r="BL14">
        <v>2.2094564739999999E-2</v>
      </c>
      <c r="BM14">
        <v>85.373398140000006</v>
      </c>
      <c r="BN14">
        <v>0.77141075640000001</v>
      </c>
      <c r="BO14">
        <v>0.34968564969999999</v>
      </c>
      <c r="BP14">
        <v>0.3545089796</v>
      </c>
      <c r="BQ14">
        <v>2.1109468819999999</v>
      </c>
      <c r="BR14">
        <v>121.557041</v>
      </c>
      <c r="BS14">
        <v>47.19223307</v>
      </c>
      <c r="BT14">
        <v>22.234970350000001</v>
      </c>
      <c r="BU14">
        <v>228.21959659999999</v>
      </c>
      <c r="BV14">
        <v>1.1820536129999999</v>
      </c>
      <c r="BW14">
        <v>0.13999617070000001</v>
      </c>
      <c r="BX14">
        <v>0.67422036100000005</v>
      </c>
      <c r="BY14">
        <v>1.444748379</v>
      </c>
      <c r="BZ14">
        <v>2.0833125240000001</v>
      </c>
      <c r="CA14">
        <v>0.41284794619999998</v>
      </c>
      <c r="CB14">
        <v>0.78085529539999998</v>
      </c>
      <c r="CC14">
        <v>2.9147882639999998</v>
      </c>
      <c r="CD14">
        <v>3.265366137</v>
      </c>
      <c r="CE14">
        <v>0.46976219070000003</v>
      </c>
      <c r="CF14">
        <v>1.8037430000000001</v>
      </c>
      <c r="CG14">
        <v>3.717597</v>
      </c>
      <c r="CH14">
        <v>1.1789439319999999</v>
      </c>
      <c r="CI14">
        <v>0.32340418409999999</v>
      </c>
      <c r="CJ14">
        <v>0.7588446593</v>
      </c>
      <c r="CK14">
        <v>2.28809168</v>
      </c>
      <c r="CL14">
        <v>3.265366137</v>
      </c>
      <c r="CM14">
        <v>0.46976219070000003</v>
      </c>
      <c r="CN14">
        <v>1.8037430000000001</v>
      </c>
      <c r="CO14">
        <v>3.717597</v>
      </c>
      <c r="CP14">
        <v>0.39296840230000002</v>
      </c>
      <c r="CQ14">
        <v>0.13564297810000001</v>
      </c>
      <c r="CR14">
        <v>0.2151539237</v>
      </c>
      <c r="CS14">
        <v>0.8626294337</v>
      </c>
      <c r="CT14">
        <v>0.52201021449999996</v>
      </c>
      <c r="CU14">
        <v>0.16067027719999999</v>
      </c>
      <c r="CV14">
        <v>0.30280673990000001</v>
      </c>
      <c r="CW14">
        <v>1.012884925</v>
      </c>
      <c r="CX14">
        <v>-0.69348248889999997</v>
      </c>
      <c r="CY14">
        <v>0.5546477447</v>
      </c>
      <c r="CZ14">
        <v>-2.5491774669999998</v>
      </c>
      <c r="DA14">
        <v>0.56708074819999998</v>
      </c>
      <c r="DB14">
        <v>4.8025659169999999</v>
      </c>
      <c r="DC14">
        <v>1.523850025</v>
      </c>
      <c r="DD14">
        <v>2.0084946119999998</v>
      </c>
      <c r="DE14">
        <v>10.690513640000001</v>
      </c>
      <c r="DF14">
        <v>7.1688123009999993E-2</v>
      </c>
      <c r="DG14">
        <v>1.959601658E-2</v>
      </c>
      <c r="DH14">
        <v>4.349915478E-2</v>
      </c>
      <c r="DI14">
        <v>0.13862727220000001</v>
      </c>
      <c r="DJ14">
        <v>5.2320151480000003</v>
      </c>
      <c r="DK14">
        <v>1.3123192290000001</v>
      </c>
      <c r="DL14">
        <v>2.7207548909999999</v>
      </c>
      <c r="DM14">
        <v>9.3374729760000008</v>
      </c>
      <c r="DN14">
        <v>36.64388804</v>
      </c>
      <c r="DO14">
        <v>14.71962555</v>
      </c>
      <c r="DP14">
        <v>11.185222019999999</v>
      </c>
      <c r="DQ14">
        <v>85.373398140000006</v>
      </c>
      <c r="DR14">
        <v>0.76489639040000001</v>
      </c>
      <c r="DS14">
        <v>0.3417435204</v>
      </c>
      <c r="DT14">
        <v>0.35410849700000002</v>
      </c>
      <c r="DU14">
        <v>2.002560425</v>
      </c>
      <c r="DV14">
        <v>149.33405669999999</v>
      </c>
      <c r="DW14">
        <v>37.420134679999997</v>
      </c>
      <c r="DX14">
        <v>72.135878009999999</v>
      </c>
      <c r="DY14">
        <v>229.88952430000001</v>
      </c>
      <c r="DZ14">
        <v>1.638527031</v>
      </c>
      <c r="EA14">
        <v>1.0433422999999999</v>
      </c>
      <c r="EB14">
        <v>0.44638569589999999</v>
      </c>
      <c r="EC14">
        <v>6.0286037080000003</v>
      </c>
      <c r="ED14">
        <v>1.6588290640000001</v>
      </c>
      <c r="EE14">
        <v>0.47970046</v>
      </c>
      <c r="EF14">
        <v>0.62051263199999995</v>
      </c>
      <c r="EG14">
        <v>2.8662068129999998</v>
      </c>
      <c r="EH14">
        <v>3.297356095</v>
      </c>
      <c r="EI14">
        <v>1.2151319350000001</v>
      </c>
      <c r="EJ14">
        <v>1.7374529999999999</v>
      </c>
      <c r="EK14">
        <v>8.2145565709999993</v>
      </c>
      <c r="EL14">
        <v>1.470592892</v>
      </c>
      <c r="EM14">
        <v>0.58812031139999998</v>
      </c>
      <c r="EN14">
        <v>0.74917885829999997</v>
      </c>
      <c r="EO14">
        <v>3.2236612500000001</v>
      </c>
      <c r="EP14">
        <v>7.1742256260000001</v>
      </c>
      <c r="EQ14">
        <v>5.6213938499999996</v>
      </c>
      <c r="ER14">
        <v>2.2574689999999999</v>
      </c>
      <c r="ES14">
        <v>20.760745</v>
      </c>
      <c r="ET14">
        <v>0.4032881526</v>
      </c>
      <c r="EU14">
        <v>0.12919811580000001</v>
      </c>
      <c r="EV14">
        <v>0.1815140391</v>
      </c>
      <c r="EW14">
        <v>0.86710224930000002</v>
      </c>
      <c r="EX14">
        <v>0.56743911079999998</v>
      </c>
      <c r="EY14">
        <v>0.18950678379999999</v>
      </c>
      <c r="EZ14">
        <v>0.26232643010000001</v>
      </c>
      <c r="FA14">
        <v>1.264869019</v>
      </c>
      <c r="FB14">
        <v>-0.2094872639</v>
      </c>
      <c r="FC14">
        <v>0.84434299400000001</v>
      </c>
      <c r="FD14">
        <v>-2.3986374860000002</v>
      </c>
      <c r="FE14">
        <v>2.477132428</v>
      </c>
      <c r="FF14">
        <v>7.0729680210000003</v>
      </c>
      <c r="FG14">
        <v>5.7414792720000003</v>
      </c>
      <c r="FH14">
        <v>2.0631387889999999</v>
      </c>
      <c r="FI14">
        <v>51.991539670000002</v>
      </c>
      <c r="FJ14">
        <v>4.7540333759999998</v>
      </c>
      <c r="FK14">
        <v>5.3765054250000004</v>
      </c>
      <c r="FL14">
        <v>0.57792183870000002</v>
      </c>
      <c r="FM14">
        <v>18.31496915</v>
      </c>
      <c r="FN14">
        <v>2.420192251</v>
      </c>
      <c r="FO14">
        <v>0.78336713609999997</v>
      </c>
      <c r="FP14">
        <v>0.82901667270000001</v>
      </c>
      <c r="FQ14">
        <v>6.4908698129999998</v>
      </c>
      <c r="FR14">
        <v>6.8773316629999997</v>
      </c>
      <c r="FS14">
        <v>5.579596446</v>
      </c>
      <c r="FT14">
        <v>2.0927730000000002</v>
      </c>
      <c r="FU14">
        <v>20.377222</v>
      </c>
      <c r="FV14">
        <v>3.552749747</v>
      </c>
      <c r="FW14">
        <v>3.381962342</v>
      </c>
      <c r="FX14">
        <v>1.2271369999999999</v>
      </c>
      <c r="FY14">
        <v>19.560182000000001</v>
      </c>
      <c r="FZ14">
        <v>8.8845001679999994E-2</v>
      </c>
      <c r="GA14">
        <v>4.2678564170000002E-2</v>
      </c>
      <c r="GB14">
        <v>4.3486299059999997E-2</v>
      </c>
      <c r="GC14">
        <v>0.38265428439999999</v>
      </c>
      <c r="GD14">
        <v>6.264313917</v>
      </c>
      <c r="GE14">
        <v>2.0703109730000002</v>
      </c>
      <c r="GF14">
        <v>2.6920955150000001</v>
      </c>
      <c r="GG14">
        <v>13.31340215</v>
      </c>
      <c r="GH14">
        <v>18.48344896</v>
      </c>
      <c r="GI14">
        <v>19.841606129999999</v>
      </c>
      <c r="GJ14">
        <v>2.4624476730000001E-2</v>
      </c>
      <c r="GK14">
        <v>88.672740700000006</v>
      </c>
      <c r="GL14">
        <v>0.74472763220000004</v>
      </c>
      <c r="GM14">
        <v>0.27578447820000002</v>
      </c>
      <c r="GN14">
        <v>0.32409793320000002</v>
      </c>
      <c r="GO14">
        <v>1.7416274389999999</v>
      </c>
      <c r="GP14">
        <v>5.8522519490000002</v>
      </c>
      <c r="GQ14">
        <v>4.0272056269999998</v>
      </c>
      <c r="GR14">
        <v>4.9248953460000001E-2</v>
      </c>
      <c r="GS14">
        <v>20.447894399999999</v>
      </c>
      <c r="GT14">
        <v>131.43843749999999</v>
      </c>
      <c r="GU14">
        <v>45.394951540000001</v>
      </c>
      <c r="GV14">
        <v>26.133249800000002</v>
      </c>
      <c r="GW14">
        <v>229.9574858</v>
      </c>
      <c r="GX14">
        <v>0.97780443959999996</v>
      </c>
      <c r="GY14">
        <v>0.1511776474</v>
      </c>
      <c r="GZ14">
        <v>0.44638569589999999</v>
      </c>
      <c r="HA14">
        <v>1.468780449</v>
      </c>
      <c r="HB14">
        <v>1.5183578600000001</v>
      </c>
      <c r="HC14">
        <v>0.38788950929999999</v>
      </c>
      <c r="HD14">
        <v>0.61497565750000005</v>
      </c>
      <c r="HE14">
        <v>2.3320660420000001</v>
      </c>
      <c r="HF14">
        <v>2.4961622999999999</v>
      </c>
      <c r="HG14">
        <v>0.45544591620000002</v>
      </c>
      <c r="HH14">
        <v>1.5398540000000001</v>
      </c>
      <c r="HI14">
        <v>3.4993787140000001</v>
      </c>
      <c r="HJ14">
        <v>1.1461469010000001</v>
      </c>
      <c r="HK14">
        <v>0.3106708567</v>
      </c>
      <c r="HL14">
        <v>0.73150332809999996</v>
      </c>
      <c r="HM14">
        <v>2.3374047999999998</v>
      </c>
      <c r="HN14">
        <v>3.2424749259999999</v>
      </c>
      <c r="HO14">
        <v>0.53499082939999998</v>
      </c>
      <c r="HP14">
        <v>1.9817309999999999</v>
      </c>
      <c r="HQ14">
        <v>4.8544689999999999</v>
      </c>
      <c r="HR14">
        <v>0.37270675869999997</v>
      </c>
      <c r="HS14">
        <v>0.11623181690000001</v>
      </c>
      <c r="HT14">
        <v>0.1815140391</v>
      </c>
      <c r="HU14">
        <v>0.76549564219999999</v>
      </c>
      <c r="HV14">
        <v>0.48350835920000002</v>
      </c>
      <c r="HW14">
        <v>0.1370989997</v>
      </c>
      <c r="HX14">
        <v>0.26232643010000001</v>
      </c>
      <c r="HY14">
        <v>0.91369958770000004</v>
      </c>
      <c r="HZ14">
        <v>-0.50836370019999999</v>
      </c>
      <c r="IA14">
        <v>0.52535958459999998</v>
      </c>
      <c r="IB14">
        <v>-2.4148383</v>
      </c>
      <c r="IC14">
        <v>0.63041214160000003</v>
      </c>
      <c r="ID14">
        <v>4.1782222649999996</v>
      </c>
      <c r="IE14">
        <v>1.1504745089999999</v>
      </c>
      <c r="IF14">
        <v>2.0040618970000001</v>
      </c>
      <c r="IG14">
        <v>10.109887240000001</v>
      </c>
      <c r="IH14">
        <v>1.217795991</v>
      </c>
      <c r="II14">
        <v>0.21303330370000001</v>
      </c>
      <c r="IJ14">
        <v>0.57792183870000002</v>
      </c>
      <c r="IK14">
        <v>2.2267363059999998</v>
      </c>
      <c r="IL14">
        <v>2.0246211199999999</v>
      </c>
      <c r="IM14">
        <v>0.41838372699999998</v>
      </c>
      <c r="IN14">
        <v>0.81225265769999999</v>
      </c>
      <c r="IO14">
        <v>3.040262185</v>
      </c>
      <c r="IP14">
        <v>3.062081337</v>
      </c>
      <c r="IQ14">
        <v>0.50007479590000004</v>
      </c>
      <c r="IR14">
        <v>1.7836939999999999</v>
      </c>
      <c r="IS14">
        <v>4.3729769999999997</v>
      </c>
      <c r="IT14">
        <v>2.599807974</v>
      </c>
      <c r="IU14">
        <v>0.59080870720000001</v>
      </c>
      <c r="IV14">
        <v>1.227136</v>
      </c>
      <c r="IW14">
        <v>3.8615840000000001</v>
      </c>
      <c r="IX14">
        <v>6.810474825E-2</v>
      </c>
      <c r="IY14">
        <v>1.6989816389999999E-2</v>
      </c>
      <c r="IZ14">
        <v>4.2472153700000001E-2</v>
      </c>
      <c r="JA14">
        <v>0.11815866630000001</v>
      </c>
      <c r="JB14">
        <v>5.0693624509999999</v>
      </c>
      <c r="JC14">
        <v>1.284590264</v>
      </c>
      <c r="JD14">
        <v>2.6920955150000001</v>
      </c>
      <c r="JE14">
        <v>9.1933284180000001</v>
      </c>
      <c r="JF14">
        <v>35.187884480000001</v>
      </c>
      <c r="JG14">
        <v>14.24438488</v>
      </c>
      <c r="JH14">
        <v>3.7921694160000001</v>
      </c>
      <c r="JI14">
        <v>88.672740700000006</v>
      </c>
      <c r="JJ14">
        <v>0.73069357170000004</v>
      </c>
      <c r="JK14">
        <v>0.27062494729999997</v>
      </c>
      <c r="JL14">
        <v>0.32247962060000002</v>
      </c>
      <c r="JM14">
        <v>1.6331799119999999</v>
      </c>
      <c r="JN14">
        <v>8.7417337669999995</v>
      </c>
      <c r="JO14">
        <v>3.9567154000000002</v>
      </c>
      <c r="JP14">
        <v>4.9248953460000001E-2</v>
      </c>
      <c r="JQ14">
        <v>23.95961586</v>
      </c>
      <c r="JR14">
        <v>155.5947663</v>
      </c>
      <c r="JS14">
        <v>36.376120180000001</v>
      </c>
      <c r="JT14">
        <v>84.631964089999997</v>
      </c>
      <c r="JU14">
        <v>235.4483851</v>
      </c>
      <c r="JV14">
        <v>0.50237545660000005</v>
      </c>
      <c r="JW14">
        <v>0.77547338889999995</v>
      </c>
      <c r="JX14">
        <v>9.4396914940000007E-2</v>
      </c>
      <c r="JY14">
        <v>6.299960446</v>
      </c>
      <c r="JZ14">
        <v>0.35272405909999999</v>
      </c>
      <c r="KA14">
        <v>0.22897609969999999</v>
      </c>
      <c r="KB14">
        <v>0.1143615502</v>
      </c>
      <c r="KC14">
        <v>1.4047819770000001</v>
      </c>
      <c r="KD14">
        <v>0.85509951579999999</v>
      </c>
      <c r="KE14">
        <v>0.83963954159999998</v>
      </c>
      <c r="KF14">
        <v>0.26301600000000003</v>
      </c>
      <c r="KG14">
        <v>6.6775440000000001</v>
      </c>
      <c r="KH14">
        <v>0.4481619369</v>
      </c>
      <c r="KI14">
        <v>0.35241198899999998</v>
      </c>
      <c r="KJ14">
        <v>0.10771500000000001</v>
      </c>
      <c r="KK14">
        <v>2.8870550000000001</v>
      </c>
      <c r="KL14">
        <v>0.85509951579999999</v>
      </c>
      <c r="KM14">
        <v>0.83963954159999998</v>
      </c>
      <c r="KN14">
        <v>0.26301600000000003</v>
      </c>
      <c r="KO14">
        <v>6.6775440000000001</v>
      </c>
      <c r="KP14">
        <v>0.1252697482</v>
      </c>
      <c r="KQ14">
        <v>6.8328548000000003E-2</v>
      </c>
      <c r="KR14">
        <v>4.880225765E-2</v>
      </c>
      <c r="KS14">
        <v>0.3763014241</v>
      </c>
      <c r="KT14">
        <v>0.17377835729999999</v>
      </c>
      <c r="KU14">
        <v>0.1247464121</v>
      </c>
      <c r="KV14">
        <v>6.2261722499999998E-2</v>
      </c>
      <c r="KW14">
        <v>0.9490259687</v>
      </c>
      <c r="KX14">
        <v>0.17756183380000001</v>
      </c>
      <c r="KY14">
        <v>1.3236815820000001</v>
      </c>
      <c r="KZ14">
        <v>-3.206575006</v>
      </c>
      <c r="LA14">
        <v>5.1867148170000004</v>
      </c>
      <c r="LB14">
        <v>4.5856214770000001</v>
      </c>
      <c r="LC14">
        <v>5.2575435490000002</v>
      </c>
      <c r="LD14">
        <v>1.6051299830000001</v>
      </c>
      <c r="LE14">
        <v>30.161726359999999</v>
      </c>
      <c r="LF14">
        <v>1.635694167</v>
      </c>
      <c r="LG14">
        <v>0.63612643449999995</v>
      </c>
      <c r="LH14">
        <v>0.56027999809999995</v>
      </c>
      <c r="LI14">
        <v>4.6160999839999999</v>
      </c>
      <c r="LJ14">
        <v>4.2431741529999997E-2</v>
      </c>
      <c r="LK14">
        <v>3.379126054E-2</v>
      </c>
      <c r="LL14">
        <v>1.2154765479999999E-2</v>
      </c>
      <c r="LM14">
        <v>0.25341877390000001</v>
      </c>
      <c r="LN14">
        <v>90.473139410000002</v>
      </c>
      <c r="LO14">
        <v>24.683449209999999</v>
      </c>
      <c r="LP14">
        <v>1.4582412730000001</v>
      </c>
      <c r="LQ14">
        <v>100</v>
      </c>
      <c r="LR14">
        <v>0.2368303299</v>
      </c>
      <c r="LS14">
        <v>0.1351638922</v>
      </c>
      <c r="LT14">
        <v>7.9610541120000003E-2</v>
      </c>
      <c r="LU14">
        <v>0.79938105349999999</v>
      </c>
      <c r="LV14">
        <v>12.44464039</v>
      </c>
      <c r="LW14">
        <v>5.6877100030000003</v>
      </c>
      <c r="LX14">
        <v>0</v>
      </c>
      <c r="LY14">
        <v>29.739284139999999</v>
      </c>
      <c r="LZ14">
        <v>6.9378018910000003</v>
      </c>
      <c r="MA14">
        <v>2.4742700989999999</v>
      </c>
      <c r="MB14">
        <v>2.166330893</v>
      </c>
      <c r="MC14">
        <v>17.848218809999999</v>
      </c>
      <c r="MD14">
        <v>0.25524576360000001</v>
      </c>
      <c r="ME14">
        <v>0.13538228760000001</v>
      </c>
      <c r="MF14">
        <v>9.3012555900000002E-2</v>
      </c>
      <c r="MG14">
        <v>0.71189879190000005</v>
      </c>
      <c r="MH14">
        <v>0.31798272579999998</v>
      </c>
      <c r="MI14">
        <v>0.21338095430000001</v>
      </c>
      <c r="MJ14">
        <v>0.10878947899999999</v>
      </c>
      <c r="MK14">
        <v>1.368433448</v>
      </c>
      <c r="ML14">
        <v>0.57322848950000005</v>
      </c>
      <c r="MM14">
        <v>0.32339787850000001</v>
      </c>
      <c r="MN14">
        <v>0.232435</v>
      </c>
      <c r="MO14">
        <v>1.9202440000000001</v>
      </c>
      <c r="MP14">
        <v>0.37570977570000003</v>
      </c>
      <c r="MQ14">
        <v>0.23460174389999999</v>
      </c>
      <c r="MR14">
        <v>0.104669</v>
      </c>
      <c r="MS14">
        <v>1.5187619999999999</v>
      </c>
      <c r="MT14">
        <v>0.57322848950000005</v>
      </c>
      <c r="MU14">
        <v>0.32339787850000001</v>
      </c>
      <c r="MV14">
        <v>0.232435</v>
      </c>
      <c r="MW14">
        <v>1.9202440000000001</v>
      </c>
      <c r="MX14">
        <v>0.1063284124</v>
      </c>
      <c r="MY14">
        <v>5.64800149E-2</v>
      </c>
      <c r="MZ14">
        <v>4.6966561349999998E-2</v>
      </c>
      <c r="NA14">
        <v>0.3309007605</v>
      </c>
      <c r="NB14">
        <v>0.13318342990000001</v>
      </c>
      <c r="NC14">
        <v>7.1841316739999994E-2</v>
      </c>
      <c r="ND14">
        <v>6.1202160009999999E-2</v>
      </c>
      <c r="NE14">
        <v>0.40781311599999998</v>
      </c>
      <c r="NF14">
        <v>-0.29581992829999998</v>
      </c>
      <c r="NG14">
        <v>0.60038855680000003</v>
      </c>
      <c r="NH14">
        <v>-3.1183501769999999</v>
      </c>
      <c r="NI14">
        <v>1.1828501</v>
      </c>
      <c r="NJ14">
        <v>2.9499459780000001</v>
      </c>
      <c r="NK14">
        <v>1.2525394430000001</v>
      </c>
      <c r="NL14">
        <v>1.6208710239999999</v>
      </c>
      <c r="NM14">
        <v>12.889654350000001</v>
      </c>
      <c r="NN14">
        <v>1.6205670729999999</v>
      </c>
      <c r="NO14">
        <v>0.6093233348</v>
      </c>
      <c r="NP14">
        <v>0.56579999800000003</v>
      </c>
      <c r="NQ14">
        <v>3.9357599859999999</v>
      </c>
      <c r="NR14">
        <v>3.074950249E-2</v>
      </c>
      <c r="NS14">
        <v>1.803073568E-2</v>
      </c>
      <c r="NT14">
        <v>9.9626977999999998E-3</v>
      </c>
      <c r="NU14">
        <v>9.7257682750000005E-2</v>
      </c>
      <c r="NV14">
        <v>98.974698910000001</v>
      </c>
      <c r="NW14">
        <v>3.520295645</v>
      </c>
      <c r="NX14">
        <v>79.45413465</v>
      </c>
      <c r="NY14">
        <v>100</v>
      </c>
      <c r="NZ14">
        <v>0.22330062079999999</v>
      </c>
      <c r="OA14">
        <v>0.1234677433</v>
      </c>
      <c r="OB14">
        <v>7.8443960229999998E-2</v>
      </c>
      <c r="OC14">
        <v>0.7551281487</v>
      </c>
      <c r="OD14">
        <v>14.18161074</v>
      </c>
      <c r="OE14">
        <v>5.3073896569999999</v>
      </c>
      <c r="OF14">
        <v>0</v>
      </c>
      <c r="OG14">
        <v>27.353071140000001</v>
      </c>
      <c r="OH14">
        <v>6.9327229990000001</v>
      </c>
      <c r="OI14">
        <v>2.295563316</v>
      </c>
      <c r="OJ14">
        <v>2.5408053420000001</v>
      </c>
      <c r="OK14">
        <v>17.674089850000001</v>
      </c>
      <c r="OL14">
        <v>0.70043758789999999</v>
      </c>
      <c r="OM14">
        <v>5.7285932519999996</v>
      </c>
      <c r="ON14">
        <v>133.62945809999999</v>
      </c>
      <c r="OO14">
        <v>19.365323</v>
      </c>
      <c r="OP14">
        <v>3.8209219999999999</v>
      </c>
      <c r="OQ14">
        <v>23.186245</v>
      </c>
      <c r="OR14">
        <v>0.41566215410000001</v>
      </c>
      <c r="OS14" s="2">
        <v>3.4522587739999999E-5</v>
      </c>
      <c r="OT14">
        <v>6.9518836389999999E-4</v>
      </c>
      <c r="OU14" s="2">
        <v>3.4522587739999999E-5</v>
      </c>
      <c r="OV14">
        <v>3.7695738169999998E-4</v>
      </c>
      <c r="OW14">
        <v>5.9474061830000003E-4</v>
      </c>
      <c r="OX14">
        <v>1.004477456E-4</v>
      </c>
      <c r="OY14">
        <v>1.0682958389999999</v>
      </c>
      <c r="OZ14">
        <v>0.70643753720000002</v>
      </c>
      <c r="PA14">
        <v>1.2701612410000001</v>
      </c>
      <c r="PB14">
        <v>13.68695999</v>
      </c>
      <c r="PC14">
        <v>89.006883149999993</v>
      </c>
      <c r="PD14">
        <v>0.53770370000000001</v>
      </c>
      <c r="PE14">
        <v>-0.92872200429999996</v>
      </c>
      <c r="PF14">
        <v>5.2873282049999997</v>
      </c>
      <c r="PG14">
        <v>1.564082</v>
      </c>
      <c r="PH14">
        <v>2.8129759999999999</v>
      </c>
      <c r="PI14">
        <v>4.3770579999999999</v>
      </c>
      <c r="PJ14">
        <v>0.3886776649</v>
      </c>
      <c r="PK14" s="2">
        <v>2.004207871E-5</v>
      </c>
      <c r="PL14">
        <v>6.7373635560000005E-4</v>
      </c>
      <c r="PM14" s="2">
        <v>2.004207871E-5</v>
      </c>
      <c r="PN14">
        <v>3.6973688440000002E-4</v>
      </c>
      <c r="PO14">
        <v>5.8089911560000001E-4</v>
      </c>
      <c r="PP14" s="2">
        <v>9.2837240020000002E-5</v>
      </c>
      <c r="PQ14">
        <v>1.042573016</v>
      </c>
      <c r="PR14">
        <v>0.48958631609999997</v>
      </c>
      <c r="PS14">
        <v>1.176169389</v>
      </c>
      <c r="PT14">
        <v>13.77767542</v>
      </c>
      <c r="PU14">
        <v>89.225122029999994</v>
      </c>
      <c r="PV14">
        <v>1.141681433</v>
      </c>
      <c r="PW14">
        <v>0.67979299429999995</v>
      </c>
      <c r="PX14">
        <v>1.298742032</v>
      </c>
      <c r="PY14">
        <v>14.518741410000001</v>
      </c>
      <c r="PZ14">
        <v>89.152814649999996</v>
      </c>
      <c r="QA14">
        <v>1.134335901</v>
      </c>
      <c r="QB14">
        <v>0.46051303399999999</v>
      </c>
      <c r="QC14">
        <v>1.179157156</v>
      </c>
      <c r="QD14">
        <v>14.41926117</v>
      </c>
      <c r="QE14">
        <v>89.209768569999994</v>
      </c>
      <c r="QF14" s="2">
        <v>3.3500551539999999E-5</v>
      </c>
      <c r="QG14">
        <v>4.1741771530000001E-4</v>
      </c>
      <c r="QH14">
        <v>6.4069728469999998E-4</v>
      </c>
      <c r="QI14">
        <v>1.012786691E-4</v>
      </c>
      <c r="QJ14" s="2">
        <v>1.7897595480000001E-5</v>
      </c>
      <c r="QK14">
        <v>4.1466180790000003E-4</v>
      </c>
      <c r="QL14">
        <v>6.3372519209999999E-4</v>
      </c>
      <c r="QM14" s="2">
        <v>9.4174278469999999E-5</v>
      </c>
      <c r="QN14">
        <v>75.882634109999998</v>
      </c>
      <c r="QO14">
        <v>37.766781739999999</v>
      </c>
      <c r="QP14">
        <v>45.986269040000003</v>
      </c>
      <c r="QQ14">
        <v>125.0140162</v>
      </c>
      <c r="QR14">
        <v>80.412328149999993</v>
      </c>
      <c r="QS14">
        <v>40.007944199999997</v>
      </c>
      <c r="QT14">
        <v>45.975627029999998</v>
      </c>
      <c r="QU14">
        <v>125.72673639999999</v>
      </c>
    </row>
    <row r="15" spans="1:463" x14ac:dyDescent="0.2">
      <c r="A15" t="s">
        <v>285</v>
      </c>
      <c r="B15" s="2">
        <v>-1.436213669E-11</v>
      </c>
      <c r="C15" s="2">
        <v>-1.441499332E-11</v>
      </c>
      <c r="D15">
        <v>1.46238875E-2</v>
      </c>
      <c r="E15">
        <v>5.1733025639999999E-2</v>
      </c>
      <c r="F15">
        <v>0.41800817950000002</v>
      </c>
      <c r="G15">
        <v>4.4835312410000001E-2</v>
      </c>
      <c r="H15">
        <v>0.15860805589999999</v>
      </c>
      <c r="I15">
        <v>1.2815694399999999</v>
      </c>
      <c r="J15">
        <v>32.602272739999997</v>
      </c>
      <c r="K15">
        <v>32.616896619999999</v>
      </c>
      <c r="L15">
        <v>32.616896619999999</v>
      </c>
      <c r="M15">
        <v>32.616896619999999</v>
      </c>
      <c r="N15">
        <v>32.565163599999998</v>
      </c>
      <c r="O15">
        <v>32.616896619999999</v>
      </c>
      <c r="P15">
        <v>32.198888449999998</v>
      </c>
      <c r="Q15">
        <v>32.616896619999999</v>
      </c>
      <c r="R15">
        <v>6.0303607010000002</v>
      </c>
      <c r="S15">
        <v>6.5179137120000004</v>
      </c>
      <c r="T15">
        <v>1.01159449</v>
      </c>
      <c r="U15">
        <v>20.19812155</v>
      </c>
      <c r="V15">
        <v>2.5235731459999999</v>
      </c>
      <c r="W15">
        <v>0.69452500070000001</v>
      </c>
      <c r="X15">
        <v>1.0401097509999999</v>
      </c>
      <c r="Y15">
        <v>3.852499559</v>
      </c>
      <c r="Z15">
        <v>8.5539338469999997</v>
      </c>
      <c r="AA15">
        <v>6.6541850580000004</v>
      </c>
      <c r="AB15">
        <v>2.4549789999999998</v>
      </c>
      <c r="AC15">
        <v>23.582796999999999</v>
      </c>
      <c r="AD15">
        <v>1.5692444290000001</v>
      </c>
      <c r="AE15">
        <v>0.60036007160000004</v>
      </c>
      <c r="AF15">
        <v>0.74470384540000001</v>
      </c>
      <c r="AG15">
        <v>4.3203707329999999</v>
      </c>
      <c r="AH15">
        <v>8.5539338469999997</v>
      </c>
      <c r="AI15">
        <v>6.6541850580000004</v>
      </c>
      <c r="AJ15">
        <v>2.4549789999999998</v>
      </c>
      <c r="AK15">
        <v>23.582796999999999</v>
      </c>
      <c r="AL15">
        <v>0.4382644423</v>
      </c>
      <c r="AM15">
        <v>0.1285913856</v>
      </c>
      <c r="AN15">
        <v>0.2332275529</v>
      </c>
      <c r="AO15">
        <v>0.94022823929999999</v>
      </c>
      <c r="AP15">
        <v>0.70498863010000001</v>
      </c>
      <c r="AQ15">
        <v>0.32621099619999999</v>
      </c>
      <c r="AR15">
        <v>0.315904668</v>
      </c>
      <c r="AS15">
        <v>2.1268401689999998</v>
      </c>
      <c r="AT15">
        <v>1.9876289540000001</v>
      </c>
      <c r="AU15">
        <v>4.3373780460000004</v>
      </c>
      <c r="AV15">
        <v>-2.249035503</v>
      </c>
      <c r="AW15">
        <v>16.1174584</v>
      </c>
      <c r="AX15">
        <v>41.745554179999999</v>
      </c>
      <c r="AY15">
        <v>68.673174869999997</v>
      </c>
      <c r="AZ15">
        <v>2.7342476439999999</v>
      </c>
      <c r="BA15">
        <v>399.80384600000002</v>
      </c>
      <c r="BB15">
        <v>8.5784658319999998E-2</v>
      </c>
      <c r="BC15">
        <v>4.1575009840000003E-2</v>
      </c>
      <c r="BD15">
        <v>3.9225189739999999E-2</v>
      </c>
      <c r="BE15">
        <v>0.24689999909999999</v>
      </c>
      <c r="BF15">
        <v>7.2090536680000001</v>
      </c>
      <c r="BG15">
        <v>3.2472785769999999</v>
      </c>
      <c r="BH15">
        <v>3.1466729440000001</v>
      </c>
      <c r="BI15">
        <v>24.452708650000002</v>
      </c>
      <c r="BJ15">
        <v>10.37559909</v>
      </c>
      <c r="BK15">
        <v>12.467518500000001</v>
      </c>
      <c r="BL15">
        <v>2.2094564739999999E-2</v>
      </c>
      <c r="BM15">
        <v>53.392583459999997</v>
      </c>
      <c r="BN15">
        <v>0.81977342720000002</v>
      </c>
      <c r="BO15">
        <v>0.27806444009999998</v>
      </c>
      <c r="BP15">
        <v>0.44009590209999999</v>
      </c>
      <c r="BQ15">
        <v>2.0068616420000001</v>
      </c>
      <c r="BR15">
        <v>139.41614369999999</v>
      </c>
      <c r="BS15">
        <v>52.594114920000003</v>
      </c>
      <c r="BT15">
        <v>40.502227759999997</v>
      </c>
      <c r="BU15">
        <v>254.93821869999999</v>
      </c>
      <c r="BV15">
        <v>1.3507239049999999</v>
      </c>
      <c r="BW15">
        <v>0.14564710619999999</v>
      </c>
      <c r="BX15">
        <v>0.88801121810000005</v>
      </c>
      <c r="BY15">
        <v>1.589450711</v>
      </c>
      <c r="BZ15">
        <v>2.0633719639999999</v>
      </c>
      <c r="CA15">
        <v>0.34695900870000002</v>
      </c>
      <c r="CB15">
        <v>1.030591152</v>
      </c>
      <c r="CC15">
        <v>2.800643064</v>
      </c>
      <c r="CD15">
        <v>3.414095868</v>
      </c>
      <c r="CE15">
        <v>0.41370734570000001</v>
      </c>
      <c r="CF15">
        <v>2.1666370000000001</v>
      </c>
      <c r="CG15">
        <v>3.7902469999999999</v>
      </c>
      <c r="CH15">
        <v>1.19923</v>
      </c>
      <c r="CI15">
        <v>0.25078412779999998</v>
      </c>
      <c r="CJ15">
        <v>0.74470384540000001</v>
      </c>
      <c r="CK15">
        <v>2.1767071919999998</v>
      </c>
      <c r="CL15">
        <v>3.414095868</v>
      </c>
      <c r="CM15">
        <v>0.41370734570000001</v>
      </c>
      <c r="CN15">
        <v>2.1666370000000001</v>
      </c>
      <c r="CO15">
        <v>3.7902469999999999</v>
      </c>
      <c r="CP15">
        <v>0.41229106269999999</v>
      </c>
      <c r="CQ15">
        <v>0.1178050907</v>
      </c>
      <c r="CR15">
        <v>0.2332275529</v>
      </c>
      <c r="CS15">
        <v>0.85489599969999996</v>
      </c>
      <c r="CT15">
        <v>0.54121619259999998</v>
      </c>
      <c r="CU15">
        <v>0.13882630160000001</v>
      </c>
      <c r="CV15">
        <v>0.315904668</v>
      </c>
      <c r="CW15">
        <v>1.0085546999999999</v>
      </c>
      <c r="CX15">
        <v>-0.58142811569999997</v>
      </c>
      <c r="CY15">
        <v>0.418176618</v>
      </c>
      <c r="CZ15">
        <v>-2.1068782189999999</v>
      </c>
      <c r="DA15">
        <v>0.44400734939999997</v>
      </c>
      <c r="DB15">
        <v>4.2560777239999998</v>
      </c>
      <c r="DC15">
        <v>1.017011618</v>
      </c>
      <c r="DD15">
        <v>2.1229743189999999</v>
      </c>
      <c r="DE15">
        <v>8.8779466679999999</v>
      </c>
      <c r="DF15">
        <v>6.1442302990000003E-2</v>
      </c>
      <c r="DG15">
        <v>1.610626804E-2</v>
      </c>
      <c r="DH15">
        <v>3.9233923919999997E-2</v>
      </c>
      <c r="DI15">
        <v>0.1211020404</v>
      </c>
      <c r="DJ15">
        <v>5.1954287419999998</v>
      </c>
      <c r="DK15">
        <v>0.56877432579999998</v>
      </c>
      <c r="DL15">
        <v>3.1466729440000001</v>
      </c>
      <c r="DM15">
        <v>7.1900324209999997</v>
      </c>
      <c r="DN15">
        <v>26.156981569999999</v>
      </c>
      <c r="DO15">
        <v>11.91611406</v>
      </c>
      <c r="DP15">
        <v>8.7494476359999993</v>
      </c>
      <c r="DQ15">
        <v>73.663278829999996</v>
      </c>
      <c r="DR15">
        <v>0.81702422630000004</v>
      </c>
      <c r="DS15">
        <v>0.27501881779999998</v>
      </c>
      <c r="DT15">
        <v>0.44009590209999999</v>
      </c>
      <c r="DU15">
        <v>1.982709142</v>
      </c>
      <c r="DV15">
        <v>172.63130910000001</v>
      </c>
      <c r="DW15">
        <v>39.67551315</v>
      </c>
      <c r="DX15">
        <v>82.574991859999997</v>
      </c>
      <c r="DY15">
        <v>254.8814649</v>
      </c>
      <c r="DZ15">
        <v>1.8158800369999999</v>
      </c>
      <c r="EA15">
        <v>1.063268052</v>
      </c>
      <c r="EB15">
        <v>0.72471950689999998</v>
      </c>
      <c r="EC15">
        <v>6.2060896019999996</v>
      </c>
      <c r="ED15">
        <v>1.701030179</v>
      </c>
      <c r="EE15">
        <v>0.40751392650000001</v>
      </c>
      <c r="EF15">
        <v>0.86108140560000002</v>
      </c>
      <c r="EG15">
        <v>2.8049699709999998</v>
      </c>
      <c r="EH15">
        <v>3.5169102149999998</v>
      </c>
      <c r="EI15">
        <v>1.2290187640000001</v>
      </c>
      <c r="EJ15">
        <v>1.7506162860000001</v>
      </c>
      <c r="EK15">
        <v>8.1603931430000003</v>
      </c>
      <c r="EL15">
        <v>1.4995013319999999</v>
      </c>
      <c r="EM15">
        <v>0.5766682944</v>
      </c>
      <c r="EN15">
        <v>0.73235894570000004</v>
      </c>
      <c r="EO15">
        <v>4.3749777999999999</v>
      </c>
      <c r="EP15">
        <v>7.6977920160000002</v>
      </c>
      <c r="EQ15">
        <v>6.0808365819999999</v>
      </c>
      <c r="ER15">
        <v>2.36998</v>
      </c>
      <c r="ES15">
        <v>22.803861999999999</v>
      </c>
      <c r="ET15">
        <v>0.42106063939999999</v>
      </c>
      <c r="EU15">
        <v>0.11675136530000001</v>
      </c>
      <c r="EV15">
        <v>0.2247056677</v>
      </c>
      <c r="EW15">
        <v>0.81508866930000001</v>
      </c>
      <c r="EX15">
        <v>0.59138370149999997</v>
      </c>
      <c r="EY15">
        <v>0.18625054199999999</v>
      </c>
      <c r="EZ15">
        <v>0.29829922679999998</v>
      </c>
      <c r="FA15">
        <v>1.2794643109999999</v>
      </c>
      <c r="FB15">
        <v>-0.15398047000000001</v>
      </c>
      <c r="FC15">
        <v>0.70606339169999999</v>
      </c>
      <c r="FD15">
        <v>-1.6556024199999999</v>
      </c>
      <c r="FE15">
        <v>2.5635090630000001</v>
      </c>
      <c r="FF15">
        <v>6.5600682580000003</v>
      </c>
      <c r="FG15">
        <v>5.0225397379999999</v>
      </c>
      <c r="FH15">
        <v>2.1517969689999998</v>
      </c>
      <c r="FI15">
        <v>33.944921960000002</v>
      </c>
      <c r="FJ15">
        <v>5.1957924149999997</v>
      </c>
      <c r="FK15">
        <v>5.684049162</v>
      </c>
      <c r="FL15">
        <v>0.90395673730000003</v>
      </c>
      <c r="FM15">
        <v>19.109567139999999</v>
      </c>
      <c r="FN15">
        <v>2.501173321</v>
      </c>
      <c r="FO15">
        <v>0.89280021700000001</v>
      </c>
      <c r="FP15">
        <v>0.97729426269999997</v>
      </c>
      <c r="FQ15">
        <v>6.8612425469999998</v>
      </c>
      <c r="FR15">
        <v>7.410479263</v>
      </c>
      <c r="FS15">
        <v>6.0482769440000004</v>
      </c>
      <c r="FT15">
        <v>2.0402089999999999</v>
      </c>
      <c r="FU15">
        <v>22.803861999999999</v>
      </c>
      <c r="FV15">
        <v>3.8553155320000001</v>
      </c>
      <c r="FW15">
        <v>3.854703158</v>
      </c>
      <c r="FX15">
        <v>1.569428</v>
      </c>
      <c r="FY15">
        <v>22.803861999999999</v>
      </c>
      <c r="FZ15">
        <v>7.6418021830000002E-2</v>
      </c>
      <c r="GA15">
        <v>3.1298228679999998E-2</v>
      </c>
      <c r="GB15">
        <v>3.8649583199999997E-2</v>
      </c>
      <c r="GC15">
        <v>0.18054999939999999</v>
      </c>
      <c r="GD15">
        <v>6.2563779469999998</v>
      </c>
      <c r="GE15">
        <v>1.899765347</v>
      </c>
      <c r="GF15">
        <v>3.0888859270000002</v>
      </c>
      <c r="GG15">
        <v>16.328699960000002</v>
      </c>
      <c r="GH15">
        <v>12.17086982</v>
      </c>
      <c r="GI15">
        <v>14.569034630000001</v>
      </c>
      <c r="GJ15">
        <v>2.4624476730000001E-2</v>
      </c>
      <c r="GK15">
        <v>68.622908559999999</v>
      </c>
      <c r="GL15">
        <v>0.79023129830000005</v>
      </c>
      <c r="GM15">
        <v>0.22717258879999999</v>
      </c>
      <c r="GN15">
        <v>0.42931844200000002</v>
      </c>
      <c r="GO15">
        <v>1.6808199749999999</v>
      </c>
      <c r="GP15">
        <v>5.2554305159999997</v>
      </c>
      <c r="GQ15">
        <v>3.299718092</v>
      </c>
      <c r="GR15">
        <v>9.8497906920000003E-2</v>
      </c>
      <c r="GS15">
        <v>17.71708048</v>
      </c>
      <c r="GT15">
        <v>150.12856629999999</v>
      </c>
      <c r="GU15">
        <v>51.028726519999999</v>
      </c>
      <c r="GV15">
        <v>55.38631977</v>
      </c>
      <c r="GW15">
        <v>258.73500230000002</v>
      </c>
      <c r="GX15">
        <v>1.117017594</v>
      </c>
      <c r="GY15">
        <v>0.14193797350000001</v>
      </c>
      <c r="GZ15">
        <v>0.72425015429999995</v>
      </c>
      <c r="HA15">
        <v>1.516422816</v>
      </c>
      <c r="HB15">
        <v>1.5462866689999999</v>
      </c>
      <c r="HC15">
        <v>0.28780126150000002</v>
      </c>
      <c r="HD15">
        <v>0.84440751439999995</v>
      </c>
      <c r="HE15">
        <v>2.257795126</v>
      </c>
      <c r="HF15">
        <v>2.6633042630000001</v>
      </c>
      <c r="HG15">
        <v>0.3674952762</v>
      </c>
      <c r="HH15">
        <v>1.7506162860000001</v>
      </c>
      <c r="HI15">
        <v>3.5412189999999999</v>
      </c>
      <c r="HJ15">
        <v>1.171756483</v>
      </c>
      <c r="HK15">
        <v>0.2460980062</v>
      </c>
      <c r="HL15">
        <v>0.73235894570000004</v>
      </c>
      <c r="HM15">
        <v>2.1617783130000001</v>
      </c>
      <c r="HN15">
        <v>3.3507751950000002</v>
      </c>
      <c r="HO15">
        <v>0.47101336529999999</v>
      </c>
      <c r="HP15">
        <v>2.1247340000000001</v>
      </c>
      <c r="HQ15">
        <v>4.5253420000000002</v>
      </c>
      <c r="HR15">
        <v>0.38993018779999999</v>
      </c>
      <c r="HS15">
        <v>9.9784228520000004E-2</v>
      </c>
      <c r="HT15">
        <v>0.2247056677</v>
      </c>
      <c r="HU15">
        <v>0.74282267030000004</v>
      </c>
      <c r="HV15">
        <v>0.50350919989999998</v>
      </c>
      <c r="HW15">
        <v>0.1166520372</v>
      </c>
      <c r="HX15">
        <v>0.29829922679999998</v>
      </c>
      <c r="HY15">
        <v>0.89094420240000005</v>
      </c>
      <c r="HZ15">
        <v>-0.44222037469999997</v>
      </c>
      <c r="IA15">
        <v>0.35571758720000002</v>
      </c>
      <c r="IB15">
        <v>-1.7210607010000001</v>
      </c>
      <c r="IC15">
        <v>0.40908586530000002</v>
      </c>
      <c r="ID15">
        <v>3.793770426</v>
      </c>
      <c r="IE15">
        <v>0.75747790260000003</v>
      </c>
      <c r="IF15">
        <v>2.1248060049999999</v>
      </c>
      <c r="IG15">
        <v>7.6912696350000003</v>
      </c>
      <c r="IH15">
        <v>1.355938197</v>
      </c>
      <c r="II15">
        <v>0.19169701040000001</v>
      </c>
      <c r="IJ15">
        <v>0.86379672569999999</v>
      </c>
      <c r="IK15">
        <v>1.9629462440000001</v>
      </c>
      <c r="IL15">
        <v>1.9943722239999999</v>
      </c>
      <c r="IM15">
        <v>0.35277848309999998</v>
      </c>
      <c r="IN15">
        <v>0.94088251440000004</v>
      </c>
      <c r="IO15">
        <v>2.9919146969999999</v>
      </c>
      <c r="IP15">
        <v>3.2025759319999998</v>
      </c>
      <c r="IQ15">
        <v>0.43244772129999998</v>
      </c>
      <c r="IR15">
        <v>2.0402089999999999</v>
      </c>
      <c r="IS15">
        <v>4.1854550000000001</v>
      </c>
      <c r="IT15">
        <v>2.731574105</v>
      </c>
      <c r="IU15">
        <v>0.52999915080000004</v>
      </c>
      <c r="IV15">
        <v>1.569428</v>
      </c>
      <c r="IW15">
        <v>4.0603860000000003</v>
      </c>
      <c r="IX15">
        <v>5.9032569780000002E-2</v>
      </c>
      <c r="IY15">
        <v>1.4670694959999999E-2</v>
      </c>
      <c r="IZ15">
        <v>3.8055416539999998E-2</v>
      </c>
      <c r="JA15">
        <v>0.1143099996</v>
      </c>
      <c r="JB15">
        <v>5.1258857750000004</v>
      </c>
      <c r="JC15">
        <v>0.5717521633</v>
      </c>
      <c r="JD15">
        <v>3.0888859270000002</v>
      </c>
      <c r="JE15">
        <v>7.1104256110000001</v>
      </c>
      <c r="JF15">
        <v>25.353478089999999</v>
      </c>
      <c r="JG15">
        <v>11.2540274</v>
      </c>
      <c r="JH15">
        <v>4.6540261020000004</v>
      </c>
      <c r="JI15">
        <v>73.963860280000006</v>
      </c>
      <c r="JJ15">
        <v>0.77667201809999997</v>
      </c>
      <c r="JK15">
        <v>0.22426772719999999</v>
      </c>
      <c r="JL15">
        <v>0.42931844200000002</v>
      </c>
      <c r="JM15">
        <v>1.608654265</v>
      </c>
      <c r="JN15">
        <v>8.0222778609999992</v>
      </c>
      <c r="JO15">
        <v>2.8933598250000001</v>
      </c>
      <c r="JP15">
        <v>1.2804727899999999</v>
      </c>
      <c r="JQ15">
        <v>19.08396947</v>
      </c>
      <c r="JR15">
        <v>178.93169639999999</v>
      </c>
      <c r="JS15">
        <v>40.260157200000002</v>
      </c>
      <c r="JT15">
        <v>87.481410499999996</v>
      </c>
      <c r="JU15">
        <v>262.77468260000001</v>
      </c>
      <c r="JV15">
        <v>0.57106645109999998</v>
      </c>
      <c r="JW15">
        <v>0.93380424669999995</v>
      </c>
      <c r="JX15">
        <v>8.6745562309999996E-2</v>
      </c>
      <c r="JY15">
        <v>6.8761749959999996</v>
      </c>
      <c r="JZ15">
        <v>0.34500768050000002</v>
      </c>
      <c r="KA15">
        <v>0.2234967605</v>
      </c>
      <c r="KB15">
        <v>9.4158812420000002E-2</v>
      </c>
      <c r="KC15">
        <v>1.2172681000000001</v>
      </c>
      <c r="KD15">
        <v>0.91607413159999995</v>
      </c>
      <c r="KE15">
        <v>0.99402683889999999</v>
      </c>
      <c r="KF15">
        <v>0.23400699999999999</v>
      </c>
      <c r="KG15">
        <v>7.3051050000000002</v>
      </c>
      <c r="KH15">
        <v>0.45736973930000002</v>
      </c>
      <c r="KI15">
        <v>0.40212756319999998</v>
      </c>
      <c r="KJ15">
        <v>0.1140246667</v>
      </c>
      <c r="KK15">
        <v>3.3492069999999998</v>
      </c>
      <c r="KL15">
        <v>0.91607413159999995</v>
      </c>
      <c r="KM15">
        <v>0.99402683889999999</v>
      </c>
      <c r="KN15">
        <v>0.23400699999999999</v>
      </c>
      <c r="KO15">
        <v>7.3051050000000002</v>
      </c>
      <c r="KP15">
        <v>0.12693927860000001</v>
      </c>
      <c r="KQ15">
        <v>7.0532914830000001E-2</v>
      </c>
      <c r="KR15">
        <v>3.9757109899999997E-2</v>
      </c>
      <c r="KS15">
        <v>0.40616384840000003</v>
      </c>
      <c r="KT15">
        <v>0.18080877470000001</v>
      </c>
      <c r="KU15">
        <v>0.14316690369999999</v>
      </c>
      <c r="KV15">
        <v>5.1092155870000003E-2</v>
      </c>
      <c r="KW15">
        <v>1.031737798</v>
      </c>
      <c r="KX15">
        <v>0.35780144270000003</v>
      </c>
      <c r="KY15">
        <v>1.369913063</v>
      </c>
      <c r="KZ15">
        <v>-3.1832120499999998</v>
      </c>
      <c r="LA15">
        <v>5.1995779720000002</v>
      </c>
      <c r="LB15">
        <v>4.871178725</v>
      </c>
      <c r="LC15">
        <v>5.4903205059999998</v>
      </c>
      <c r="LD15">
        <v>1.6676933229999999</v>
      </c>
      <c r="LE15">
        <v>30.547156919999999</v>
      </c>
      <c r="LF15">
        <v>1.5171363449999999</v>
      </c>
      <c r="LG15">
        <v>0.54983195569999999</v>
      </c>
      <c r="LH15">
        <v>0.61547999789999996</v>
      </c>
      <c r="LI15">
        <v>4.6423199840000002</v>
      </c>
      <c r="LJ15">
        <v>4.612941626E-2</v>
      </c>
      <c r="LK15">
        <v>3.8147782390000003E-2</v>
      </c>
      <c r="LL15">
        <v>1.44143137E-2</v>
      </c>
      <c r="LM15">
        <v>0.27872805560000002</v>
      </c>
      <c r="LN15">
        <v>88.483084430000005</v>
      </c>
      <c r="LO15">
        <v>27.897528810000001</v>
      </c>
      <c r="LP15">
        <v>1.3698630140000001</v>
      </c>
      <c r="LQ15">
        <v>100</v>
      </c>
      <c r="LR15">
        <v>0.23234331659999999</v>
      </c>
      <c r="LS15">
        <v>0.1225789508</v>
      </c>
      <c r="LT15">
        <v>7.8549129689999997E-2</v>
      </c>
      <c r="LU15">
        <v>0.69753025670000002</v>
      </c>
      <c r="LV15">
        <v>12.364614380000001</v>
      </c>
      <c r="LW15">
        <v>5.751866454</v>
      </c>
      <c r="LX15">
        <v>0</v>
      </c>
      <c r="LY15">
        <v>28.435704820000002</v>
      </c>
      <c r="LZ15">
        <v>7.3273434670000004</v>
      </c>
      <c r="MA15">
        <v>2.3281355459999999</v>
      </c>
      <c r="MB15">
        <v>2.1540953740000002</v>
      </c>
      <c r="MC15">
        <v>16.247481700000002</v>
      </c>
      <c r="MD15">
        <v>0.2645565996</v>
      </c>
      <c r="ME15">
        <v>0.1317066737</v>
      </c>
      <c r="MF15">
        <v>7.7247412949999997E-2</v>
      </c>
      <c r="MG15">
        <v>0.76157735110000002</v>
      </c>
      <c r="MH15">
        <v>0.31293018979999998</v>
      </c>
      <c r="MI15">
        <v>0.209791484</v>
      </c>
      <c r="MJ15">
        <v>9.4158812420000002E-2</v>
      </c>
      <c r="MK15">
        <v>1.2330890160000001</v>
      </c>
      <c r="ML15">
        <v>0.57748678949999999</v>
      </c>
      <c r="MM15">
        <v>0.3209787402</v>
      </c>
      <c r="MN15">
        <v>0.225827</v>
      </c>
      <c r="MO15">
        <v>1.95584</v>
      </c>
      <c r="MP15">
        <v>0.35599347279999999</v>
      </c>
      <c r="MQ15">
        <v>0.21555460239999999</v>
      </c>
      <c r="MR15">
        <v>0.10213533330000001</v>
      </c>
      <c r="MS15">
        <v>1.3881209999999999</v>
      </c>
      <c r="MT15">
        <v>0.57748678949999999</v>
      </c>
      <c r="MU15">
        <v>0.3209787402</v>
      </c>
      <c r="MV15">
        <v>0.225827</v>
      </c>
      <c r="MW15">
        <v>1.95584</v>
      </c>
      <c r="MX15">
        <v>0.1049995613</v>
      </c>
      <c r="MY15">
        <v>5.4362826320000002E-2</v>
      </c>
      <c r="MZ15">
        <v>4.0572582230000001E-2</v>
      </c>
      <c r="NA15">
        <v>0.30856062899999998</v>
      </c>
      <c r="NB15">
        <v>0.13191753410000001</v>
      </c>
      <c r="NC15">
        <v>6.9688189070000003E-2</v>
      </c>
      <c r="ND15">
        <v>5.1247679810000002E-2</v>
      </c>
      <c r="NE15">
        <v>0.39912133529999999</v>
      </c>
      <c r="NF15">
        <v>-0.1798738949</v>
      </c>
      <c r="NG15">
        <v>0.56233339520000003</v>
      </c>
      <c r="NH15">
        <v>-2.9944065520000001</v>
      </c>
      <c r="NI15">
        <v>1.337589964</v>
      </c>
      <c r="NJ15">
        <v>2.941111496</v>
      </c>
      <c r="NK15">
        <v>1.166864683</v>
      </c>
      <c r="NL15">
        <v>1.6679700019999999</v>
      </c>
      <c r="NM15">
        <v>13.06439031</v>
      </c>
      <c r="NN15">
        <v>1.468150233</v>
      </c>
      <c r="NO15">
        <v>0.47892519020000002</v>
      </c>
      <c r="NP15">
        <v>0.61501999789999995</v>
      </c>
      <c r="NQ15">
        <v>3.7411799870000002</v>
      </c>
      <c r="NR15">
        <v>3.2643292380000001E-2</v>
      </c>
      <c r="NS15">
        <v>1.7013724090000001E-2</v>
      </c>
      <c r="NT15">
        <v>1.360807552E-2</v>
      </c>
      <c r="NU15">
        <v>9.6052931250000001E-2</v>
      </c>
      <c r="NV15">
        <v>99.02561274</v>
      </c>
      <c r="NW15">
        <v>3.6165690920000002</v>
      </c>
      <c r="NX15">
        <v>72.492266900000004</v>
      </c>
      <c r="NY15">
        <v>100</v>
      </c>
      <c r="NZ15">
        <v>0.22076658439999999</v>
      </c>
      <c r="OA15">
        <v>0.1167925273</v>
      </c>
      <c r="OB15">
        <v>7.9141912310000007E-2</v>
      </c>
      <c r="OC15">
        <v>0.69316313269999996</v>
      </c>
      <c r="OD15">
        <v>14.44361615</v>
      </c>
      <c r="OE15">
        <v>5.597377614</v>
      </c>
      <c r="OF15">
        <v>0</v>
      </c>
      <c r="OG15">
        <v>34.644277510000002</v>
      </c>
      <c r="OH15">
        <v>7.4555577910000004</v>
      </c>
      <c r="OI15">
        <v>2.1932706620000002</v>
      </c>
      <c r="OJ15">
        <v>2.6729534620000002</v>
      </c>
      <c r="OK15">
        <v>16.25963389</v>
      </c>
      <c r="OL15">
        <v>0.74885872840000001</v>
      </c>
      <c r="OM15">
        <v>7.2465494250000004</v>
      </c>
      <c r="ON15">
        <v>162.8925902</v>
      </c>
      <c r="OO15">
        <v>20.586822999999999</v>
      </c>
      <c r="OP15">
        <v>4.6757460000000002</v>
      </c>
      <c r="OQ15">
        <v>25.262568999999999</v>
      </c>
      <c r="OR15">
        <v>0.43395015580000001</v>
      </c>
      <c r="OS15" s="2">
        <v>4.0512488460000001E-5</v>
      </c>
      <c r="OT15">
        <v>6.8700659480000004E-4</v>
      </c>
      <c r="OU15" s="2">
        <v>4.0512488460000001E-5</v>
      </c>
      <c r="OV15">
        <v>4.2341749210000001E-4</v>
      </c>
      <c r="OW15">
        <v>5.9046050789999995E-4</v>
      </c>
      <c r="OX15" s="2">
        <v>9.6546086930000003E-5</v>
      </c>
      <c r="OY15">
        <v>1.135649482</v>
      </c>
      <c r="OZ15">
        <v>0.78139756270000005</v>
      </c>
      <c r="PA15">
        <v>1.0680966110000001</v>
      </c>
      <c r="PB15">
        <v>11.98152769</v>
      </c>
      <c r="PC15">
        <v>87.269382890000003</v>
      </c>
      <c r="PD15">
        <v>0.55105283770000002</v>
      </c>
      <c r="PE15">
        <v>-0.77806639440000003</v>
      </c>
      <c r="PF15">
        <v>4.740758037</v>
      </c>
      <c r="PG15">
        <v>1.658315</v>
      </c>
      <c r="PH15">
        <v>2.70166</v>
      </c>
      <c r="PI15">
        <v>4.3599750000000004</v>
      </c>
      <c r="PJ15">
        <v>0.40694815870000001</v>
      </c>
      <c r="PK15" s="2">
        <v>2.2998690300000001E-5</v>
      </c>
      <c r="PL15">
        <v>6.7224515320000002E-4</v>
      </c>
      <c r="PM15" s="2">
        <v>2.2998690300000001E-5</v>
      </c>
      <c r="PN15">
        <v>4.181125361E-4</v>
      </c>
      <c r="PO15">
        <v>5.8224646390000003E-4</v>
      </c>
      <c r="PP15" s="2">
        <v>8.9998689360000007E-5</v>
      </c>
      <c r="PQ15">
        <v>1.124588777</v>
      </c>
      <c r="PR15">
        <v>0.48544024889999998</v>
      </c>
      <c r="PS15">
        <v>0.97698649270000004</v>
      </c>
      <c r="PT15">
        <v>11.90443415</v>
      </c>
      <c r="PU15">
        <v>87.390354029999997</v>
      </c>
      <c r="PV15">
        <v>1.2243017759999999</v>
      </c>
      <c r="PW15">
        <v>0.79760063749999999</v>
      </c>
      <c r="PX15">
        <v>1.0818445910000001</v>
      </c>
      <c r="PY15">
        <v>12.01786231</v>
      </c>
      <c r="PZ15">
        <v>87.840376449999994</v>
      </c>
      <c r="QA15">
        <v>1.219388396</v>
      </c>
      <c r="QB15">
        <v>0.48394777100000003</v>
      </c>
      <c r="QC15">
        <v>1.0023292109999999</v>
      </c>
      <c r="QD15">
        <v>12.027592719999999</v>
      </c>
      <c r="QE15">
        <v>87.838742120000006</v>
      </c>
      <c r="QF15" s="2">
        <v>4.1406828729999999E-5</v>
      </c>
      <c r="QG15">
        <v>4.506803084E-4</v>
      </c>
      <c r="QH15">
        <v>6.3077269159999996E-4</v>
      </c>
      <c r="QI15" s="2">
        <v>9.7427692529999995E-5</v>
      </c>
      <c r="QJ15" s="2">
        <v>2.274812781E-5</v>
      </c>
      <c r="QK15">
        <v>4.4945413380000001E-4</v>
      </c>
      <c r="QL15">
        <v>6.2727086620000005E-4</v>
      </c>
      <c r="QM15" s="2">
        <v>9.2407309509999998E-5</v>
      </c>
      <c r="QN15">
        <v>65.421828379999994</v>
      </c>
      <c r="QO15">
        <v>43.74005743</v>
      </c>
      <c r="QP15">
        <v>37.758807500000003</v>
      </c>
      <c r="QQ15">
        <v>124.9990537</v>
      </c>
      <c r="QR15">
        <v>78.917610499999995</v>
      </c>
      <c r="QS15">
        <v>37.752494380000002</v>
      </c>
      <c r="QT15">
        <v>45.006084260000002</v>
      </c>
      <c r="QU15">
        <v>123.9995426</v>
      </c>
    </row>
    <row r="16" spans="1:463" x14ac:dyDescent="0.2">
      <c r="A16" t="s">
        <v>286</v>
      </c>
      <c r="B16" s="2">
        <v>-1.6197280219999999E-11</v>
      </c>
      <c r="C16" s="2">
        <v>-1.7308539629999999E-11</v>
      </c>
      <c r="D16">
        <v>3.7095807340000002E-2</v>
      </c>
      <c r="E16">
        <v>7.2371008299999998E-2</v>
      </c>
      <c r="F16">
        <v>0.42293105349999999</v>
      </c>
      <c r="G16">
        <v>0.1137318727</v>
      </c>
      <c r="H16">
        <v>0.22188195629999999</v>
      </c>
      <c r="I16">
        <v>1.2966624579999999</v>
      </c>
      <c r="J16">
        <v>32.579800820000003</v>
      </c>
      <c r="K16">
        <v>32.616896619999999</v>
      </c>
      <c r="L16">
        <v>32.616896619999999</v>
      </c>
      <c r="M16">
        <v>32.616896619999999</v>
      </c>
      <c r="N16">
        <v>32.544525620000002</v>
      </c>
      <c r="O16">
        <v>32.616896619999999</v>
      </c>
      <c r="P16">
        <v>32.193965570000003</v>
      </c>
      <c r="Q16">
        <v>32.616896619999999</v>
      </c>
      <c r="R16">
        <v>3.4443649619999999</v>
      </c>
      <c r="S16">
        <v>3.8459850869999999</v>
      </c>
      <c r="T16">
        <v>0.65157472029999997</v>
      </c>
      <c r="U16">
        <v>14.732126510000001</v>
      </c>
      <c r="V16">
        <v>2.4658338230000001</v>
      </c>
      <c r="W16">
        <v>0.71738377850000001</v>
      </c>
      <c r="X16">
        <v>0.83761576999999998</v>
      </c>
      <c r="Y16">
        <v>3.9985361479999999</v>
      </c>
      <c r="Z16">
        <v>5.9101987840000003</v>
      </c>
      <c r="AA16">
        <v>3.9200620920000002</v>
      </c>
      <c r="AB16">
        <v>2.1618970000000002</v>
      </c>
      <c r="AC16">
        <v>17.022753999999999</v>
      </c>
      <c r="AD16">
        <v>1.3302188589999999</v>
      </c>
      <c r="AE16">
        <v>0.4265284392</v>
      </c>
      <c r="AF16">
        <v>0.78507357239999997</v>
      </c>
      <c r="AG16">
        <v>2.6191486460000002</v>
      </c>
      <c r="AH16">
        <v>5.9101987840000003</v>
      </c>
      <c r="AI16">
        <v>3.9200620920000002</v>
      </c>
      <c r="AJ16">
        <v>2.1618970000000002</v>
      </c>
      <c r="AK16">
        <v>17.022753999999999</v>
      </c>
      <c r="AL16">
        <v>0.40503127220000001</v>
      </c>
      <c r="AM16">
        <v>0.14116452130000001</v>
      </c>
      <c r="AN16">
        <v>0.21362233680000001</v>
      </c>
      <c r="AO16">
        <v>0.99928292119999995</v>
      </c>
      <c r="AP16">
        <v>0.58050729550000002</v>
      </c>
      <c r="AQ16">
        <v>0.19156084970000001</v>
      </c>
      <c r="AR16">
        <v>0.299830343</v>
      </c>
      <c r="AS16">
        <v>1.322130333</v>
      </c>
      <c r="AT16">
        <v>0.54720037180000003</v>
      </c>
      <c r="AU16">
        <v>2.8926877700000002</v>
      </c>
      <c r="AV16">
        <v>-2.3853657849999998</v>
      </c>
      <c r="AW16">
        <v>12.135514969999999</v>
      </c>
      <c r="AX16">
        <v>24.8420667</v>
      </c>
      <c r="AY16">
        <v>46.316548009999998</v>
      </c>
      <c r="AZ16">
        <v>2.5399256289999999</v>
      </c>
      <c r="BA16">
        <v>263.6169486</v>
      </c>
      <c r="BB16">
        <v>8.1078140160000006E-2</v>
      </c>
      <c r="BC16">
        <v>3.0969762040000001E-2</v>
      </c>
      <c r="BD16">
        <v>4.0782631440000001E-2</v>
      </c>
      <c r="BE16">
        <v>0.19631612840000001</v>
      </c>
      <c r="BF16">
        <v>6.4547502449999996</v>
      </c>
      <c r="BG16">
        <v>2.1699491229999999</v>
      </c>
      <c r="BH16">
        <v>2.7469551249999999</v>
      </c>
      <c r="BI16">
        <v>13.41319755</v>
      </c>
      <c r="BJ16">
        <v>21.62839885</v>
      </c>
      <c r="BK16">
        <v>21.05901793</v>
      </c>
      <c r="BL16">
        <v>2.2094564739999999E-2</v>
      </c>
      <c r="BM16">
        <v>86.632788329999997</v>
      </c>
      <c r="BN16">
        <v>0.76159253999999998</v>
      </c>
      <c r="BO16">
        <v>0.3393441505</v>
      </c>
      <c r="BP16">
        <v>0.37174175539999998</v>
      </c>
      <c r="BQ16">
        <v>2.079118781</v>
      </c>
      <c r="BR16">
        <v>140.1819194</v>
      </c>
      <c r="BS16">
        <v>47.891272129999997</v>
      </c>
      <c r="BT16">
        <v>50.93824987</v>
      </c>
      <c r="BU16">
        <v>245.20242189999999</v>
      </c>
      <c r="BV16">
        <v>1.177087158</v>
      </c>
      <c r="BW16">
        <v>0.13783940450000001</v>
      </c>
      <c r="BX16">
        <v>0.65157472029999997</v>
      </c>
      <c r="BY16">
        <v>1.4415728800000001</v>
      </c>
      <c r="BZ16">
        <v>2.0633923099999998</v>
      </c>
      <c r="CA16">
        <v>0.39860861269999998</v>
      </c>
      <c r="CB16">
        <v>0.81439649930000002</v>
      </c>
      <c r="CC16">
        <v>2.7966049750000002</v>
      </c>
      <c r="CD16">
        <v>3.2404794680000002</v>
      </c>
      <c r="CE16">
        <v>0.44910935860000001</v>
      </c>
      <c r="CF16">
        <v>1.8456509999999999</v>
      </c>
      <c r="CG16">
        <v>3.7078679999999999</v>
      </c>
      <c r="CH16">
        <v>1.1430962979999999</v>
      </c>
      <c r="CI16">
        <v>0.31588493829999997</v>
      </c>
      <c r="CJ16">
        <v>0.76635654789999996</v>
      </c>
      <c r="CK16">
        <v>2.272035882</v>
      </c>
      <c r="CL16">
        <v>3.2404794680000002</v>
      </c>
      <c r="CM16">
        <v>0.44910935860000001</v>
      </c>
      <c r="CN16">
        <v>1.8456509999999999</v>
      </c>
      <c r="CO16">
        <v>3.7078679999999999</v>
      </c>
      <c r="CP16">
        <v>0.3883391766</v>
      </c>
      <c r="CQ16">
        <v>0.13158945690000001</v>
      </c>
      <c r="CR16">
        <v>0.21362233680000001</v>
      </c>
      <c r="CS16">
        <v>0.855069211</v>
      </c>
      <c r="CT16">
        <v>0.51611039219999999</v>
      </c>
      <c r="CU16">
        <v>0.155950325</v>
      </c>
      <c r="CV16">
        <v>0.299830343</v>
      </c>
      <c r="CW16">
        <v>1.003680798</v>
      </c>
      <c r="CX16">
        <v>-0.68695333780000001</v>
      </c>
      <c r="CY16">
        <v>0.57268183100000003</v>
      </c>
      <c r="CZ16">
        <v>-2.5026376830000001</v>
      </c>
      <c r="DA16">
        <v>0.69664999400000005</v>
      </c>
      <c r="DB16">
        <v>4.8456750810000004</v>
      </c>
      <c r="DC16">
        <v>1.4695770889999999</v>
      </c>
      <c r="DD16">
        <v>2.068753584</v>
      </c>
      <c r="DE16">
        <v>10.837691660000001</v>
      </c>
      <c r="DF16">
        <v>6.8161071379999993E-2</v>
      </c>
      <c r="DG16">
        <v>2.0492348019999999E-2</v>
      </c>
      <c r="DH16">
        <v>4.025298687E-2</v>
      </c>
      <c r="DI16">
        <v>0.13195866619999999</v>
      </c>
      <c r="DJ16">
        <v>5.2309443680000003</v>
      </c>
      <c r="DK16">
        <v>1.243354429</v>
      </c>
      <c r="DL16">
        <v>2.7469551249999999</v>
      </c>
      <c r="DM16">
        <v>9.2046844080000003</v>
      </c>
      <c r="DN16">
        <v>36.841107139999998</v>
      </c>
      <c r="DO16">
        <v>14.363521110000001</v>
      </c>
      <c r="DP16">
        <v>8.5505965530000001</v>
      </c>
      <c r="DQ16">
        <v>86.632788329999997</v>
      </c>
      <c r="DR16">
        <v>0.75550241350000003</v>
      </c>
      <c r="DS16">
        <v>0.33063710029999999</v>
      </c>
      <c r="DT16">
        <v>0.37174175539999998</v>
      </c>
      <c r="DU16">
        <v>1.928660915</v>
      </c>
      <c r="DV16">
        <v>159.73657040000001</v>
      </c>
      <c r="DW16">
        <v>45.31393096</v>
      </c>
      <c r="DX16">
        <v>75.781305520000004</v>
      </c>
      <c r="DY16">
        <v>248.42876960000001</v>
      </c>
      <c r="DZ16">
        <v>1.358280632</v>
      </c>
      <c r="EA16">
        <v>0.65181364040000001</v>
      </c>
      <c r="EB16">
        <v>0.45390580320000001</v>
      </c>
      <c r="EC16">
        <v>3.9432972130000001</v>
      </c>
      <c r="ED16">
        <v>1.6119552779999999</v>
      </c>
      <c r="EE16">
        <v>0.45899255360000002</v>
      </c>
      <c r="EF16">
        <v>0.65574433740000004</v>
      </c>
      <c r="EG16">
        <v>2.8236504419999999</v>
      </c>
      <c r="EH16">
        <v>2.97023591</v>
      </c>
      <c r="EI16">
        <v>0.79409348359999998</v>
      </c>
      <c r="EJ16">
        <v>1.7102588569999999</v>
      </c>
      <c r="EK16">
        <v>5.7440147140000004</v>
      </c>
      <c r="EL16">
        <v>1.291102653</v>
      </c>
      <c r="EM16">
        <v>0.41083854559999999</v>
      </c>
      <c r="EN16">
        <v>0.70173869320000004</v>
      </c>
      <c r="EO16">
        <v>2.6490416219999999</v>
      </c>
      <c r="EP16">
        <v>5.6087737740000003</v>
      </c>
      <c r="EQ16">
        <v>3.7483753270000002</v>
      </c>
      <c r="ER16">
        <v>2.1209370000000001</v>
      </c>
      <c r="ES16">
        <v>16.599836</v>
      </c>
      <c r="ET16">
        <v>0.38689117899999997</v>
      </c>
      <c r="EU16">
        <v>0.122213582</v>
      </c>
      <c r="EV16">
        <v>0.17746875619999999</v>
      </c>
      <c r="EW16">
        <v>0.86899043610000004</v>
      </c>
      <c r="EX16">
        <v>0.52639871949999995</v>
      </c>
      <c r="EY16">
        <v>0.1541831213</v>
      </c>
      <c r="EZ16">
        <v>0.25538375000000002</v>
      </c>
      <c r="FA16">
        <v>1.0543522320000001</v>
      </c>
      <c r="FB16">
        <v>-0.2985919112</v>
      </c>
      <c r="FC16">
        <v>0.79368710229999995</v>
      </c>
      <c r="FD16">
        <v>-2.391459776</v>
      </c>
      <c r="FE16">
        <v>2.3958271170000001</v>
      </c>
      <c r="FF16">
        <v>6.4436958850000003</v>
      </c>
      <c r="FG16">
        <v>4.620389147</v>
      </c>
      <c r="FH16">
        <v>2.1607723669999999</v>
      </c>
      <c r="FI16">
        <v>32.053833060000002</v>
      </c>
      <c r="FJ16">
        <v>3.2848626400000001</v>
      </c>
      <c r="FK16">
        <v>3.6707673650000001</v>
      </c>
      <c r="FL16">
        <v>0.60856908890000005</v>
      </c>
      <c r="FM16">
        <v>14.33416308</v>
      </c>
      <c r="FN16">
        <v>2.3239111330000002</v>
      </c>
      <c r="FO16">
        <v>0.64976399579999999</v>
      </c>
      <c r="FP16">
        <v>0.88996182049999994</v>
      </c>
      <c r="FQ16">
        <v>3.6773297280000001</v>
      </c>
      <c r="FR16">
        <v>5.3152040469999999</v>
      </c>
      <c r="FS16">
        <v>3.6287432129999999</v>
      </c>
      <c r="FT16">
        <v>2.0287850000000001</v>
      </c>
      <c r="FU16">
        <v>16.402732</v>
      </c>
      <c r="FV16">
        <v>2.9719916369999999</v>
      </c>
      <c r="FW16">
        <v>1.661198277</v>
      </c>
      <c r="FX16">
        <v>1.3294969999999999</v>
      </c>
      <c r="FY16">
        <v>14.674478000000001</v>
      </c>
      <c r="FZ16">
        <v>7.4969201090000007E-2</v>
      </c>
      <c r="GA16">
        <v>2.5471775669999999E-2</v>
      </c>
      <c r="GB16">
        <v>3.9448285579999999E-2</v>
      </c>
      <c r="GC16">
        <v>0.17699612840000001</v>
      </c>
      <c r="GD16">
        <v>5.9168450440000004</v>
      </c>
      <c r="GE16">
        <v>1.7026075549999999</v>
      </c>
      <c r="GF16">
        <v>2.7299952969999999</v>
      </c>
      <c r="GG16">
        <v>11.23622013</v>
      </c>
      <c r="GH16">
        <v>21.416773710000001</v>
      </c>
      <c r="GI16">
        <v>20.440646489999999</v>
      </c>
      <c r="GJ16">
        <v>2.4624476730000001E-2</v>
      </c>
      <c r="GK16">
        <v>88.327998030000003</v>
      </c>
      <c r="GL16">
        <v>0.73365890489999996</v>
      </c>
      <c r="GM16">
        <v>0.27344750800000001</v>
      </c>
      <c r="GN16">
        <v>0.30648729969999999</v>
      </c>
      <c r="GO16">
        <v>1.779561044</v>
      </c>
      <c r="GP16">
        <v>6.4315461840000001</v>
      </c>
      <c r="GQ16">
        <v>3.917404844</v>
      </c>
      <c r="GR16">
        <v>0.1231223836</v>
      </c>
      <c r="GS16">
        <v>18.886973650000002</v>
      </c>
      <c r="GT16">
        <v>148.16911540000001</v>
      </c>
      <c r="GU16">
        <v>46.93028803</v>
      </c>
      <c r="GV16">
        <v>56.49841095</v>
      </c>
      <c r="GW16">
        <v>253.4964411</v>
      </c>
      <c r="GX16">
        <v>0.97241026370000005</v>
      </c>
      <c r="GY16">
        <v>0.14289990650000001</v>
      </c>
      <c r="GZ16">
        <v>0.45390580320000001</v>
      </c>
      <c r="HA16">
        <v>1.420839811</v>
      </c>
      <c r="HB16">
        <v>1.5037406630000001</v>
      </c>
      <c r="HC16">
        <v>0.38121642779999998</v>
      </c>
      <c r="HD16">
        <v>0.65133238309999997</v>
      </c>
      <c r="HE16">
        <v>2.3166305550000001</v>
      </c>
      <c r="HF16">
        <v>2.4761509269999999</v>
      </c>
      <c r="HG16">
        <v>0.42976591669999997</v>
      </c>
      <c r="HH16">
        <v>1.6331414289999999</v>
      </c>
      <c r="HI16">
        <v>3.5340867139999999</v>
      </c>
      <c r="HJ16">
        <v>1.1153156420000001</v>
      </c>
      <c r="HK16">
        <v>0.30873417590000002</v>
      </c>
      <c r="HL16">
        <v>0.70173869320000004</v>
      </c>
      <c r="HM16">
        <v>2.4087843860000002</v>
      </c>
      <c r="HN16">
        <v>3.2116771630000001</v>
      </c>
      <c r="HO16">
        <v>0.52911856749999997</v>
      </c>
      <c r="HP16">
        <v>1.892028</v>
      </c>
      <c r="HQ16">
        <v>4.7335000000000003</v>
      </c>
      <c r="HR16">
        <v>0.36974255519999999</v>
      </c>
      <c r="HS16">
        <v>0.1137302419</v>
      </c>
      <c r="HT16">
        <v>0.17746875619999999</v>
      </c>
      <c r="HU16">
        <v>0.76310781780000003</v>
      </c>
      <c r="HV16">
        <v>0.47965346920000002</v>
      </c>
      <c r="HW16">
        <v>0.13326630040000001</v>
      </c>
      <c r="HX16">
        <v>0.25538375000000002</v>
      </c>
      <c r="HY16">
        <v>0.91212436279999998</v>
      </c>
      <c r="HZ16">
        <v>-0.50991487700000004</v>
      </c>
      <c r="IA16">
        <v>0.53136677899999996</v>
      </c>
      <c r="IB16">
        <v>-2.4031139320000001</v>
      </c>
      <c r="IC16">
        <v>0.70060797850000001</v>
      </c>
      <c r="ID16">
        <v>4.1922684620000004</v>
      </c>
      <c r="IE16">
        <v>1.1382126720000001</v>
      </c>
      <c r="IF16">
        <v>2.0420709509999999</v>
      </c>
      <c r="IG16">
        <v>10.09255548</v>
      </c>
      <c r="IH16">
        <v>1.202488534</v>
      </c>
      <c r="II16">
        <v>0.2070067756</v>
      </c>
      <c r="IJ16">
        <v>0.60856908890000005</v>
      </c>
      <c r="IK16">
        <v>2.0413823820000001</v>
      </c>
      <c r="IL16">
        <v>2.0091886300000001</v>
      </c>
      <c r="IM16">
        <v>0.41211078039999999</v>
      </c>
      <c r="IN16">
        <v>0.84767149990000001</v>
      </c>
      <c r="IO16">
        <v>2.8778564900000001</v>
      </c>
      <c r="IP16">
        <v>3.0522833469999999</v>
      </c>
      <c r="IQ16">
        <v>0.49440103369999999</v>
      </c>
      <c r="IR16">
        <v>1.7914890000000001</v>
      </c>
      <c r="IS16">
        <v>4.4690409999999998</v>
      </c>
      <c r="IT16">
        <v>2.562313311</v>
      </c>
      <c r="IU16">
        <v>0.5823215504</v>
      </c>
      <c r="IV16">
        <v>1.3294969999999999</v>
      </c>
      <c r="IW16">
        <v>3.9573209999999999</v>
      </c>
      <c r="IX16">
        <v>6.4979121010000002E-2</v>
      </c>
      <c r="IY16">
        <v>1.8027575510000001E-2</v>
      </c>
      <c r="IZ16">
        <v>3.9045314550000002E-2</v>
      </c>
      <c r="JA16">
        <v>0.1208754541</v>
      </c>
      <c r="JB16">
        <v>5.0737079989999998</v>
      </c>
      <c r="JC16">
        <v>1.222487136</v>
      </c>
      <c r="JD16">
        <v>2.7299952969999999</v>
      </c>
      <c r="JE16">
        <v>9.0616793999999992</v>
      </c>
      <c r="JF16">
        <v>36.286331269999998</v>
      </c>
      <c r="JG16">
        <v>14.226503060000001</v>
      </c>
      <c r="JH16">
        <v>3.9645407540000002</v>
      </c>
      <c r="JI16">
        <v>88.327998030000003</v>
      </c>
      <c r="JJ16">
        <v>0.72337573200000005</v>
      </c>
      <c r="JK16">
        <v>0.26712075349999997</v>
      </c>
      <c r="JL16">
        <v>0.31115574610000002</v>
      </c>
      <c r="JM16">
        <v>1.647741111</v>
      </c>
      <c r="JN16">
        <v>8.6182951419999991</v>
      </c>
      <c r="JO16">
        <v>3.8252354739999999</v>
      </c>
      <c r="JP16">
        <v>0.3965369587</v>
      </c>
      <c r="JQ16">
        <v>23.023885740000001</v>
      </c>
      <c r="JR16">
        <v>165.6356658</v>
      </c>
      <c r="JS16">
        <v>44.405179420000003</v>
      </c>
      <c r="JT16">
        <v>82.729782259999993</v>
      </c>
      <c r="JU16">
        <v>256.11267609999999</v>
      </c>
      <c r="JV16">
        <v>0.30243550520000001</v>
      </c>
      <c r="JW16">
        <v>0.20267990150000001</v>
      </c>
      <c r="JX16">
        <v>8.0645994260000006E-2</v>
      </c>
      <c r="JY16">
        <v>1.566606811</v>
      </c>
      <c r="JZ16">
        <v>0.32401241580000001</v>
      </c>
      <c r="KA16">
        <v>0.2315017835</v>
      </c>
      <c r="KB16">
        <v>7.9657029830000003E-2</v>
      </c>
      <c r="KC16">
        <v>1.4348714739999999</v>
      </c>
      <c r="KD16">
        <v>0.62644792110000003</v>
      </c>
      <c r="KE16">
        <v>0.37645055379999998</v>
      </c>
      <c r="KF16">
        <v>0.18973699999999999</v>
      </c>
      <c r="KG16">
        <v>2.1079620000000001</v>
      </c>
      <c r="KH16">
        <v>0.3812765132</v>
      </c>
      <c r="KI16">
        <v>0.25491193839999998</v>
      </c>
      <c r="KJ16">
        <v>0.1017378</v>
      </c>
      <c r="KK16">
        <v>1.482944</v>
      </c>
      <c r="KL16">
        <v>0.62644792110000003</v>
      </c>
      <c r="KM16">
        <v>0.37645055379999998</v>
      </c>
      <c r="KN16">
        <v>0.18973699999999999</v>
      </c>
      <c r="KO16">
        <v>2.1079620000000001</v>
      </c>
      <c r="KP16">
        <v>0.10874507429999999</v>
      </c>
      <c r="KQ16">
        <v>6.160586841E-2</v>
      </c>
      <c r="KR16">
        <v>3.5035198160000003E-2</v>
      </c>
      <c r="KS16">
        <v>0.32769835889999999</v>
      </c>
      <c r="KT16">
        <v>0.13905177360000001</v>
      </c>
      <c r="KU16">
        <v>8.0308309669999994E-2</v>
      </c>
      <c r="KV16">
        <v>4.2865759420000003E-2</v>
      </c>
      <c r="KW16">
        <v>0.4057046648</v>
      </c>
      <c r="KX16">
        <v>-4.074427445E-2</v>
      </c>
      <c r="KY16">
        <v>0.79444678160000004</v>
      </c>
      <c r="KZ16">
        <v>-2.7228159679999999</v>
      </c>
      <c r="LA16">
        <v>3.0233111269999999</v>
      </c>
      <c r="LB16">
        <v>3.366670455</v>
      </c>
      <c r="LC16">
        <v>1.6911604790000001</v>
      </c>
      <c r="LD16">
        <v>1.474586151</v>
      </c>
      <c r="LE16">
        <v>12.8137322</v>
      </c>
      <c r="LF16">
        <v>1.538726262</v>
      </c>
      <c r="LG16">
        <v>0.52625813649999997</v>
      </c>
      <c r="LH16">
        <v>0.60351999789999999</v>
      </c>
      <c r="LI16">
        <v>4.3994399849999999</v>
      </c>
      <c r="LJ16">
        <v>3.4260202089999997E-2</v>
      </c>
      <c r="LK16">
        <v>2.015507163E-2</v>
      </c>
      <c r="LL16">
        <v>1.2324008460000001E-2</v>
      </c>
      <c r="LM16">
        <v>0.1103481687</v>
      </c>
      <c r="LN16">
        <v>97.29147768</v>
      </c>
      <c r="LO16">
        <v>10.13907747</v>
      </c>
      <c r="LP16">
        <v>5.9876270439999999</v>
      </c>
      <c r="LQ16">
        <v>100</v>
      </c>
      <c r="LR16">
        <v>0.2217152721</v>
      </c>
      <c r="LS16">
        <v>0.12856900760000001</v>
      </c>
      <c r="LT16">
        <v>6.8828954459999994E-2</v>
      </c>
      <c r="LU16">
        <v>0.76174359560000005</v>
      </c>
      <c r="LV16">
        <v>13.16014092</v>
      </c>
      <c r="LW16">
        <v>5.674467054</v>
      </c>
      <c r="LX16">
        <v>0</v>
      </c>
      <c r="LY16">
        <v>32.56260769</v>
      </c>
      <c r="LZ16">
        <v>7.1380898820000001</v>
      </c>
      <c r="MA16">
        <v>2.123480802</v>
      </c>
      <c r="MB16">
        <v>2.2730165740000001</v>
      </c>
      <c r="MC16">
        <v>16.56945923</v>
      </c>
      <c r="MD16">
        <v>0.24212040779999999</v>
      </c>
      <c r="ME16">
        <v>0.13102163680000001</v>
      </c>
      <c r="MF16">
        <v>6.7977383779999997E-2</v>
      </c>
      <c r="MG16">
        <v>0.67036817209999999</v>
      </c>
      <c r="MH16">
        <v>0.30093567640000002</v>
      </c>
      <c r="MI16">
        <v>0.21741920109999999</v>
      </c>
      <c r="MJ16">
        <v>7.1824032920000003E-2</v>
      </c>
      <c r="MK16">
        <v>1.405716387</v>
      </c>
      <c r="ML16">
        <v>0.54305608419999996</v>
      </c>
      <c r="MM16">
        <v>0.32571608019999998</v>
      </c>
      <c r="MN16">
        <v>0.158305</v>
      </c>
      <c r="MO16">
        <v>1.818541</v>
      </c>
      <c r="MP16">
        <v>0.34925704600000002</v>
      </c>
      <c r="MQ16">
        <v>0.24574660070000001</v>
      </c>
      <c r="MR16">
        <v>9.0775750000000002E-2</v>
      </c>
      <c r="MS16">
        <v>1.6627430000000001</v>
      </c>
      <c r="MT16">
        <v>0.54305608419999996</v>
      </c>
      <c r="MU16">
        <v>0.32571608019999998</v>
      </c>
      <c r="MV16">
        <v>0.158305</v>
      </c>
      <c r="MW16">
        <v>1.818541</v>
      </c>
      <c r="MX16">
        <v>9.937037739E-2</v>
      </c>
      <c r="MY16">
        <v>5.6556830580000002E-2</v>
      </c>
      <c r="MZ16">
        <v>2.617241901E-2</v>
      </c>
      <c r="NA16">
        <v>0.32318915799999998</v>
      </c>
      <c r="NB16">
        <v>0.12480093809999999</v>
      </c>
      <c r="NC16">
        <v>7.1994314370000007E-2</v>
      </c>
      <c r="ND16">
        <v>3.4274949559999997E-2</v>
      </c>
      <c r="NE16">
        <v>0.38985813740000003</v>
      </c>
      <c r="NF16">
        <v>-0.22901025289999999</v>
      </c>
      <c r="NG16">
        <v>0.5912543871</v>
      </c>
      <c r="NH16">
        <v>-3.1018974570000002</v>
      </c>
      <c r="NI16">
        <v>1.450887974</v>
      </c>
      <c r="NJ16">
        <v>2.9791706680000001</v>
      </c>
      <c r="NK16">
        <v>1.3158189199999999</v>
      </c>
      <c r="NL16">
        <v>1.474586151</v>
      </c>
      <c r="NM16">
        <v>14.25315492</v>
      </c>
      <c r="NN16">
        <v>1.496853464</v>
      </c>
      <c r="NO16">
        <v>0.4818401444</v>
      </c>
      <c r="NP16">
        <v>0.60351999789999999</v>
      </c>
      <c r="NQ16">
        <v>3.7646399869999998</v>
      </c>
      <c r="NR16">
        <v>3.0295306059999999E-2</v>
      </c>
      <c r="NS16">
        <v>1.7770317109999999E-2</v>
      </c>
      <c r="NT16">
        <v>9.8212027429999994E-3</v>
      </c>
      <c r="NU16">
        <v>9.6690817789999994E-2</v>
      </c>
      <c r="NV16">
        <v>99.135097430000002</v>
      </c>
      <c r="NW16">
        <v>3.0415113200000001</v>
      </c>
      <c r="NX16">
        <v>80.518617509999999</v>
      </c>
      <c r="NY16">
        <v>100</v>
      </c>
      <c r="NZ16">
        <v>0.20942315989999999</v>
      </c>
      <c r="OA16">
        <v>0.1222462646</v>
      </c>
      <c r="OB16">
        <v>5.5144106919999998E-2</v>
      </c>
      <c r="OC16">
        <v>0.73344419039999997</v>
      </c>
      <c r="OD16">
        <v>14.41128024</v>
      </c>
      <c r="OE16">
        <v>5.6480735309999996</v>
      </c>
      <c r="OF16">
        <v>0</v>
      </c>
      <c r="OG16">
        <v>32.56260769</v>
      </c>
      <c r="OH16">
        <v>7.2793247350000003</v>
      </c>
      <c r="OI16">
        <v>2.0913083729999999</v>
      </c>
      <c r="OJ16">
        <v>2.6562964939999998</v>
      </c>
      <c r="OK16">
        <v>16.56945923</v>
      </c>
      <c r="OL16">
        <v>0.60112940189999997</v>
      </c>
      <c r="OM16">
        <v>1.0848049259999999</v>
      </c>
      <c r="ON16">
        <v>40.05451935</v>
      </c>
      <c r="OO16">
        <v>14.800373</v>
      </c>
      <c r="OP16">
        <v>3.747976</v>
      </c>
      <c r="OQ16">
        <v>18.548349000000002</v>
      </c>
      <c r="OR16">
        <v>0.4014311183</v>
      </c>
      <c r="OS16" s="2">
        <v>2.5883214960000002E-5</v>
      </c>
      <c r="OT16">
        <v>6.8440593610000005E-4</v>
      </c>
      <c r="OU16" s="2">
        <v>2.5883214960000002E-5</v>
      </c>
      <c r="OV16">
        <v>3.7548459279999999E-4</v>
      </c>
      <c r="OW16">
        <v>5.8678740720000003E-4</v>
      </c>
      <c r="OX16" s="2">
        <v>9.7618528939999994E-5</v>
      </c>
      <c r="OY16">
        <v>1.079700101</v>
      </c>
      <c r="OZ16">
        <v>0.56632719440000001</v>
      </c>
      <c r="PA16">
        <v>1.2631554270000001</v>
      </c>
      <c r="PB16">
        <v>13.16478294</v>
      </c>
      <c r="PC16">
        <v>89.398163400000001</v>
      </c>
      <c r="PD16">
        <v>0.53219482659999995</v>
      </c>
      <c r="PE16">
        <v>-0.93976851429999997</v>
      </c>
      <c r="PF16">
        <v>5.2804083220000004</v>
      </c>
      <c r="PG16">
        <v>1.5243139999999999</v>
      </c>
      <c r="PH16">
        <v>2.7625479999999998</v>
      </c>
      <c r="PI16">
        <v>4.2868620000000002</v>
      </c>
      <c r="PJ16">
        <v>0.3853072548</v>
      </c>
      <c r="PK16" s="2">
        <v>1.9314553529999999E-5</v>
      </c>
      <c r="PL16">
        <v>6.6779101349999999E-4</v>
      </c>
      <c r="PM16" s="2">
        <v>1.9314553529999999E-5</v>
      </c>
      <c r="PN16">
        <v>3.708220161E-4</v>
      </c>
      <c r="PO16">
        <v>5.7622398390000005E-4</v>
      </c>
      <c r="PP16" s="2">
        <v>9.1567029620000001E-5</v>
      </c>
      <c r="PQ16">
        <v>1.0607739039999999</v>
      </c>
      <c r="PR16">
        <v>0.46239866810000002</v>
      </c>
      <c r="PS16">
        <v>1.164027017</v>
      </c>
      <c r="PT16">
        <v>13.15298552</v>
      </c>
      <c r="PU16">
        <v>89.390126249999994</v>
      </c>
      <c r="PV16">
        <v>1.115848653</v>
      </c>
      <c r="PW16">
        <v>0.56423681650000002</v>
      </c>
      <c r="PX16">
        <v>1.280170314</v>
      </c>
      <c r="PY16">
        <v>14.623690529999999</v>
      </c>
      <c r="PZ16">
        <v>89.086314310000006</v>
      </c>
      <c r="QA16">
        <v>1.11266132</v>
      </c>
      <c r="QB16">
        <v>0.46242053830000002</v>
      </c>
      <c r="QC16">
        <v>1.1662958990000001</v>
      </c>
      <c r="QD16">
        <v>14.525145800000001</v>
      </c>
      <c r="QE16">
        <v>89.172715999999994</v>
      </c>
      <c r="QF16" s="2">
        <v>2.5139790650000001E-5</v>
      </c>
      <c r="QG16">
        <v>4.1153223230000003E-4</v>
      </c>
      <c r="QH16">
        <v>6.2919376770000004E-4</v>
      </c>
      <c r="QI16">
        <v>1.000103281E-4</v>
      </c>
      <c r="QJ16" s="2">
        <v>1.8135191489999999E-5</v>
      </c>
      <c r="QK16">
        <v>4.0942210779999999E-4</v>
      </c>
      <c r="QL16">
        <v>6.239068922E-4</v>
      </c>
      <c r="QM16" s="2">
        <v>9.3151532130000006E-5</v>
      </c>
      <c r="QN16">
        <v>85.613014949999993</v>
      </c>
      <c r="QO16">
        <v>37.756906979999997</v>
      </c>
      <c r="QP16">
        <v>45.99151114</v>
      </c>
      <c r="QQ16">
        <v>125.0035937</v>
      </c>
      <c r="QR16">
        <v>79.423135070000001</v>
      </c>
      <c r="QS16">
        <v>37.749121430000002</v>
      </c>
      <c r="QT16">
        <v>45.98236833</v>
      </c>
      <c r="QU16">
        <v>123.9878605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workbookViewId="0">
      <selection activeCell="E21" sqref="E21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Baza!OL1</f>
        <v>70</v>
      </c>
      <c r="C3">
        <f>Baza!OM1</f>
        <v>70</v>
      </c>
      <c r="D3">
        <f>Baza!ON1</f>
        <v>70</v>
      </c>
      <c r="E3">
        <f>Baza!OO1</f>
        <v>70</v>
      </c>
      <c r="F3">
        <f>Baza!OP1</f>
        <v>70</v>
      </c>
      <c r="G3">
        <f>Baza!OQ1</f>
        <v>70</v>
      </c>
      <c r="H3">
        <f>Baza!OR1</f>
        <v>70</v>
      </c>
      <c r="I3">
        <f>Baza!OS1</f>
        <v>70</v>
      </c>
      <c r="J3">
        <f>Baza!OT1</f>
        <v>70</v>
      </c>
      <c r="K3">
        <f>Baza!OU1</f>
        <v>70</v>
      </c>
      <c r="L3">
        <f>Baza!OV1</f>
        <v>70</v>
      </c>
      <c r="M3">
        <f>Baza!OW1</f>
        <v>70</v>
      </c>
      <c r="N3">
        <f>Baza!OX1</f>
        <v>70</v>
      </c>
      <c r="O3">
        <f>Baza!OY1</f>
        <v>70</v>
      </c>
      <c r="P3">
        <f>Baza!OZ1</f>
        <v>70</v>
      </c>
      <c r="Q3">
        <f>Baza!PA1</f>
        <v>70</v>
      </c>
      <c r="R3">
        <f>Baza!PB1</f>
        <v>70</v>
      </c>
      <c r="S3">
        <f>Baza!PC1</f>
        <v>70</v>
      </c>
    </row>
    <row r="4" spans="1:19" x14ac:dyDescent="0.2">
      <c r="B4" t="str">
        <f>Baza!OL2</f>
        <v>Sq</v>
      </c>
      <c r="C4" t="str">
        <f>Baza!OM2</f>
        <v>Ssk</v>
      </c>
      <c r="D4" t="str">
        <f>Baza!ON2</f>
        <v>Sku</v>
      </c>
      <c r="E4" t="str">
        <f>Baza!OO2</f>
        <v>Sp</v>
      </c>
      <c r="F4" t="str">
        <f>Baza!OP2</f>
        <v>Sv</v>
      </c>
      <c r="G4" t="str">
        <f>Baza!OQ2</f>
        <v>Sz</v>
      </c>
      <c r="H4" t="str">
        <f>Baza!OR2</f>
        <v>Sa</v>
      </c>
      <c r="I4" t="str">
        <f>Baza!OS2</f>
        <v>Vm (p = 10%)</v>
      </c>
      <c r="J4" t="str">
        <f>Baza!OT2</f>
        <v>Vv (p = 10%)</v>
      </c>
      <c r="K4" t="str">
        <f>Baza!OU2</f>
        <v>Vmp (p = 10%)</v>
      </c>
      <c r="L4" t="str">
        <f>Baza!OV2</f>
        <v>Vmc (p = 10%, q = 80%)</v>
      </c>
      <c r="M4" t="str">
        <f>Baza!OW2</f>
        <v>Vvc (p = 10%, q = 80%)</v>
      </c>
      <c r="N4" t="str">
        <f>Baza!OX2</f>
        <v>Vvv (p = 80%)</v>
      </c>
      <c r="O4" t="str">
        <f>Baza!OY2</f>
        <v>Sk</v>
      </c>
      <c r="P4" t="str">
        <f>Baza!OZ2</f>
        <v>Spk</v>
      </c>
      <c r="Q4" t="str">
        <f>Baza!PA2</f>
        <v>Svk</v>
      </c>
      <c r="R4" t="str">
        <f>Baza!PB2</f>
        <v>Smrk1</v>
      </c>
      <c r="S4" t="str">
        <f>Baza!PC2</f>
        <v>Smrk2</v>
      </c>
    </row>
    <row r="5" spans="1:19" x14ac:dyDescent="0.2">
      <c r="B5" t="str">
        <f>Baza!OL3</f>
        <v>µm</v>
      </c>
      <c r="C5" t="str">
        <f>Baza!OM3</f>
        <v>&lt;no unit&gt;</v>
      </c>
      <c r="D5" t="str">
        <f>Baza!ON3</f>
        <v>&lt;no unit&gt;</v>
      </c>
      <c r="E5" t="str">
        <f>Baza!OO3</f>
        <v>µm</v>
      </c>
      <c r="F5" t="str">
        <f>Baza!OP3</f>
        <v>µm</v>
      </c>
      <c r="G5" t="str">
        <f>Baza!OQ3</f>
        <v>µm</v>
      </c>
      <c r="H5" t="str">
        <f>Baza!OR3</f>
        <v>µm</v>
      </c>
      <c r="I5" t="str">
        <f>Baza!OS3</f>
        <v>mm³/mm²</v>
      </c>
      <c r="J5" t="str">
        <f>Baza!OT3</f>
        <v>mm³/mm²</v>
      </c>
      <c r="K5" t="str">
        <f>Baza!OU3</f>
        <v>mm³/mm²</v>
      </c>
      <c r="L5" t="str">
        <f>Baza!OV3</f>
        <v>mm³/mm²</v>
      </c>
      <c r="M5" t="str">
        <f>Baza!OW3</f>
        <v>mm³/mm²</v>
      </c>
      <c r="N5" t="str">
        <f>Baza!OX3</f>
        <v>mm³/mm²</v>
      </c>
      <c r="O5" t="str">
        <f>Baza!OY3</f>
        <v>µm</v>
      </c>
      <c r="P5" t="str">
        <f>Baza!OZ3</f>
        <v>µm</v>
      </c>
      <c r="Q5" t="str">
        <f>Baza!PA3</f>
        <v>µm</v>
      </c>
      <c r="R5" t="str">
        <f>Baza!PB3</f>
        <v>%</v>
      </c>
      <c r="S5" t="str">
        <f>Baza!PC3</f>
        <v>%</v>
      </c>
    </row>
    <row r="6" spans="1:19" x14ac:dyDescent="0.2">
      <c r="A6" s="1" t="s">
        <v>244</v>
      </c>
      <c r="B6">
        <f>Baza!OL4</f>
        <v>0.59322044730000001</v>
      </c>
      <c r="C6">
        <f>Baza!OM4</f>
        <v>-0.76013472500000001</v>
      </c>
      <c r="D6">
        <f>Baza!ON4</f>
        <v>5.9702658050000004</v>
      </c>
      <c r="E6">
        <f>Baza!OO4</f>
        <v>3.6983799999999998</v>
      </c>
      <c r="F6">
        <f>Baza!OP4</f>
        <v>3.9339599999999999</v>
      </c>
      <c r="G6">
        <f>Baza!OQ4</f>
        <v>7.6323400000000001</v>
      </c>
      <c r="H6">
        <f>Baza!OR4</f>
        <v>0.4319491593</v>
      </c>
      <c r="I6" s="2">
        <f>Baza!OS4</f>
        <v>2.8239113669999999E-5</v>
      </c>
      <c r="J6">
        <f>Baza!OT4</f>
        <v>7.0894637229999998E-4</v>
      </c>
      <c r="K6" s="2">
        <f>Baza!OU4</f>
        <v>2.8239113669999999E-5</v>
      </c>
      <c r="L6">
        <f>Baza!OV4</f>
        <v>4.3769562610000001E-4</v>
      </c>
      <c r="M6">
        <f>Baza!OW4</f>
        <v>6.1593437389999999E-4</v>
      </c>
      <c r="N6">
        <f>Baza!OX4</f>
        <v>9.3011998340000005E-5</v>
      </c>
      <c r="O6">
        <f>Baza!OY4</f>
        <v>1.217420556</v>
      </c>
      <c r="P6">
        <f>Baza!OZ4</f>
        <v>0.57993890889999999</v>
      </c>
      <c r="Q6">
        <f>Baza!PA4</f>
        <v>1.036683362</v>
      </c>
      <c r="R6">
        <f>Baza!PB4</f>
        <v>11.41582038</v>
      </c>
      <c r="S6">
        <f>Baza!PC4</f>
        <v>88.258952669999999</v>
      </c>
    </row>
    <row r="7" spans="1:19" x14ac:dyDescent="0.2">
      <c r="A7" s="1" t="s">
        <v>245</v>
      </c>
      <c r="B7">
        <f>Baza!OL5</f>
        <v>0.67481805289999996</v>
      </c>
      <c r="C7">
        <f>Baza!OM5</f>
        <v>-0.88548875230000001</v>
      </c>
      <c r="D7">
        <f>Baza!ON5</f>
        <v>5.6615906569999996</v>
      </c>
      <c r="E7">
        <f>Baza!OO5</f>
        <v>3.6324999999999998</v>
      </c>
      <c r="F7">
        <f>Baza!OP5</f>
        <v>4.4773699999999996</v>
      </c>
      <c r="G7">
        <f>Baza!OQ5</f>
        <v>8.1098700000000008</v>
      </c>
      <c r="H7">
        <f>Baza!OR5</f>
        <v>0.49909895209999999</v>
      </c>
      <c r="I7" s="2">
        <f>Baza!OS5</f>
        <v>2.7032570689999999E-5</v>
      </c>
      <c r="J7">
        <f>Baza!OT5</f>
        <v>8.1034028220000002E-4</v>
      </c>
      <c r="K7" s="2">
        <f>Baza!OU5</f>
        <v>2.7032570689999999E-5</v>
      </c>
      <c r="L7">
        <f>Baza!OV5</f>
        <v>5.1894025890000003E-4</v>
      </c>
      <c r="M7">
        <f>Baza!OW5</f>
        <v>7.0314974109999997E-4</v>
      </c>
      <c r="N7">
        <f>Baza!OX5</f>
        <v>1.0719054109999999E-4</v>
      </c>
      <c r="O7">
        <f>Baza!OY5</f>
        <v>1.437328382</v>
      </c>
      <c r="P7">
        <f>Baza!OZ5</f>
        <v>0.5494002201</v>
      </c>
      <c r="Q7">
        <f>Baza!PA5</f>
        <v>1.1546328889999999</v>
      </c>
      <c r="R7">
        <f>Baza!PB5</f>
        <v>10.621246940000001</v>
      </c>
      <c r="S7">
        <f>Baza!PC5</f>
        <v>87.836724189999998</v>
      </c>
    </row>
    <row r="8" spans="1:19" x14ac:dyDescent="0.2">
      <c r="A8" s="1" t="s">
        <v>246</v>
      </c>
      <c r="B8">
        <f>Baza!OL6</f>
        <v>0.75345663230000004</v>
      </c>
      <c r="C8">
        <f>Baza!OM6</f>
        <v>-0.8593225243</v>
      </c>
      <c r="D8">
        <f>Baza!ON6</f>
        <v>5.5206161720000004</v>
      </c>
      <c r="E8">
        <f>Baza!OO6</f>
        <v>3.2906900000000001</v>
      </c>
      <c r="F8">
        <f>Baza!OP6</f>
        <v>5.0456099999999999</v>
      </c>
      <c r="G8">
        <f>Baza!OQ6</f>
        <v>8.3362999999999996</v>
      </c>
      <c r="H8">
        <f>Baza!OR6</f>
        <v>0.55934019840000004</v>
      </c>
      <c r="I8" s="2">
        <f>Baza!OS6</f>
        <v>3.0591730080000001E-5</v>
      </c>
      <c r="J8">
        <f>Baza!OT6</f>
        <v>9.0888466220000002E-4</v>
      </c>
      <c r="K8" s="2">
        <f>Baza!OU6</f>
        <v>3.0591730080000001E-5</v>
      </c>
      <c r="L8">
        <f>Baza!OV6</f>
        <v>5.8197402889999998E-4</v>
      </c>
      <c r="M8">
        <f>Baza!OW6</f>
        <v>7.901859711E-4</v>
      </c>
      <c r="N8">
        <f>Baza!OX6</f>
        <v>1.186986911E-4</v>
      </c>
      <c r="O8">
        <f>Baza!OY6</f>
        <v>1.621769969</v>
      </c>
      <c r="P8">
        <f>Baza!OZ6</f>
        <v>0.62084604779999997</v>
      </c>
      <c r="Q8">
        <f>Baza!PA6</f>
        <v>1.265603735</v>
      </c>
      <c r="R8">
        <f>Baza!PB6</f>
        <v>10.55427034</v>
      </c>
      <c r="S8">
        <f>Baza!PC6</f>
        <v>87.920847559999999</v>
      </c>
    </row>
    <row r="9" spans="1:19" x14ac:dyDescent="0.2">
      <c r="A9" s="1" t="s">
        <v>247</v>
      </c>
      <c r="B9">
        <f>Baza!OL7</f>
        <v>0.6783874849</v>
      </c>
      <c r="C9">
        <f>Baza!OM7</f>
        <v>-3.0355927550000002E-2</v>
      </c>
      <c r="D9">
        <f>Baza!ON7</f>
        <v>9.3595113150000007</v>
      </c>
      <c r="E9">
        <f>Baza!OO7</f>
        <v>6.5903</v>
      </c>
      <c r="F9">
        <f>Baza!OP7</f>
        <v>4.1908399999999997</v>
      </c>
      <c r="G9">
        <f>Baza!OQ7</f>
        <v>10.781140000000001</v>
      </c>
      <c r="H9">
        <f>Baza!OR7</f>
        <v>0.48100277419999998</v>
      </c>
      <c r="I9" s="2">
        <f>Baza!OS7</f>
        <v>3.7166833709999999E-5</v>
      </c>
      <c r="J9">
        <f>Baza!OT7</f>
        <v>7.7808742810000001E-4</v>
      </c>
      <c r="K9" s="2">
        <f>Baza!OU7</f>
        <v>3.7166833709999999E-5</v>
      </c>
      <c r="L9">
        <f>Baza!OV7</f>
        <v>4.8272353199999999E-4</v>
      </c>
      <c r="M9">
        <f>Baza!OW7</f>
        <v>6.76156468E-4</v>
      </c>
      <c r="N9">
        <f>Baza!OX7</f>
        <v>1.019309601E-4</v>
      </c>
      <c r="O9">
        <f>Baza!OY7</f>
        <v>1.3367957720000001</v>
      </c>
      <c r="P9">
        <f>Baza!OZ7</f>
        <v>0.7414106399</v>
      </c>
      <c r="Q9">
        <f>Baza!PA7</f>
        <v>1.109982053</v>
      </c>
      <c r="R9">
        <f>Baza!PB7</f>
        <v>11.47206454</v>
      </c>
      <c r="S9">
        <f>Baza!PC7</f>
        <v>88.013801999999998</v>
      </c>
    </row>
    <row r="10" spans="1:19" x14ac:dyDescent="0.2">
      <c r="A10" s="1" t="s">
        <v>248</v>
      </c>
      <c r="B10">
        <f>Baza!OL8</f>
        <v>0.76642542609999997</v>
      </c>
      <c r="C10">
        <f>Baza!OM8</f>
        <v>-0.80911526190000005</v>
      </c>
      <c r="D10">
        <f>Baza!ON8</f>
        <v>6.4947627829999997</v>
      </c>
      <c r="E10">
        <f>Baza!OO8</f>
        <v>5.6250499999999999</v>
      </c>
      <c r="F10">
        <f>Baza!OP8</f>
        <v>5.1302399999999997</v>
      </c>
      <c r="G10">
        <f>Baza!OQ8</f>
        <v>10.75529</v>
      </c>
      <c r="H10">
        <f>Baza!OR8</f>
        <v>0.55826716369999996</v>
      </c>
      <c r="I10" s="2">
        <f>Baza!OS8</f>
        <v>3.2177766829999998E-5</v>
      </c>
      <c r="J10">
        <f>Baza!OT8</f>
        <v>8.9341486689999995E-4</v>
      </c>
      <c r="K10" s="2">
        <f>Baza!OU8</f>
        <v>3.2177766829999998E-5</v>
      </c>
      <c r="L10">
        <f>Baza!OV8</f>
        <v>5.727988705E-4</v>
      </c>
      <c r="M10">
        <f>Baza!OW8</f>
        <v>7.6906112950000005E-4</v>
      </c>
      <c r="N10">
        <f>Baza!OX8</f>
        <v>1.2435373740000001E-4</v>
      </c>
      <c r="O10">
        <f>Baza!OY8</f>
        <v>1.5801088700000001</v>
      </c>
      <c r="P10">
        <f>Baza!OZ8</f>
        <v>0.64770136060000005</v>
      </c>
      <c r="Q10">
        <f>Baza!PA8</f>
        <v>1.330695239</v>
      </c>
      <c r="R10">
        <f>Baza!PB8</f>
        <v>10.501088579999999</v>
      </c>
      <c r="S10">
        <f>Baza!PC8</f>
        <v>87.424853799999994</v>
      </c>
    </row>
    <row r="11" spans="1:19" x14ac:dyDescent="0.2">
      <c r="A11" s="1" t="s">
        <v>249</v>
      </c>
      <c r="B11">
        <f>Baza!OL9</f>
        <v>0.85537745170000001</v>
      </c>
      <c r="C11">
        <f>Baza!OM9</f>
        <v>-0.93351123079999998</v>
      </c>
      <c r="D11">
        <f>Baza!ON9</f>
        <v>6.2960871730000001</v>
      </c>
      <c r="E11">
        <f>Baza!OO9</f>
        <v>5.29847</v>
      </c>
      <c r="F11">
        <f>Baza!OP9</f>
        <v>6.0104199999999999</v>
      </c>
      <c r="G11">
        <f>Baza!OQ9</f>
        <v>11.30889</v>
      </c>
      <c r="H11">
        <f>Baza!OR9</f>
        <v>0.6249393298</v>
      </c>
      <c r="I11" s="2">
        <f>Baza!OS9</f>
        <v>3.5326268110000001E-5</v>
      </c>
      <c r="J11">
        <f>Baza!OT9</f>
        <v>1.00081693E-3</v>
      </c>
      <c r="K11" s="2">
        <f>Baza!OU9</f>
        <v>3.5326268110000001E-5</v>
      </c>
      <c r="L11">
        <f>Baza!OV9</f>
        <v>6.4114976119999999E-4</v>
      </c>
      <c r="M11">
        <f>Baza!OW9</f>
        <v>8.6095023880000004E-4</v>
      </c>
      <c r="N11">
        <f>Baza!OX9</f>
        <v>1.3986669089999999E-4</v>
      </c>
      <c r="O11">
        <f>Baza!OY9</f>
        <v>1.7698358359999999</v>
      </c>
      <c r="P11">
        <f>Baza!OZ9</f>
        <v>0.71291629680000002</v>
      </c>
      <c r="Q11">
        <f>Baza!PA9</f>
        <v>1.4834474360000001</v>
      </c>
      <c r="R11">
        <f>Baza!PB9</f>
        <v>10.468901069999999</v>
      </c>
      <c r="S11">
        <f>Baza!PC9</f>
        <v>87.32116766</v>
      </c>
    </row>
    <row r="12" spans="1:19" x14ac:dyDescent="0.2">
      <c r="A12" s="1" t="s">
        <v>250</v>
      </c>
      <c r="B12">
        <f>Baza!OL10</f>
        <v>0.61654883260000004</v>
      </c>
      <c r="C12">
        <f>Baza!OM10</f>
        <v>-0.35331249529999997</v>
      </c>
      <c r="D12">
        <f>Baza!ON10</f>
        <v>5.7567902540000002</v>
      </c>
      <c r="E12">
        <f>Baza!OO10</f>
        <v>4.7511999999999999</v>
      </c>
      <c r="F12">
        <f>Baza!OP10</f>
        <v>4.0406000000000004</v>
      </c>
      <c r="G12">
        <f>Baza!OQ10</f>
        <v>8.7918000000000003</v>
      </c>
      <c r="H12">
        <f>Baza!OR10</f>
        <v>0.45773728829999999</v>
      </c>
      <c r="I12" s="2">
        <f>Baza!OS10</f>
        <v>3.3402854580000003E-5</v>
      </c>
      <c r="J12">
        <f>Baza!OT10</f>
        <v>7.2105729430000005E-4</v>
      </c>
      <c r="K12" s="2">
        <f>Baza!OU10</f>
        <v>3.3402854580000003E-5</v>
      </c>
      <c r="L12">
        <f>Baza!OV10</f>
        <v>4.9321607000000003E-4</v>
      </c>
      <c r="M12">
        <f>Baza!OW10</f>
        <v>6.3355392999999999E-4</v>
      </c>
      <c r="N12">
        <f>Baza!OX10</f>
        <v>8.750336425E-5</v>
      </c>
      <c r="O12">
        <f>Baza!OY10</f>
        <v>1.2946344910000001</v>
      </c>
      <c r="P12">
        <f>Baza!OZ10</f>
        <v>0.66810971600000002</v>
      </c>
      <c r="Q12">
        <f>Baza!PA10</f>
        <v>0.87382518740000004</v>
      </c>
      <c r="R12">
        <f>Baza!PB10</f>
        <v>10.05077309</v>
      </c>
      <c r="S12">
        <f>Baza!PC10</f>
        <v>86.408614349999993</v>
      </c>
    </row>
    <row r="13" spans="1:19" x14ac:dyDescent="0.2">
      <c r="A13" s="1" t="s">
        <v>251</v>
      </c>
      <c r="B13">
        <f>Baza!OL11</f>
        <v>0.52907747279999995</v>
      </c>
      <c r="C13">
        <f>Baza!OM11</f>
        <v>-0.31722907280000001</v>
      </c>
      <c r="D13">
        <f>Baza!ON11</f>
        <v>6.9781232309999996</v>
      </c>
      <c r="E13">
        <f>Baza!OO11</f>
        <v>4.5234059999999996</v>
      </c>
      <c r="F13">
        <f>Baza!OP11</f>
        <v>3.5285229999999999</v>
      </c>
      <c r="G13">
        <f>Baza!OQ11</f>
        <v>8.0519289999999994</v>
      </c>
      <c r="H13">
        <f>Baza!OR11</f>
        <v>0.39078052610000003</v>
      </c>
      <c r="I13" s="2">
        <f>Baza!OS11</f>
        <v>2.856705886E-5</v>
      </c>
      <c r="J13">
        <f>Baza!OT11</f>
        <v>6.3597162679999996E-4</v>
      </c>
      <c r="K13" s="2">
        <f>Baza!OU11</f>
        <v>2.856705886E-5</v>
      </c>
      <c r="L13">
        <f>Baza!OV11</f>
        <v>4.1913077399999998E-4</v>
      </c>
      <c r="M13">
        <f>Baza!OW11</f>
        <v>5.6867122600000005E-4</v>
      </c>
      <c r="N13">
        <f>Baza!OX11</f>
        <v>6.7300400799999996E-5</v>
      </c>
      <c r="O13">
        <f>Baza!OY11</f>
        <v>1.1725009099999999</v>
      </c>
      <c r="P13">
        <f>Baza!OZ11</f>
        <v>0.57153918479999999</v>
      </c>
      <c r="Q13">
        <f>Baza!PA11</f>
        <v>0.74641061799999997</v>
      </c>
      <c r="R13">
        <f>Baza!PB11</f>
        <v>10.425574660000001</v>
      </c>
      <c r="S13">
        <f>Baza!PC11</f>
        <v>89.729383589999998</v>
      </c>
    </row>
    <row r="14" spans="1:19" x14ac:dyDescent="0.2">
      <c r="A14" s="1" t="s">
        <v>252</v>
      </c>
      <c r="B14">
        <f>Baza!OL12</f>
        <v>0.60699462790000003</v>
      </c>
      <c r="C14">
        <f>Baza!OM12</f>
        <v>0.36076594649999999</v>
      </c>
      <c r="D14">
        <f>Baza!ON12</f>
        <v>9.1247264910000006</v>
      </c>
      <c r="E14">
        <f>Baza!OO12</f>
        <v>6.7160599999999997</v>
      </c>
      <c r="F14">
        <f>Baza!OP12</f>
        <v>3.8788100000000001</v>
      </c>
      <c r="G14">
        <f>Baza!OQ12</f>
        <v>10.59487</v>
      </c>
      <c r="H14">
        <f>Baza!OR12</f>
        <v>0.44393072140000001</v>
      </c>
      <c r="I14" s="2">
        <f>Baza!OS12</f>
        <v>3.9057905169999998E-5</v>
      </c>
      <c r="J14">
        <f>Baza!OT12</f>
        <v>7.2477920390000001E-4</v>
      </c>
      <c r="K14" s="2">
        <f>Baza!OU12</f>
        <v>3.9057905169999998E-5</v>
      </c>
      <c r="L14">
        <f>Baza!OV12</f>
        <v>4.6697953930000002E-4</v>
      </c>
      <c r="M14">
        <f>Baza!OW12</f>
        <v>6.5473046070000003E-4</v>
      </c>
      <c r="N14">
        <f>Baza!OX12</f>
        <v>7.00487432E-5</v>
      </c>
      <c r="O14">
        <f>Baza!OY12</f>
        <v>1.3414719900000001</v>
      </c>
      <c r="P14">
        <f>Baza!OZ12</f>
        <v>0.7733890658</v>
      </c>
      <c r="Q14">
        <f>Baza!PA12</f>
        <v>0.77839404680000002</v>
      </c>
      <c r="R14">
        <f>Baza!PB12</f>
        <v>10.823022290000001</v>
      </c>
      <c r="S14">
        <f>Baza!PC12</f>
        <v>90.856542770000004</v>
      </c>
    </row>
    <row r="15" spans="1:19" x14ac:dyDescent="0.2">
      <c r="A15" s="1" t="s">
        <v>253</v>
      </c>
      <c r="B15">
        <f>Baza!OL13</f>
        <v>0.5769437717</v>
      </c>
      <c r="C15">
        <f>Baza!OM13</f>
        <v>-0.84621796179999997</v>
      </c>
      <c r="D15">
        <f>Baza!ON13</f>
        <v>6.2573858470000001</v>
      </c>
      <c r="E15">
        <f>Baza!OO13</f>
        <v>2.2745139999999999</v>
      </c>
      <c r="F15">
        <f>Baza!OP13</f>
        <v>3.9677820000000001</v>
      </c>
      <c r="G15">
        <f>Baza!OQ13</f>
        <v>6.2422959999999996</v>
      </c>
      <c r="H15">
        <f>Baza!OR13</f>
        <v>0.42577188529999999</v>
      </c>
      <c r="I15" s="2">
        <f>Baza!OS13</f>
        <v>2.676683991E-5</v>
      </c>
      <c r="J15">
        <f>Baza!OT13</f>
        <v>7.0047186529999998E-4</v>
      </c>
      <c r="K15" s="2">
        <f>Baza!OU13</f>
        <v>2.676683991E-5</v>
      </c>
      <c r="L15">
        <f>Baza!OV13</f>
        <v>4.3416620390000001E-4</v>
      </c>
      <c r="M15">
        <f>Baza!OW13</f>
        <v>6.1668779610000004E-4</v>
      </c>
      <c r="N15">
        <f>Baza!OX13</f>
        <v>8.3784069189999998E-5</v>
      </c>
      <c r="O15">
        <f>Baza!OY13</f>
        <v>1.2994557529999999</v>
      </c>
      <c r="P15">
        <f>Baza!OZ13</f>
        <v>0.53888306689999999</v>
      </c>
      <c r="Q15">
        <f>Baza!PA13</f>
        <v>1.035916203</v>
      </c>
      <c r="R15">
        <f>Baza!PB13</f>
        <v>10.218953640000001</v>
      </c>
      <c r="S15">
        <f>Baza!PC13</f>
        <v>90.637863609999997</v>
      </c>
    </row>
    <row r="16" spans="1:19" x14ac:dyDescent="0.2">
      <c r="A16" s="1" t="s">
        <v>254</v>
      </c>
      <c r="B16">
        <f>Baza!OL14</f>
        <v>0.70043758789999999</v>
      </c>
      <c r="C16">
        <f>Baza!OM14</f>
        <v>5.7285932519999996</v>
      </c>
      <c r="D16">
        <f>Baza!ON14</f>
        <v>133.62945809999999</v>
      </c>
      <c r="E16">
        <f>Baza!OO14</f>
        <v>19.365323</v>
      </c>
      <c r="F16">
        <f>Baza!OP14</f>
        <v>3.8209219999999999</v>
      </c>
      <c r="G16">
        <f>Baza!OQ14</f>
        <v>23.186245</v>
      </c>
      <c r="H16">
        <f>Baza!OR14</f>
        <v>0.41566215410000001</v>
      </c>
      <c r="I16" s="2">
        <f>Baza!OS14</f>
        <v>3.4522587739999999E-5</v>
      </c>
      <c r="J16">
        <f>Baza!OT14</f>
        <v>6.9518836389999999E-4</v>
      </c>
      <c r="K16" s="2">
        <f>Baza!OU14</f>
        <v>3.4522587739999999E-5</v>
      </c>
      <c r="L16">
        <f>Baza!OV14</f>
        <v>3.7695738169999998E-4</v>
      </c>
      <c r="M16">
        <f>Baza!OW14</f>
        <v>5.9474061830000003E-4</v>
      </c>
      <c r="N16">
        <f>Baza!OX14</f>
        <v>1.004477456E-4</v>
      </c>
      <c r="O16">
        <f>Baza!OY14</f>
        <v>1.0682958389999999</v>
      </c>
      <c r="P16">
        <f>Baza!OZ14</f>
        <v>0.70643753720000002</v>
      </c>
      <c r="Q16">
        <f>Baza!PA14</f>
        <v>1.2701612410000001</v>
      </c>
      <c r="R16">
        <f>Baza!PB14</f>
        <v>13.68695999</v>
      </c>
      <c r="S16">
        <f>Baza!PC14</f>
        <v>89.006883149999993</v>
      </c>
    </row>
    <row r="17" spans="1:19" x14ac:dyDescent="0.2">
      <c r="A17" s="1" t="s">
        <v>255</v>
      </c>
      <c r="B17">
        <f>Baza!OL15</f>
        <v>0.74885872840000001</v>
      </c>
      <c r="C17">
        <f>Baza!OM15</f>
        <v>7.2465494250000004</v>
      </c>
      <c r="D17">
        <f>Baza!ON15</f>
        <v>162.8925902</v>
      </c>
      <c r="E17">
        <f>Baza!OO15</f>
        <v>20.586822999999999</v>
      </c>
      <c r="F17">
        <f>Baza!OP15</f>
        <v>4.6757460000000002</v>
      </c>
      <c r="G17">
        <f>Baza!OQ15</f>
        <v>25.262568999999999</v>
      </c>
      <c r="H17">
        <f>Baza!OR15</f>
        <v>0.43395015580000001</v>
      </c>
      <c r="I17" s="2">
        <f>Baza!OS15</f>
        <v>4.0512488460000001E-5</v>
      </c>
      <c r="J17">
        <f>Baza!OT15</f>
        <v>6.8700659480000004E-4</v>
      </c>
      <c r="K17" s="2">
        <f>Baza!OU15</f>
        <v>4.0512488460000001E-5</v>
      </c>
      <c r="L17">
        <f>Baza!OV15</f>
        <v>4.2341749210000001E-4</v>
      </c>
      <c r="M17">
        <f>Baza!OW15</f>
        <v>5.9046050789999995E-4</v>
      </c>
      <c r="N17">
        <f>Baza!OX15</f>
        <v>9.6546086930000003E-5</v>
      </c>
      <c r="O17">
        <f>Baza!OY15</f>
        <v>1.135649482</v>
      </c>
      <c r="P17">
        <f>Baza!OZ15</f>
        <v>0.78139756270000005</v>
      </c>
      <c r="Q17">
        <f>Baza!PA15</f>
        <v>1.0680966110000001</v>
      </c>
      <c r="R17">
        <f>Baza!PB15</f>
        <v>11.98152769</v>
      </c>
      <c r="S17">
        <f>Baza!PC15</f>
        <v>87.269382890000003</v>
      </c>
    </row>
    <row r="18" spans="1:19" x14ac:dyDescent="0.2">
      <c r="A18" s="1" t="s">
        <v>256</v>
      </c>
      <c r="B18">
        <f>Baza!OL16</f>
        <v>0.60112940189999997</v>
      </c>
      <c r="C18">
        <f>Baza!OM16</f>
        <v>1.0848049259999999</v>
      </c>
      <c r="D18">
        <f>Baza!ON16</f>
        <v>40.05451935</v>
      </c>
      <c r="E18">
        <f>Baza!OO16</f>
        <v>14.800373</v>
      </c>
      <c r="F18">
        <f>Baza!OP16</f>
        <v>3.747976</v>
      </c>
      <c r="G18">
        <f>Baza!OQ16</f>
        <v>18.548349000000002</v>
      </c>
      <c r="H18">
        <f>Baza!OR16</f>
        <v>0.4014311183</v>
      </c>
      <c r="I18" s="2">
        <f>Baza!OS16</f>
        <v>2.5883214960000002E-5</v>
      </c>
      <c r="J18">
        <f>Baza!OT16</f>
        <v>6.8440593610000005E-4</v>
      </c>
      <c r="K18" s="2">
        <f>Baza!OU16</f>
        <v>2.5883214960000002E-5</v>
      </c>
      <c r="L18">
        <f>Baza!OV16</f>
        <v>3.7548459279999999E-4</v>
      </c>
      <c r="M18">
        <f>Baza!OW16</f>
        <v>5.8678740720000003E-4</v>
      </c>
      <c r="N18">
        <f>Baza!OX16</f>
        <v>9.7618528939999994E-5</v>
      </c>
      <c r="O18">
        <f>Baza!OY16</f>
        <v>1.079700101</v>
      </c>
      <c r="P18">
        <f>Baza!OZ16</f>
        <v>0.56632719440000001</v>
      </c>
      <c r="Q18">
        <f>Baza!PA16</f>
        <v>1.2631554270000001</v>
      </c>
      <c r="R18">
        <f>Baza!PB16</f>
        <v>13.16478294</v>
      </c>
      <c r="S18">
        <f>Baza!PC16</f>
        <v>89.398163400000001</v>
      </c>
    </row>
    <row r="19" spans="1:19" x14ac:dyDescent="0.2">
      <c r="A1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2" bestFit="1" customWidth="1"/>
    <col min="3" max="3" width="12.6640625" bestFit="1" customWidth="1"/>
    <col min="4" max="4" width="12" bestFit="1" customWidth="1"/>
    <col min="5" max="7" width="10" bestFit="1" customWidth="1"/>
    <col min="8" max="10" width="12" bestFit="1" customWidth="1"/>
    <col min="11" max="11" width="12.5" bestFit="1" customWidth="1"/>
    <col min="12" max="12" width="19.83203125" bestFit="1" customWidth="1"/>
    <col min="13" max="13" width="19.33203125" bestFit="1" customWidth="1"/>
    <col min="14" max="19" width="12" bestFit="1" customWidth="1"/>
  </cols>
  <sheetData>
    <row r="1" spans="1:19" x14ac:dyDescent="0.2">
      <c r="B1" t="str">
        <f>B4</f>
        <v>Sq</v>
      </c>
      <c r="C1" t="str">
        <f t="shared" ref="C1:S1" si="0">C4</f>
        <v>Ssk</v>
      </c>
      <c r="D1" t="str">
        <f t="shared" si="0"/>
        <v>Sku</v>
      </c>
      <c r="E1" t="str">
        <f t="shared" si="0"/>
        <v>Sp</v>
      </c>
      <c r="F1" t="str">
        <f t="shared" si="0"/>
        <v>Sv</v>
      </c>
      <c r="G1" t="str">
        <f t="shared" si="0"/>
        <v>Sz</v>
      </c>
      <c r="H1" t="str">
        <f t="shared" si="0"/>
        <v>Sa</v>
      </c>
      <c r="I1" t="str">
        <f t="shared" si="0"/>
        <v>Vm (p = 10%)</v>
      </c>
      <c r="J1" t="str">
        <f t="shared" si="0"/>
        <v>Vv (p = 10%)</v>
      </c>
      <c r="K1" t="str">
        <f t="shared" si="0"/>
        <v>Vmp (p = 10%)</v>
      </c>
      <c r="L1" t="str">
        <f t="shared" si="0"/>
        <v>Vmc (p = 10%, q = 80%)</v>
      </c>
      <c r="M1" t="str">
        <f t="shared" si="0"/>
        <v>Vvc (p = 10%, q = 80%)</v>
      </c>
      <c r="N1" t="str">
        <f t="shared" si="0"/>
        <v>Vvv (p = 80%)</v>
      </c>
      <c r="O1" t="str">
        <f t="shared" si="0"/>
        <v>Sk</v>
      </c>
      <c r="P1" t="str">
        <f t="shared" si="0"/>
        <v>Spk</v>
      </c>
      <c r="Q1" t="str">
        <f t="shared" si="0"/>
        <v>Svk</v>
      </c>
      <c r="R1" t="str">
        <f t="shared" si="0"/>
        <v>Smrk1</v>
      </c>
      <c r="S1" t="str">
        <f t="shared" si="0"/>
        <v>Smrk2</v>
      </c>
    </row>
    <row r="3" spans="1:19" x14ac:dyDescent="0.2">
      <c r="B3">
        <f>Baza!PD1</f>
        <v>71</v>
      </c>
      <c r="C3">
        <f>Baza!PE1</f>
        <v>71</v>
      </c>
      <c r="D3">
        <f>Baza!PF1</f>
        <v>71</v>
      </c>
      <c r="E3">
        <f>Baza!PG1</f>
        <v>71</v>
      </c>
      <c r="F3">
        <f>Baza!PH1</f>
        <v>71</v>
      </c>
      <c r="G3">
        <f>Baza!PI1</f>
        <v>71</v>
      </c>
      <c r="H3">
        <f>Baza!PJ1</f>
        <v>71</v>
      </c>
      <c r="I3">
        <f>Baza!PK1</f>
        <v>71</v>
      </c>
      <c r="J3">
        <f>Baza!PL1</f>
        <v>71</v>
      </c>
      <c r="K3">
        <f>Baza!PM1</f>
        <v>71</v>
      </c>
      <c r="L3">
        <f>Baza!PN1</f>
        <v>71</v>
      </c>
      <c r="M3">
        <f>Baza!PO1</f>
        <v>71</v>
      </c>
      <c r="N3">
        <f>Baza!PP1</f>
        <v>71</v>
      </c>
      <c r="O3">
        <f>Baza!PQ1</f>
        <v>71</v>
      </c>
      <c r="P3">
        <f>Baza!PR1</f>
        <v>71</v>
      </c>
      <c r="Q3">
        <f>Baza!PS1</f>
        <v>71</v>
      </c>
      <c r="R3">
        <f>Baza!PT1</f>
        <v>71</v>
      </c>
      <c r="S3">
        <f>Baza!PU1</f>
        <v>71</v>
      </c>
    </row>
    <row r="4" spans="1:19" x14ac:dyDescent="0.2">
      <c r="B4" t="str">
        <f>Baza!PD2</f>
        <v>Sq</v>
      </c>
      <c r="C4" t="str">
        <f>Baza!PE2</f>
        <v>Ssk</v>
      </c>
      <c r="D4" t="str">
        <f>Baza!PF2</f>
        <v>Sku</v>
      </c>
      <c r="E4" t="str">
        <f>Baza!PG2</f>
        <v>Sp</v>
      </c>
      <c r="F4" t="str">
        <f>Baza!PH2</f>
        <v>Sv</v>
      </c>
      <c r="G4" t="str">
        <f>Baza!PI2</f>
        <v>Sz</v>
      </c>
      <c r="H4" t="str">
        <f>Baza!PJ2</f>
        <v>Sa</v>
      </c>
      <c r="I4" t="str">
        <f>Baza!PK2</f>
        <v>Vm (p = 10%)</v>
      </c>
      <c r="J4" t="str">
        <f>Baza!PL2</f>
        <v>Vv (p = 10%)</v>
      </c>
      <c r="K4" t="str">
        <f>Baza!PM2</f>
        <v>Vmp (p = 10%)</v>
      </c>
      <c r="L4" t="str">
        <f>Baza!PN2</f>
        <v>Vmc (p = 10%, q = 80%)</v>
      </c>
      <c r="M4" t="str">
        <f>Baza!PO2</f>
        <v>Vvc (p = 10%, q = 80%)</v>
      </c>
      <c r="N4" t="str">
        <f>Baza!PP2</f>
        <v>Vvv (p = 80%)</v>
      </c>
      <c r="O4" t="str">
        <f>Baza!PQ2</f>
        <v>Sk</v>
      </c>
      <c r="P4" t="str">
        <f>Baza!PR2</f>
        <v>Spk</v>
      </c>
      <c r="Q4" t="str">
        <f>Baza!PS2</f>
        <v>Svk</v>
      </c>
      <c r="R4" t="str">
        <f>Baza!PT2</f>
        <v>Smrk1</v>
      </c>
      <c r="S4" t="str">
        <f>Baza!PU2</f>
        <v>Smrk2</v>
      </c>
    </row>
    <row r="5" spans="1:19" x14ac:dyDescent="0.2">
      <c r="B5" t="str">
        <f>Baza!PD3</f>
        <v>µm</v>
      </c>
      <c r="C5" t="str">
        <f>Baza!PE3</f>
        <v>&lt;no unit&gt;</v>
      </c>
      <c r="D5" t="str">
        <f>Baza!PF3</f>
        <v>&lt;no unit&gt;</v>
      </c>
      <c r="E5" t="str">
        <f>Baza!PG3</f>
        <v>µm</v>
      </c>
      <c r="F5" t="str">
        <f>Baza!PH3</f>
        <v>µm</v>
      </c>
      <c r="G5" t="str">
        <f>Baza!PI3</f>
        <v>µm</v>
      </c>
      <c r="H5" t="str">
        <f>Baza!PJ3</f>
        <v>µm</v>
      </c>
      <c r="I5" t="str">
        <f>Baza!PK3</f>
        <v>mm³/mm²</v>
      </c>
      <c r="J5" t="str">
        <f>Baza!PL3</f>
        <v>mm³/mm²</v>
      </c>
      <c r="K5" t="str">
        <f>Baza!PM3</f>
        <v>mm³/mm²</v>
      </c>
      <c r="L5" t="str">
        <f>Baza!PN3</f>
        <v>mm³/mm²</v>
      </c>
      <c r="M5" t="str">
        <f>Baza!PO3</f>
        <v>mm³/mm²</v>
      </c>
      <c r="N5" t="str">
        <f>Baza!PP3</f>
        <v>mm³/mm²</v>
      </c>
      <c r="O5" t="str">
        <f>Baza!PQ3</f>
        <v>µm</v>
      </c>
      <c r="P5" t="str">
        <f>Baza!PR3</f>
        <v>µm</v>
      </c>
      <c r="Q5" t="str">
        <f>Baza!PS3</f>
        <v>µm</v>
      </c>
      <c r="R5" t="str">
        <f>Baza!PT3</f>
        <v>%</v>
      </c>
      <c r="S5" t="str">
        <f>Baza!PU3</f>
        <v>%</v>
      </c>
    </row>
    <row r="6" spans="1:19" x14ac:dyDescent="0.2">
      <c r="A6" s="1" t="s">
        <v>244</v>
      </c>
      <c r="B6">
        <f>Baza!PD4</f>
        <v>0.56649581920000003</v>
      </c>
      <c r="C6">
        <f>Baza!PE4</f>
        <v>-0.6653818668</v>
      </c>
      <c r="D6">
        <f>Baza!PF4</f>
        <v>4.4666991200000004</v>
      </c>
      <c r="E6">
        <f>Baza!PG4</f>
        <v>1.7803599999999999</v>
      </c>
      <c r="F6">
        <f>Baza!PH4</f>
        <v>2.75095</v>
      </c>
      <c r="G6">
        <f>Baza!PI4</f>
        <v>4.5313100000000004</v>
      </c>
      <c r="H6">
        <f>Baza!PJ4</f>
        <v>0.42318300539999998</v>
      </c>
      <c r="I6" s="2">
        <f>Baza!PK4</f>
        <v>2.4577220309999998E-5</v>
      </c>
      <c r="J6">
        <f>Baza!PL4</f>
        <v>7.0183445070000003E-4</v>
      </c>
      <c r="K6" s="2">
        <f>Baza!PM4</f>
        <v>2.4577220309999998E-5</v>
      </c>
      <c r="L6">
        <f>Baza!PN4</f>
        <v>4.3631271500000002E-4</v>
      </c>
      <c r="M6">
        <f>Baza!PO4</f>
        <v>6.12897285E-4</v>
      </c>
      <c r="N6">
        <f>Baza!PP4</f>
        <v>8.8937165709999995E-5</v>
      </c>
      <c r="O6">
        <f>Baza!PQ4</f>
        <v>1.2128903360000001</v>
      </c>
      <c r="P6">
        <f>Baza!PR4</f>
        <v>0.51423969550000004</v>
      </c>
      <c r="Q6">
        <f>Baza!PS4</f>
        <v>0.96661154589999998</v>
      </c>
      <c r="R6">
        <f>Baza!PT4</f>
        <v>11.408788270000001</v>
      </c>
      <c r="S6">
        <f>Baza!PU4</f>
        <v>88.22798693</v>
      </c>
    </row>
    <row r="7" spans="1:19" x14ac:dyDescent="0.2">
      <c r="A7" s="1" t="s">
        <v>245</v>
      </c>
      <c r="B7">
        <f>Baza!PD5</f>
        <v>0.64885523499999997</v>
      </c>
      <c r="C7">
        <f>Baza!PE5</f>
        <v>-0.71511112369999996</v>
      </c>
      <c r="D7">
        <f>Baza!PF5</f>
        <v>4.2912407479999999</v>
      </c>
      <c r="E7">
        <f>Baza!PG5</f>
        <v>1.9238299999999999</v>
      </c>
      <c r="F7">
        <f>Baza!PH5</f>
        <v>3.10927</v>
      </c>
      <c r="G7">
        <f>Baza!PI5</f>
        <v>5.0331000000000001</v>
      </c>
      <c r="H7">
        <f>Baza!PJ5</f>
        <v>0.49076165649999998</v>
      </c>
      <c r="I7" s="2">
        <f>Baza!PK5</f>
        <v>2.4416888930000001E-5</v>
      </c>
      <c r="J7">
        <f>Baza!PL5</f>
        <v>8.0285361880000003E-4</v>
      </c>
      <c r="K7" s="2">
        <f>Baza!PM5</f>
        <v>2.4416888930000001E-5</v>
      </c>
      <c r="L7">
        <f>Baza!PN5</f>
        <v>5.1811785389999998E-4</v>
      </c>
      <c r="M7">
        <f>Baza!PO5</f>
        <v>7.0055214609999995E-4</v>
      </c>
      <c r="N7">
        <f>Baza!PP5</f>
        <v>1.023014727E-4</v>
      </c>
      <c r="O7">
        <f>Baza!PQ5</f>
        <v>1.4356174900000001</v>
      </c>
      <c r="P7">
        <f>Baza!PR5</f>
        <v>0.49866374260000002</v>
      </c>
      <c r="Q7">
        <f>Baza!PS5</f>
        <v>1.0739352090000001</v>
      </c>
      <c r="R7">
        <f>Baza!PT5</f>
        <v>10.559707769999999</v>
      </c>
      <c r="S7">
        <f>Baza!PU5</f>
        <v>87.825505250000006</v>
      </c>
    </row>
    <row r="8" spans="1:19" x14ac:dyDescent="0.2">
      <c r="A8" s="1" t="s">
        <v>246</v>
      </c>
      <c r="B8">
        <f>Baza!PD6</f>
        <v>0.7252912735</v>
      </c>
      <c r="C8">
        <f>Baza!PE6</f>
        <v>-0.65687493850000001</v>
      </c>
      <c r="D8">
        <f>Baza!PF6</f>
        <v>4.1645479740000004</v>
      </c>
      <c r="E8">
        <f>Baza!PG6</f>
        <v>2.2519800000000001</v>
      </c>
      <c r="F8">
        <f>Baza!PH6</f>
        <v>3.4337499999999999</v>
      </c>
      <c r="G8">
        <f>Baza!PI6</f>
        <v>5.6857300000000004</v>
      </c>
      <c r="H8">
        <f>Baza!PJ6</f>
        <v>0.55039572140000004</v>
      </c>
      <c r="I8" s="2">
        <f>Baza!PK6</f>
        <v>2.8247654040000001E-5</v>
      </c>
      <c r="J8">
        <f>Baza!PL6</f>
        <v>9.0096963909999997E-4</v>
      </c>
      <c r="K8" s="2">
        <f>Baza!PM6</f>
        <v>2.8247654040000001E-5</v>
      </c>
      <c r="L8">
        <f>Baza!PN6</f>
        <v>5.8126771040000001E-4</v>
      </c>
      <c r="M8">
        <f>Baza!PO6</f>
        <v>7.8808228959999997E-4</v>
      </c>
      <c r="N8">
        <f>Baza!PP6</f>
        <v>1.128873495E-4</v>
      </c>
      <c r="O8">
        <f>Baza!PQ6</f>
        <v>1.620542626</v>
      </c>
      <c r="P8">
        <f>Baza!PR6</f>
        <v>0.5748190715</v>
      </c>
      <c r="Q8">
        <f>Baza!PS6</f>
        <v>1.168906805</v>
      </c>
      <c r="R8">
        <f>Baza!PT6</f>
        <v>10.52351814</v>
      </c>
      <c r="S8">
        <f>Baza!PU6</f>
        <v>87.917705929999997</v>
      </c>
    </row>
    <row r="9" spans="1:19" x14ac:dyDescent="0.2">
      <c r="A9" s="1" t="s">
        <v>247</v>
      </c>
      <c r="B9">
        <f>Baza!PD7</f>
        <v>0.61858500900000002</v>
      </c>
      <c r="C9">
        <f>Baza!PE7</f>
        <v>-0.62325475279999998</v>
      </c>
      <c r="D9">
        <f>Baza!PF7</f>
        <v>4.3253058370000002</v>
      </c>
      <c r="E9">
        <f>Baza!PG7</f>
        <v>2.17957</v>
      </c>
      <c r="F9">
        <f>Baza!PH7</f>
        <v>2.9440900000000001</v>
      </c>
      <c r="G9">
        <f>Baza!PI7</f>
        <v>5.1236600000000001</v>
      </c>
      <c r="H9">
        <f>Baza!PJ7</f>
        <v>0.4636490962</v>
      </c>
      <c r="I9" s="2">
        <f>Baza!PK7</f>
        <v>2.680814719E-5</v>
      </c>
      <c r="J9">
        <f>Baza!PL7</f>
        <v>7.6614459949999995E-4</v>
      </c>
      <c r="K9" s="2">
        <f>Baza!PM7</f>
        <v>2.680814719E-5</v>
      </c>
      <c r="L9">
        <f>Baza!PN7</f>
        <v>4.7961453440000001E-4</v>
      </c>
      <c r="M9">
        <f>Baza!PO7</f>
        <v>6.6893546560000002E-4</v>
      </c>
      <c r="N9">
        <f>Baza!PP7</f>
        <v>9.7209133889999996E-5</v>
      </c>
      <c r="O9">
        <f>Baza!PQ7</f>
        <v>1.329917024</v>
      </c>
      <c r="P9">
        <f>Baza!PR7</f>
        <v>0.55686412230000004</v>
      </c>
      <c r="Q9">
        <f>Baza!PS7</f>
        <v>1.0294626389999999</v>
      </c>
      <c r="R9">
        <f>Baza!PT7</f>
        <v>11.34914259</v>
      </c>
      <c r="S9">
        <f>Baza!PU7</f>
        <v>87.957868840000003</v>
      </c>
    </row>
    <row r="10" spans="1:19" x14ac:dyDescent="0.2">
      <c r="A10" s="1" t="s">
        <v>248</v>
      </c>
      <c r="B10">
        <f>Baza!PD8</f>
        <v>0.72248335289999999</v>
      </c>
      <c r="C10">
        <f>Baza!PE8</f>
        <v>-0.79281917580000005</v>
      </c>
      <c r="D10">
        <f>Baza!PF8</f>
        <v>4.4086892520000003</v>
      </c>
      <c r="E10">
        <f>Baza!PG8</f>
        <v>2.1743700000000001</v>
      </c>
      <c r="F10">
        <f>Baza!PH8</f>
        <v>3.5293299999999999</v>
      </c>
      <c r="G10">
        <f>Baza!PI8</f>
        <v>5.7037000000000004</v>
      </c>
      <c r="H10">
        <f>Baza!PJ8</f>
        <v>0.54415606780000003</v>
      </c>
      <c r="I10" s="2">
        <f>Baza!PK8</f>
        <v>2.5990024880000001E-5</v>
      </c>
      <c r="J10">
        <f>Baza!PL8</f>
        <v>8.8056666870000005E-4</v>
      </c>
      <c r="K10" s="2">
        <f>Baza!PM8</f>
        <v>2.5990024880000001E-5</v>
      </c>
      <c r="L10">
        <f>Baza!PN8</f>
        <v>5.7092610239999997E-4</v>
      </c>
      <c r="M10">
        <f>Baza!PO8</f>
        <v>7.6225389760000003E-4</v>
      </c>
      <c r="N10">
        <f>Baza!PP8</f>
        <v>1.1831277119999999E-4</v>
      </c>
      <c r="O10">
        <f>Baza!PQ8</f>
        <v>1.574374001</v>
      </c>
      <c r="P10">
        <f>Baza!PR8</f>
        <v>0.52630456349999999</v>
      </c>
      <c r="Q10">
        <f>Baza!PS8</f>
        <v>1.2296497049999999</v>
      </c>
      <c r="R10">
        <f>Baza!PT8</f>
        <v>10.3442162</v>
      </c>
      <c r="S10">
        <f>Baza!PU8</f>
        <v>87.329196679999995</v>
      </c>
    </row>
    <row r="11" spans="1:19" x14ac:dyDescent="0.2">
      <c r="A11" s="1" t="s">
        <v>249</v>
      </c>
      <c r="B11">
        <f>Baza!PD9</f>
        <v>0.81101680990000002</v>
      </c>
      <c r="C11">
        <f>Baza!PE9</f>
        <v>-0.76741039529999999</v>
      </c>
      <c r="D11">
        <f>Baza!PF9</f>
        <v>4.3838684920000004</v>
      </c>
      <c r="E11">
        <f>Baza!PG9</f>
        <v>2.42388</v>
      </c>
      <c r="F11">
        <f>Baza!PH9</f>
        <v>3.9249399999999999</v>
      </c>
      <c r="G11">
        <f>Baza!PI9</f>
        <v>6.3488199999999999</v>
      </c>
      <c r="H11">
        <f>Baza!PJ9</f>
        <v>0.61075907780000005</v>
      </c>
      <c r="I11" s="2">
        <f>Baza!PK9</f>
        <v>3.0354787710000002E-5</v>
      </c>
      <c r="J11">
        <f>Baza!PL9</f>
        <v>9.8698498699999995E-4</v>
      </c>
      <c r="K11" s="2">
        <f>Baza!PM9</f>
        <v>3.0354787710000002E-5</v>
      </c>
      <c r="L11">
        <f>Baza!PN9</f>
        <v>6.3961074070000002E-4</v>
      </c>
      <c r="M11">
        <f>Baza!PO9</f>
        <v>8.545492593E-4</v>
      </c>
      <c r="N11">
        <f>Baza!PP9</f>
        <v>1.3243572770000001E-4</v>
      </c>
      <c r="O11">
        <f>Baza!PQ9</f>
        <v>1.765425247</v>
      </c>
      <c r="P11">
        <f>Baza!PR9</f>
        <v>0.6134928757</v>
      </c>
      <c r="Q11">
        <f>Baza!PS9</f>
        <v>1.362656189</v>
      </c>
      <c r="R11">
        <f>Baza!PT9</f>
        <v>10.349046019999999</v>
      </c>
      <c r="S11">
        <f>Baza!PU9</f>
        <v>87.258494780000007</v>
      </c>
    </row>
    <row r="12" spans="1:19" x14ac:dyDescent="0.2">
      <c r="A12" s="1" t="s">
        <v>250</v>
      </c>
      <c r="B12">
        <f>Baza!PD10</f>
        <v>0.59235791920000003</v>
      </c>
      <c r="C12">
        <f>Baza!PE10</f>
        <v>-0.4155761597</v>
      </c>
      <c r="D12">
        <f>Baza!PF10</f>
        <v>4.1069341599999998</v>
      </c>
      <c r="E12">
        <f>Baza!PG10</f>
        <v>2.5712700000000002</v>
      </c>
      <c r="F12">
        <f>Baza!PH10</f>
        <v>2.8930099999999999</v>
      </c>
      <c r="G12">
        <f>Baza!PI10</f>
        <v>5.4642799999999996</v>
      </c>
      <c r="H12">
        <f>Baza!PJ10</f>
        <v>0.45076642420000002</v>
      </c>
      <c r="I12" s="2">
        <f>Baza!PK10</f>
        <v>2.977939871E-5</v>
      </c>
      <c r="J12">
        <f>Baza!PL10</f>
        <v>7.17117426E-4</v>
      </c>
      <c r="K12" s="2">
        <f>Baza!PM10</f>
        <v>2.977939871E-5</v>
      </c>
      <c r="L12">
        <f>Baza!PN10</f>
        <v>4.9279759940000002E-4</v>
      </c>
      <c r="M12">
        <f>Baza!PO10</f>
        <v>6.326424006E-4</v>
      </c>
      <c r="N12">
        <f>Baza!PP10</f>
        <v>8.4475025390000005E-5</v>
      </c>
      <c r="O12">
        <f>Baza!PQ10</f>
        <v>1.2929992349999999</v>
      </c>
      <c r="P12">
        <f>Baza!PR10</f>
        <v>0.59637904750000004</v>
      </c>
      <c r="Q12">
        <f>Baza!PS10</f>
        <v>0.83014949490000001</v>
      </c>
      <c r="R12">
        <f>Baza!PT10</f>
        <v>10.03706953</v>
      </c>
      <c r="S12">
        <f>Baza!PU10</f>
        <v>86.412187860000003</v>
      </c>
    </row>
    <row r="13" spans="1:19" x14ac:dyDescent="0.2">
      <c r="A13" s="1" t="s">
        <v>251</v>
      </c>
      <c r="B13">
        <f>Baza!PD11</f>
        <v>0.5009493478</v>
      </c>
      <c r="C13">
        <f>Baza!PE11</f>
        <v>-0.34926928569999999</v>
      </c>
      <c r="D13">
        <f>Baza!PF11</f>
        <v>4.2283099909999997</v>
      </c>
      <c r="E13">
        <f>Baza!PG11</f>
        <v>1.9037999999999999</v>
      </c>
      <c r="F13">
        <f>Baza!PH11</f>
        <v>2.3494350000000002</v>
      </c>
      <c r="G13">
        <f>Baza!PI11</f>
        <v>4.2532350000000001</v>
      </c>
      <c r="H13">
        <f>Baza!PJ11</f>
        <v>0.38320073729999998</v>
      </c>
      <c r="I13" s="2">
        <f>Baza!PK11</f>
        <v>2.4954161419999998E-5</v>
      </c>
      <c r="J13">
        <f>Baza!PL11</f>
        <v>6.3125779379999999E-4</v>
      </c>
      <c r="K13" s="2">
        <f>Baza!PM11</f>
        <v>2.4954161419999998E-5</v>
      </c>
      <c r="L13">
        <f>Baza!PN11</f>
        <v>4.1833476999999998E-4</v>
      </c>
      <c r="M13">
        <f>Baza!PO11</f>
        <v>5.6732723000000001E-4</v>
      </c>
      <c r="N13">
        <f>Baza!PP11</f>
        <v>6.3930563809999996E-5</v>
      </c>
      <c r="O13">
        <f>Baza!PQ11</f>
        <v>1.1698656220000001</v>
      </c>
      <c r="P13">
        <f>Baza!PR11</f>
        <v>0.50189485550000001</v>
      </c>
      <c r="Q13">
        <f>Baza!PS11</f>
        <v>0.6816448946</v>
      </c>
      <c r="R13">
        <f>Baza!PT11</f>
        <v>10.429974440000001</v>
      </c>
      <c r="S13">
        <f>Baza!PU11</f>
        <v>89.727358229999993</v>
      </c>
    </row>
    <row r="14" spans="1:19" x14ac:dyDescent="0.2">
      <c r="A14" s="1" t="s">
        <v>252</v>
      </c>
      <c r="B14">
        <f>Baza!PD12</f>
        <v>0.56505120340000003</v>
      </c>
      <c r="C14">
        <f>Baza!PE12</f>
        <v>-1.6684156330000002E-2</v>
      </c>
      <c r="D14">
        <f>Baza!PF12</f>
        <v>4.0826573990000004</v>
      </c>
      <c r="E14">
        <f>Baza!PG12</f>
        <v>2.5363799999999999</v>
      </c>
      <c r="F14">
        <f>Baza!PH12</f>
        <v>2.60073</v>
      </c>
      <c r="G14">
        <f>Baza!PI12</f>
        <v>5.1371099999999998</v>
      </c>
      <c r="H14">
        <f>Baza!PJ12</f>
        <v>0.43360074920000002</v>
      </c>
      <c r="I14" s="2">
        <f>Baza!PK12</f>
        <v>3.3048683400000001E-5</v>
      </c>
      <c r="J14">
        <f>Baza!PL12</f>
        <v>7.1998035120000002E-4</v>
      </c>
      <c r="K14" s="2">
        <f>Baza!PM12</f>
        <v>3.3048683400000001E-5</v>
      </c>
      <c r="L14">
        <f>Baza!PN12</f>
        <v>4.6639933450000001E-4</v>
      </c>
      <c r="M14">
        <f>Baza!PO12</f>
        <v>6.5380066550000001E-4</v>
      </c>
      <c r="N14">
        <f>Baza!PP12</f>
        <v>6.6179685710000003E-5</v>
      </c>
      <c r="O14">
        <f>Baza!PQ12</f>
        <v>1.3391293179999999</v>
      </c>
      <c r="P14">
        <f>Baza!PR12</f>
        <v>0.66231365909999995</v>
      </c>
      <c r="Q14">
        <f>Baza!PS12</f>
        <v>0.69431181689999999</v>
      </c>
      <c r="R14">
        <f>Baza!PT12</f>
        <v>10.832138110000001</v>
      </c>
      <c r="S14">
        <f>Baza!PU12</f>
        <v>90.851892489999997</v>
      </c>
    </row>
    <row r="15" spans="1:19" x14ac:dyDescent="0.2">
      <c r="A15" s="1" t="s">
        <v>253</v>
      </c>
      <c r="B15">
        <f>Baza!PD13</f>
        <v>0.54495651940000001</v>
      </c>
      <c r="C15">
        <f>Baza!PE13</f>
        <v>-0.56345317250000004</v>
      </c>
      <c r="D15">
        <f>Baza!PF13</f>
        <v>4.5084482570000004</v>
      </c>
      <c r="E15">
        <f>Baza!PG13</f>
        <v>1.7188380000000001</v>
      </c>
      <c r="F15">
        <f>Baza!PH13</f>
        <v>2.7744390000000001</v>
      </c>
      <c r="G15">
        <f>Baza!PI13</f>
        <v>4.493277</v>
      </c>
      <c r="H15">
        <f>Baza!PJ13</f>
        <v>0.41420572259999999</v>
      </c>
      <c r="I15" s="2">
        <f>Baza!PK13</f>
        <v>2.4447674840000001E-5</v>
      </c>
      <c r="J15">
        <f>Baza!PL13</f>
        <v>6.8649464920000002E-4</v>
      </c>
      <c r="K15" s="2">
        <f>Baza!PM13</f>
        <v>2.4447674840000001E-5</v>
      </c>
      <c r="L15">
        <f>Baza!PN13</f>
        <v>4.313802508E-4</v>
      </c>
      <c r="M15">
        <f>Baza!PO13</f>
        <v>6.0975774920000005E-4</v>
      </c>
      <c r="N15">
        <f>Baza!PP13</f>
        <v>7.6736899979999994E-5</v>
      </c>
      <c r="O15">
        <f>Baza!PQ13</f>
        <v>1.2953678820000001</v>
      </c>
      <c r="P15">
        <f>Baza!PR13</f>
        <v>0.48996558750000002</v>
      </c>
      <c r="Q15">
        <f>Baza!PS13</f>
        <v>0.8973786614</v>
      </c>
      <c r="R15">
        <f>Baza!PT13</f>
        <v>10.05272048</v>
      </c>
      <c r="S15">
        <f>Baza!PU13</f>
        <v>90.733675880000007</v>
      </c>
    </row>
    <row r="16" spans="1:19" x14ac:dyDescent="0.2">
      <c r="A16" s="1" t="s">
        <v>254</v>
      </c>
      <c r="B16">
        <f>Baza!PD14</f>
        <v>0.53770370000000001</v>
      </c>
      <c r="C16">
        <f>Baza!PE14</f>
        <v>-0.92872200429999996</v>
      </c>
      <c r="D16">
        <f>Baza!PF14</f>
        <v>5.2873282049999997</v>
      </c>
      <c r="E16">
        <f>Baza!PG14</f>
        <v>1.564082</v>
      </c>
      <c r="F16">
        <f>Baza!PH14</f>
        <v>2.8129759999999999</v>
      </c>
      <c r="G16">
        <f>Baza!PI14</f>
        <v>4.3770579999999999</v>
      </c>
      <c r="H16">
        <f>Baza!PJ14</f>
        <v>0.3886776649</v>
      </c>
      <c r="I16" s="2">
        <f>Baza!PK14</f>
        <v>2.004207871E-5</v>
      </c>
      <c r="J16">
        <f>Baza!PL14</f>
        <v>6.7373635560000005E-4</v>
      </c>
      <c r="K16" s="2">
        <f>Baza!PM14</f>
        <v>2.004207871E-5</v>
      </c>
      <c r="L16">
        <f>Baza!PN14</f>
        <v>3.6973688440000002E-4</v>
      </c>
      <c r="M16">
        <f>Baza!PO14</f>
        <v>5.8089911560000001E-4</v>
      </c>
      <c r="N16">
        <f>Baza!PP14</f>
        <v>9.2837240020000002E-5</v>
      </c>
      <c r="O16">
        <f>Baza!PQ14</f>
        <v>1.042573016</v>
      </c>
      <c r="P16">
        <f>Baza!PR14</f>
        <v>0.48958631609999997</v>
      </c>
      <c r="Q16">
        <f>Baza!PS14</f>
        <v>1.176169389</v>
      </c>
      <c r="R16">
        <f>Baza!PT14</f>
        <v>13.77767542</v>
      </c>
      <c r="S16">
        <f>Baza!PU14</f>
        <v>89.225122029999994</v>
      </c>
    </row>
    <row r="17" spans="1:19" x14ac:dyDescent="0.2">
      <c r="A17" s="1" t="s">
        <v>255</v>
      </c>
      <c r="B17">
        <f>Baza!PD15</f>
        <v>0.55105283770000002</v>
      </c>
      <c r="C17">
        <f>Baza!PE15</f>
        <v>-0.77806639440000003</v>
      </c>
      <c r="D17">
        <f>Baza!PF15</f>
        <v>4.740758037</v>
      </c>
      <c r="E17">
        <f>Baza!PG15</f>
        <v>1.658315</v>
      </c>
      <c r="F17">
        <f>Baza!PH15</f>
        <v>2.70166</v>
      </c>
      <c r="G17">
        <f>Baza!PI15</f>
        <v>4.3599750000000004</v>
      </c>
      <c r="H17">
        <f>Baza!PJ15</f>
        <v>0.40694815870000001</v>
      </c>
      <c r="I17" s="2">
        <f>Baza!PK15</f>
        <v>2.2998690300000001E-5</v>
      </c>
      <c r="J17">
        <f>Baza!PL15</f>
        <v>6.7224515320000002E-4</v>
      </c>
      <c r="K17" s="2">
        <f>Baza!PM15</f>
        <v>2.2998690300000001E-5</v>
      </c>
      <c r="L17">
        <f>Baza!PN15</f>
        <v>4.181125361E-4</v>
      </c>
      <c r="M17">
        <f>Baza!PO15</f>
        <v>5.8224646390000003E-4</v>
      </c>
      <c r="N17">
        <f>Baza!PP15</f>
        <v>8.9998689360000007E-5</v>
      </c>
      <c r="O17">
        <f>Baza!PQ15</f>
        <v>1.124588777</v>
      </c>
      <c r="P17">
        <f>Baza!PR15</f>
        <v>0.48544024889999998</v>
      </c>
      <c r="Q17">
        <f>Baza!PS15</f>
        <v>0.97698649270000004</v>
      </c>
      <c r="R17">
        <f>Baza!PT15</f>
        <v>11.90443415</v>
      </c>
      <c r="S17">
        <f>Baza!PU15</f>
        <v>87.390354029999997</v>
      </c>
    </row>
    <row r="18" spans="1:19" x14ac:dyDescent="0.2">
      <c r="A18" s="1" t="s">
        <v>256</v>
      </c>
      <c r="B18">
        <f>Baza!PD16</f>
        <v>0.53219482659999995</v>
      </c>
      <c r="C18">
        <f>Baza!PE16</f>
        <v>-0.93976851429999997</v>
      </c>
      <c r="D18">
        <f>Baza!PF16</f>
        <v>5.2804083220000004</v>
      </c>
      <c r="E18">
        <f>Baza!PG16</f>
        <v>1.5243139999999999</v>
      </c>
      <c r="F18">
        <f>Baza!PH16</f>
        <v>2.7625479999999998</v>
      </c>
      <c r="G18">
        <f>Baza!PI16</f>
        <v>4.2868620000000002</v>
      </c>
      <c r="H18">
        <f>Baza!PJ16</f>
        <v>0.3853072548</v>
      </c>
      <c r="I18" s="2">
        <f>Baza!PK16</f>
        <v>1.9314553529999999E-5</v>
      </c>
      <c r="J18">
        <f>Baza!PL16</f>
        <v>6.6779101349999999E-4</v>
      </c>
      <c r="K18" s="2">
        <f>Baza!PM16</f>
        <v>1.9314553529999999E-5</v>
      </c>
      <c r="L18">
        <f>Baza!PN16</f>
        <v>3.708220161E-4</v>
      </c>
      <c r="M18">
        <f>Baza!PO16</f>
        <v>5.7622398390000005E-4</v>
      </c>
      <c r="N18">
        <f>Baza!PP16</f>
        <v>9.1567029620000001E-5</v>
      </c>
      <c r="O18">
        <f>Baza!PQ16</f>
        <v>1.0607739039999999</v>
      </c>
      <c r="P18">
        <f>Baza!PR16</f>
        <v>0.46239866810000002</v>
      </c>
      <c r="Q18">
        <f>Baza!PS16</f>
        <v>1.164027017</v>
      </c>
      <c r="R18">
        <f>Baza!PT16</f>
        <v>13.15298552</v>
      </c>
      <c r="S18">
        <f>Baza!PU16</f>
        <v>89.390126249999994</v>
      </c>
    </row>
    <row r="19" spans="1:19" x14ac:dyDescent="0.2">
      <c r="A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9"/>
  <sheetViews>
    <sheetView workbookViewId="0">
      <selection activeCell="B6" sqref="B6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5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5" x14ac:dyDescent="0.2">
      <c r="C2">
        <v>4</v>
      </c>
      <c r="D2">
        <f>C2+4</f>
        <v>8</v>
      </c>
      <c r="E2">
        <f t="shared" ref="E2:O2" si="1">D2+4</f>
        <v>12</v>
      </c>
      <c r="F2">
        <f t="shared" si="1"/>
        <v>16</v>
      </c>
      <c r="G2">
        <f t="shared" si="1"/>
        <v>20</v>
      </c>
      <c r="H2">
        <f t="shared" si="1"/>
        <v>24</v>
      </c>
      <c r="I2">
        <f t="shared" si="1"/>
        <v>28</v>
      </c>
      <c r="J2">
        <f t="shared" si="1"/>
        <v>32</v>
      </c>
      <c r="K2">
        <f t="shared" si="1"/>
        <v>36</v>
      </c>
      <c r="L2">
        <f t="shared" si="1"/>
        <v>40</v>
      </c>
      <c r="M2">
        <f t="shared" si="1"/>
        <v>44</v>
      </c>
      <c r="N2">
        <f t="shared" si="1"/>
        <v>48</v>
      </c>
      <c r="O2">
        <f t="shared" si="1"/>
        <v>52</v>
      </c>
    </row>
    <row r="3" spans="1:15" x14ac:dyDescent="0.2">
      <c r="B3">
        <f>Baza!R1</f>
        <v>40</v>
      </c>
      <c r="C3">
        <f ca="1">OFFSET(Baza!$R1,0,C$2)</f>
        <v>40</v>
      </c>
      <c r="D3">
        <f ca="1">OFFSET(Baza!$R1,0,D$2)</f>
        <v>40</v>
      </c>
      <c r="E3">
        <f ca="1">OFFSET(Baza!$R1,0,E$2)</f>
        <v>40</v>
      </c>
      <c r="F3">
        <f ca="1">OFFSET(Baza!$R1,0,F$2)</f>
        <v>40</v>
      </c>
      <c r="G3">
        <f ca="1">OFFSET(Baza!$R1,0,G$2)</f>
        <v>40</v>
      </c>
      <c r="H3">
        <f ca="1">OFFSET(Baza!$R1,0,H$2)</f>
        <v>40</v>
      </c>
      <c r="I3">
        <f ca="1">OFFSET(Baza!$R1,0,I$2)</f>
        <v>40</v>
      </c>
      <c r="J3">
        <f ca="1">OFFSET(Baza!$R1,0,J$2)</f>
        <v>40</v>
      </c>
      <c r="K3">
        <f ca="1">OFFSET(Baza!$R1,0,K$2)</f>
        <v>40</v>
      </c>
      <c r="L3">
        <f ca="1">OFFSET(Baza!$R1,0,L$2)</f>
        <v>40</v>
      </c>
      <c r="M3">
        <f ca="1">OFFSET(Baza!$R1,0,M$2)</f>
        <v>40</v>
      </c>
      <c r="N3">
        <f ca="1">OFFSET(Baza!$R1,0,N$2)</f>
        <v>40</v>
      </c>
      <c r="O3">
        <f ca="1">OFFSET(Baza!$R1,0,O$2)</f>
        <v>40</v>
      </c>
    </row>
    <row r="4" spans="1:15" x14ac:dyDescent="0.2">
      <c r="B4" t="str">
        <f>Baza!R2</f>
        <v>Pp[Średnia]</v>
      </c>
      <c r="C4" t="str">
        <f ca="1">OFFSET(Baza!$R2,0,C$2)</f>
        <v>Pv[Średnia]</v>
      </c>
      <c r="D4" t="str">
        <f ca="1">OFFSET(Baza!$R2,0,D$2)</f>
        <v>Pz[Średnia]</v>
      </c>
      <c r="E4" t="str">
        <f ca="1">OFFSET(Baza!$R2,0,E$2)</f>
        <v>Pc (Brak uśredniania (pojedyncza wartość))[Średnia]</v>
      </c>
      <c r="F4" t="str">
        <f ca="1">OFFSET(Baza!$R2,0,F$2)</f>
        <v>Pt[Średnia]</v>
      </c>
      <c r="G4" t="str">
        <f ca="1">OFFSET(Baza!$R2,0,G$2)</f>
        <v>Pa[Średnia]</v>
      </c>
      <c r="H4" t="str">
        <f ca="1">OFFSET(Baza!$R2,0,H$2)</f>
        <v>Pq[Średnia]</v>
      </c>
      <c r="I4" t="str">
        <f ca="1">OFFSET(Baza!$R2,0,I$2)</f>
        <v>Psk[Średnia]</v>
      </c>
      <c r="J4" t="str">
        <f ca="1">OFFSET(Baza!$R2,0,J$2)</f>
        <v>Pku[Średnia]</v>
      </c>
      <c r="K4" t="str">
        <f ca="1">OFFSET(Baza!$R2,0,K$2)</f>
        <v>PSm (Brak uśredniania (pojedyncza wartość))[Średnia]</v>
      </c>
      <c r="L4" t="str">
        <f ca="1">OFFSET(Baza!$R2,0,L$2)</f>
        <v>Pdq[Średnia]</v>
      </c>
      <c r="M4" t="str">
        <f ca="1">OFFSET(Baza!$R2,0,M$2)</f>
        <v>Pmr (c = 1 µm poniżej najwyższego wypiętrzenia)[Średnia]</v>
      </c>
      <c r="N4" t="str">
        <f ca="1">OFFSET(Baza!$R2,0,N$2)</f>
        <v>Pdc (p = 20%, q = 80%)[Średnia]</v>
      </c>
      <c r="O4" t="str">
        <f ca="1">OFFSET(Baza!$R2,0,O$2)</f>
        <v>PPc (Brak uśredniania (pojedyncza wartość))[Średnia]</v>
      </c>
    </row>
    <row r="5" spans="1:15" x14ac:dyDescent="0.2">
      <c r="B5" t="str">
        <f>Baza!R3</f>
        <v>µm</v>
      </c>
      <c r="C5" t="str">
        <f ca="1">OFFSET(Baza!$R3,0,C$2)</f>
        <v>µm</v>
      </c>
      <c r="D5" t="str">
        <f ca="1">OFFSET(Baza!$R3,0,D$2)</f>
        <v>µm</v>
      </c>
      <c r="E5" t="str">
        <f ca="1">OFFSET(Baza!$R3,0,E$2)</f>
        <v>µm</v>
      </c>
      <c r="F5" t="str">
        <f ca="1">OFFSET(Baza!$R3,0,F$2)</f>
        <v>µm</v>
      </c>
      <c r="G5" t="str">
        <f ca="1">OFFSET(Baza!$R3,0,G$2)</f>
        <v>µm</v>
      </c>
      <c r="H5" t="str">
        <f ca="1">OFFSET(Baza!$R3,0,H$2)</f>
        <v>µm</v>
      </c>
      <c r="I5" t="str">
        <f ca="1">OFFSET(Baza!$R3,0,I$2)</f>
        <v>&lt;no unit&gt;</v>
      </c>
      <c r="J5" t="str">
        <f ca="1">OFFSET(Baza!$R3,0,J$2)</f>
        <v>&lt;no unit&gt;</v>
      </c>
      <c r="K5" t="str">
        <f ca="1">OFFSET(Baza!$R3,0,K$2)</f>
        <v>mm</v>
      </c>
      <c r="L5" t="str">
        <f ca="1">OFFSET(Baza!$R3,0,L$2)</f>
        <v>°</v>
      </c>
      <c r="M5" t="str">
        <f ca="1">OFFSET(Baza!$R3,0,M$2)</f>
        <v>%</v>
      </c>
      <c r="N5" t="str">
        <f ca="1">OFFSET(Baza!$R3,0,N$2)</f>
        <v>µm</v>
      </c>
      <c r="O5" t="str">
        <f ca="1">OFFSET(Baza!$R3,0,O$2)</f>
        <v>1/cm</v>
      </c>
    </row>
    <row r="6" spans="1:15" x14ac:dyDescent="0.2">
      <c r="A6" s="1" t="s">
        <v>244</v>
      </c>
      <c r="B6">
        <f>Baza!R4</f>
        <v>2.283927931</v>
      </c>
      <c r="C6">
        <f ca="1">OFFSET(Baza!$R4,0,C$2)</f>
        <v>2.8466354379999999</v>
      </c>
      <c r="D6">
        <f ca="1">OFFSET(Baza!$R4,0,D$2)</f>
        <v>5.1305633679999998</v>
      </c>
      <c r="E6">
        <f ca="1">OFFSET(Baza!$R4,0,E$2)</f>
        <v>1.309311501</v>
      </c>
      <c r="F6">
        <f ca="1">OFFSET(Baza!$R4,0,F$2)</f>
        <v>5.1305633679999998</v>
      </c>
      <c r="G6">
        <f ca="1">OFFSET(Baza!$R4,0,G$2)</f>
        <v>0.4405393199</v>
      </c>
      <c r="H6">
        <f ca="1">OFFSET(Baza!$R4,0,H$2)</f>
        <v>0.5897204318</v>
      </c>
      <c r="I6">
        <f ca="1">OFFSET(Baza!$R4,0,I$2)</f>
        <v>-0.51309323780000005</v>
      </c>
      <c r="J6">
        <f ca="1">OFFSET(Baza!$R4,0,J$2)</f>
        <v>5.3103607100000003</v>
      </c>
      <c r="K6">
        <f ca="1">OFFSET(Baza!$R4,0,K$2)</f>
        <v>4.8706101629999998E-2</v>
      </c>
      <c r="L6">
        <f ca="1">OFFSET(Baza!$R4,0,L$2)</f>
        <v>6.1680804330000001</v>
      </c>
      <c r="M6">
        <f ca="1">OFFSET(Baza!$R4,0,M$2)</f>
        <v>4.8091523389999997</v>
      </c>
      <c r="N6">
        <f ca="1">OFFSET(Baza!$R4,0,N$2)</f>
        <v>0.8541962582</v>
      </c>
      <c r="O6">
        <f ca="1">OFFSET(Baza!$R4,0,O$2)</f>
        <v>215.55029719999999</v>
      </c>
    </row>
    <row r="7" spans="1:15" x14ac:dyDescent="0.2">
      <c r="A7" s="1" t="s">
        <v>245</v>
      </c>
      <c r="B7">
        <f>Baza!R5</f>
        <v>2.184346422</v>
      </c>
      <c r="C7">
        <f ca="1">OFFSET(Baza!$R5,0,C$2)</f>
        <v>3.369692578</v>
      </c>
      <c r="D7">
        <f ca="1">OFFSET(Baza!$R5,0,D$2)</f>
        <v>5.5540390000000004</v>
      </c>
      <c r="E7">
        <f ca="1">OFFSET(Baza!$R5,0,E$2)</f>
        <v>1.548990903</v>
      </c>
      <c r="F7">
        <f ca="1">OFFSET(Baza!$R5,0,F$2)</f>
        <v>5.5540390000000004</v>
      </c>
      <c r="G7">
        <f ca="1">OFFSET(Baza!$R5,0,G$2)</f>
        <v>0.5055140615</v>
      </c>
      <c r="H7">
        <f ca="1">OFFSET(Baza!$R5,0,H$2)</f>
        <v>0.66811222270000004</v>
      </c>
      <c r="I7">
        <f ca="1">OFFSET(Baza!$R5,0,I$2)</f>
        <v>-0.66089558839999996</v>
      </c>
      <c r="J7">
        <f ca="1">OFFSET(Baza!$R5,0,J$2)</f>
        <v>5.0889594779999996</v>
      </c>
      <c r="K7">
        <f ca="1">OFFSET(Baza!$R5,0,K$2)</f>
        <v>4.6711918460000001E-2</v>
      </c>
      <c r="L7">
        <f ca="1">OFFSET(Baza!$R5,0,L$2)</f>
        <v>7.3318366450000001</v>
      </c>
      <c r="M7">
        <f ca="1">OFFSET(Baza!$R5,0,M$2)</f>
        <v>6.4742547369999999</v>
      </c>
      <c r="N7">
        <f ca="1">OFFSET(Baza!$R5,0,N$2)</f>
        <v>0.99621117989999997</v>
      </c>
      <c r="O7">
        <f ca="1">OFFSET(Baza!$R5,0,O$2)</f>
        <v>224.13752769999999</v>
      </c>
    </row>
    <row r="8" spans="1:15" x14ac:dyDescent="0.2">
      <c r="A8" s="1" t="s">
        <v>246</v>
      </c>
      <c r="B8">
        <f>Baza!R6</f>
        <v>2.2700468520000001</v>
      </c>
      <c r="C8">
        <f ca="1">OFFSET(Baza!$R6,0,C$2)</f>
        <v>3.839703622</v>
      </c>
      <c r="D8">
        <f ca="1">OFFSET(Baza!$R6,0,D$2)</f>
        <v>6.1097504740000002</v>
      </c>
      <c r="E8">
        <f ca="1">OFFSET(Baza!$R6,0,E$2)</f>
        <v>1.766850515</v>
      </c>
      <c r="F8">
        <f ca="1">OFFSET(Baza!$R6,0,F$2)</f>
        <v>6.1097504740000002</v>
      </c>
      <c r="G8">
        <f ca="1">OFFSET(Baza!$R6,0,G$2)</f>
        <v>0.56824337950000003</v>
      </c>
      <c r="H8">
        <f ca="1">OFFSET(Baza!$R6,0,H$2)</f>
        <v>0.7493915605</v>
      </c>
      <c r="I8">
        <f ca="1">OFFSET(Baza!$R6,0,I$2)</f>
        <v>-0.67889174959999998</v>
      </c>
      <c r="J8">
        <f ca="1">OFFSET(Baza!$R6,0,J$2)</f>
        <v>5.0358153970000004</v>
      </c>
      <c r="K8">
        <f ca="1">OFFSET(Baza!$R6,0,K$2)</f>
        <v>4.6125839600000003E-2</v>
      </c>
      <c r="L8">
        <f ca="1">OFFSET(Baza!$R6,0,L$2)</f>
        <v>8.3068333699999997</v>
      </c>
      <c r="M8">
        <f ca="1">OFFSET(Baza!$R6,0,M$2)</f>
        <v>4.9404809180000004</v>
      </c>
      <c r="N8">
        <f ca="1">OFFSET(Baza!$R6,0,N$2)</f>
        <v>1.1220991090000001</v>
      </c>
      <c r="O8">
        <f ca="1">OFFSET(Baza!$R6,0,O$2)</f>
        <v>225.0842705</v>
      </c>
    </row>
    <row r="9" spans="1:15" x14ac:dyDescent="0.2">
      <c r="A9" s="1" t="s">
        <v>247</v>
      </c>
      <c r="B9">
        <f>Baza!R7</f>
        <v>3.9096723120000001</v>
      </c>
      <c r="C9">
        <f ca="1">OFFSET(Baza!$R7,0,C$2)</f>
        <v>3.2189004780000001</v>
      </c>
      <c r="D9">
        <f ca="1">OFFSET(Baza!$R7,0,D$2)</f>
        <v>7.1285727889999997</v>
      </c>
      <c r="E9">
        <f ca="1">OFFSET(Baza!$R7,0,E$2)</f>
        <v>1.540094122</v>
      </c>
      <c r="F9">
        <f ca="1">OFFSET(Baza!$R7,0,F$2)</f>
        <v>7.1285727889999997</v>
      </c>
      <c r="G9">
        <f ca="1">OFFSET(Baza!$R7,0,G$2)</f>
        <v>0.49104073479999999</v>
      </c>
      <c r="H9">
        <f ca="1">OFFSET(Baza!$R7,0,H$2)</f>
        <v>0.67811154880000002</v>
      </c>
      <c r="I9">
        <f ca="1">OFFSET(Baza!$R7,0,I$2)</f>
        <v>2.6034042819999999E-2</v>
      </c>
      <c r="J9">
        <f ca="1">OFFSET(Baza!$R7,0,J$2)</f>
        <v>8.2471575470000005</v>
      </c>
      <c r="K9">
        <f ca="1">OFFSET(Baza!$R7,0,K$2)</f>
        <v>4.0297200280000001E-2</v>
      </c>
      <c r="L9">
        <f ca="1">OFFSET(Baza!$R7,0,L$2)</f>
        <v>9.3884355179999996</v>
      </c>
      <c r="M9">
        <f ca="1">OFFSET(Baza!$R7,0,M$2)</f>
        <v>1.097400097</v>
      </c>
      <c r="N9">
        <f ca="1">OFFSET(Baza!$R7,0,N$2)</f>
        <v>0.93540339139999995</v>
      </c>
      <c r="O9">
        <f ca="1">OFFSET(Baza!$R7,0,O$2)</f>
        <v>259.30336699999998</v>
      </c>
    </row>
    <row r="10" spans="1:15" x14ac:dyDescent="0.2">
      <c r="A10" s="1" t="s">
        <v>248</v>
      </c>
      <c r="B10">
        <f>Baza!R8</f>
        <v>3.2514641110000002</v>
      </c>
      <c r="C10">
        <f ca="1">OFFSET(Baza!$R8,0,C$2)</f>
        <v>4.0695740469999997</v>
      </c>
      <c r="D10">
        <f ca="1">OFFSET(Baza!$R8,0,D$2)</f>
        <v>7.3210381580000004</v>
      </c>
      <c r="E10">
        <f ca="1">OFFSET(Baza!$R8,0,E$2)</f>
        <v>1.8039190030000001</v>
      </c>
      <c r="F10">
        <f ca="1">OFFSET(Baza!$R8,0,F$2)</f>
        <v>7.3210381580000004</v>
      </c>
      <c r="G10">
        <f ca="1">OFFSET(Baza!$R8,0,G$2)</f>
        <v>0.56624207479999999</v>
      </c>
      <c r="H10">
        <f ca="1">OFFSET(Baza!$R8,0,H$2)</f>
        <v>0.76326067129999997</v>
      </c>
      <c r="I10">
        <f ca="1">OFFSET(Baza!$R8,0,I$2)</f>
        <v>-0.57997767609999995</v>
      </c>
      <c r="J10">
        <f ca="1">OFFSET(Baza!$R8,0,J$2)</f>
        <v>6.36304815</v>
      </c>
      <c r="K10">
        <f ca="1">OFFSET(Baza!$R8,0,K$2)</f>
        <v>3.8211607510000002E-2</v>
      </c>
      <c r="L10">
        <f ca="1">OFFSET(Baza!$R8,0,L$2)</f>
        <v>10.88385807</v>
      </c>
      <c r="M10">
        <f ca="1">OFFSET(Baza!$R8,0,M$2)</f>
        <v>2.1047609619999998</v>
      </c>
      <c r="N10">
        <f ca="1">OFFSET(Baza!$R8,0,N$2)</f>
        <v>1.0950700499999999</v>
      </c>
      <c r="O10">
        <f ca="1">OFFSET(Baza!$R8,0,O$2)</f>
        <v>272.40013340000002</v>
      </c>
    </row>
    <row r="11" spans="1:15" x14ac:dyDescent="0.2">
      <c r="A11" s="1" t="s">
        <v>249</v>
      </c>
      <c r="B11">
        <f>Baza!R9</f>
        <v>3.291396905</v>
      </c>
      <c r="C11">
        <f ca="1">OFFSET(Baza!$R9,0,C$2)</f>
        <v>4.7675414629999997</v>
      </c>
      <c r="D11">
        <f ca="1">OFFSET(Baza!$R9,0,D$2)</f>
        <v>8.0589383679999997</v>
      </c>
      <c r="E11">
        <f ca="1">OFFSET(Baza!$R9,0,E$2)</f>
        <v>2.0458973</v>
      </c>
      <c r="F11">
        <f ca="1">OFFSET(Baza!$R9,0,F$2)</f>
        <v>8.0589383679999997</v>
      </c>
      <c r="G11">
        <f ca="1">OFFSET(Baza!$R9,0,G$2)</f>
        <v>0.63447709880000003</v>
      </c>
      <c r="H11">
        <f ca="1">OFFSET(Baza!$R9,0,H$2)</f>
        <v>0.8516621606</v>
      </c>
      <c r="I11">
        <f ca="1">OFFSET(Baza!$R9,0,I$2)</f>
        <v>-0.73305862560000001</v>
      </c>
      <c r="J11">
        <f ca="1">OFFSET(Baza!$R9,0,J$2)</f>
        <v>5.9617773559999998</v>
      </c>
      <c r="K11">
        <f ca="1">OFFSET(Baza!$R9,0,K$2)</f>
        <v>3.7980255300000001E-2</v>
      </c>
      <c r="L11">
        <f ca="1">OFFSET(Baza!$R9,0,L$2)</f>
        <v>12.14107038</v>
      </c>
      <c r="M11">
        <f ca="1">OFFSET(Baza!$R9,0,M$2)</f>
        <v>1.4195193580000001</v>
      </c>
      <c r="N11">
        <f ca="1">OFFSET(Baza!$R9,0,N$2)</f>
        <v>1.2308686529999999</v>
      </c>
      <c r="O11">
        <f ca="1">OFFSET(Baza!$R9,0,O$2)</f>
        <v>272.24003069999998</v>
      </c>
    </row>
    <row r="12" spans="1:15" x14ac:dyDescent="0.2">
      <c r="A12" s="1" t="s">
        <v>250</v>
      </c>
      <c r="B12">
        <f>Baza!R10</f>
        <v>2.5829471719999999</v>
      </c>
      <c r="C12">
        <f ca="1">OFFSET(Baza!$R10,0,C$2)</f>
        <v>2.7978962489999999</v>
      </c>
      <c r="D12">
        <f ca="1">OFFSET(Baza!$R10,0,D$2)</f>
        <v>5.3808434209999998</v>
      </c>
      <c r="E12">
        <f ca="1">OFFSET(Baza!$R10,0,E$2)</f>
        <v>1.5708278790000001</v>
      </c>
      <c r="F12">
        <f ca="1">OFFSET(Baza!$R10,0,F$2)</f>
        <v>5.3808434209999998</v>
      </c>
      <c r="G12">
        <f ca="1">OFFSET(Baza!$R10,0,G$2)</f>
        <v>0.52153004000000003</v>
      </c>
      <c r="H12">
        <f ca="1">OFFSET(Baza!$R10,0,H$2)</f>
        <v>0.67443708599999996</v>
      </c>
      <c r="I12">
        <f ca="1">OFFSET(Baza!$R10,0,I$2)</f>
        <v>-0.37494960220000001</v>
      </c>
      <c r="J12">
        <f ca="1">OFFSET(Baza!$R10,0,J$2)</f>
        <v>4.3470442800000004</v>
      </c>
      <c r="K12">
        <f ca="1">OFFSET(Baza!$R10,0,K$2)</f>
        <v>8.9346180740000003E-2</v>
      </c>
      <c r="L12">
        <f ca="1">OFFSET(Baza!$R10,0,L$2)</f>
        <v>4.0170540790000002</v>
      </c>
      <c r="M12">
        <f ca="1">OFFSET(Baza!$R10,0,M$2)</f>
        <v>4.3405703850000004</v>
      </c>
      <c r="N12">
        <f ca="1">OFFSET(Baza!$R10,0,N$2)</f>
        <v>1.058226399</v>
      </c>
      <c r="O12">
        <f ca="1">OFFSET(Baza!$R10,0,O$2)</f>
        <v>114.65994739999999</v>
      </c>
    </row>
    <row r="13" spans="1:15" x14ac:dyDescent="0.2">
      <c r="A13" s="1" t="s">
        <v>251</v>
      </c>
      <c r="B13">
        <f>Baza!R11</f>
        <v>2.6411568239999998</v>
      </c>
      <c r="C13">
        <f ca="1">OFFSET(Baza!$R11,0,C$2)</f>
        <v>2.2528937400000002</v>
      </c>
      <c r="D13">
        <f ca="1">OFFSET(Baza!$R11,0,D$2)</f>
        <v>4.8940505630000004</v>
      </c>
      <c r="E13">
        <f ca="1">OFFSET(Baza!$R11,0,E$2)</f>
        <v>1.2911095349999999</v>
      </c>
      <c r="F13">
        <f ca="1">OFFSET(Baza!$R11,0,F$2)</f>
        <v>4.8940505630000004</v>
      </c>
      <c r="G13">
        <f ca="1">OFFSET(Baza!$R11,0,G$2)</f>
        <v>0.4015520507</v>
      </c>
      <c r="H13">
        <f ca="1">OFFSET(Baza!$R11,0,H$2)</f>
        <v>0.5330745496</v>
      </c>
      <c r="I13">
        <f ca="1">OFFSET(Baza!$R11,0,I$2)</f>
        <v>-5.1928080180000002E-2</v>
      </c>
      <c r="J13">
        <f ca="1">OFFSET(Baza!$R11,0,J$2)</f>
        <v>6.0369186829999997</v>
      </c>
      <c r="K13">
        <f ca="1">OFFSET(Baza!$R11,0,K$2)</f>
        <v>7.8688174380000003E-2</v>
      </c>
      <c r="L13">
        <f ca="1">OFFSET(Baza!$R11,0,L$2)</f>
        <v>3.470972127</v>
      </c>
      <c r="M13">
        <f ca="1">OFFSET(Baza!$R11,0,M$2)</f>
        <v>3.1913837869999999</v>
      </c>
      <c r="N13">
        <f ca="1">OFFSET(Baza!$R11,0,N$2)</f>
        <v>0.80052584270000005</v>
      </c>
      <c r="O13">
        <f ca="1">OFFSET(Baza!$R11,0,O$2)</f>
        <v>132.4877008</v>
      </c>
    </row>
    <row r="14" spans="1:15" x14ac:dyDescent="0.2">
      <c r="A14" s="1" t="s">
        <v>252</v>
      </c>
      <c r="B14">
        <f>Baza!R12</f>
        <v>3.8341854120000001</v>
      </c>
      <c r="C14">
        <f ca="1">OFFSET(Baza!$R12,0,C$2)</f>
        <v>2.499703588</v>
      </c>
      <c r="D14">
        <f ca="1">OFFSET(Baza!$R12,0,D$2)</f>
        <v>6.3338890000000001</v>
      </c>
      <c r="E14">
        <f ca="1">OFFSET(Baza!$R12,0,E$2)</f>
        <v>1.537579982</v>
      </c>
      <c r="F14">
        <f ca="1">OFFSET(Baza!$R12,0,F$2)</f>
        <v>6.3338890000000001</v>
      </c>
      <c r="G14">
        <f ca="1">OFFSET(Baza!$R12,0,G$2)</f>
        <v>0.46081052709999998</v>
      </c>
      <c r="H14">
        <f ca="1">OFFSET(Baza!$R12,0,H$2)</f>
        <v>0.61968310950000005</v>
      </c>
      <c r="I14">
        <f ca="1">OFFSET(Baza!$R12,0,I$2)</f>
        <v>0.39658600869999999</v>
      </c>
      <c r="J14">
        <f ca="1">OFFSET(Baza!$R12,0,J$2)</f>
        <v>7.7625762729999996</v>
      </c>
      <c r="K14">
        <f ca="1">OFFSET(Baza!$R12,0,K$2)</f>
        <v>7.7298936609999994E-2</v>
      </c>
      <c r="L14">
        <f ca="1">OFFSET(Baza!$R12,0,L$2)</f>
        <v>4.3943928469999998</v>
      </c>
      <c r="M14">
        <f ca="1">OFFSET(Baza!$R12,0,M$2)</f>
        <v>0.80162387499999999</v>
      </c>
      <c r="N14">
        <f ca="1">OFFSET(Baza!$R12,0,N$2)</f>
        <v>0.90901582729999997</v>
      </c>
      <c r="O14">
        <f ca="1">OFFSET(Baza!$R12,0,O$2)</f>
        <v>133.95763059999999</v>
      </c>
    </row>
    <row r="15" spans="1:15" x14ac:dyDescent="0.2">
      <c r="A15" s="1" t="s">
        <v>253</v>
      </c>
      <c r="B15">
        <f>Baza!R13</f>
        <v>1.7711563589999999</v>
      </c>
      <c r="C15">
        <f ca="1">OFFSET(Baza!$R13,0,C$2)</f>
        <v>2.6937232199999999</v>
      </c>
      <c r="D15">
        <f ca="1">OFFSET(Baza!$R13,0,D$2)</f>
        <v>4.4648795789999998</v>
      </c>
      <c r="E15">
        <f ca="1">OFFSET(Baza!$R13,0,E$2)</f>
        <v>1.403680832</v>
      </c>
      <c r="F15">
        <f ca="1">OFFSET(Baza!$R13,0,F$2)</f>
        <v>4.4648795789999998</v>
      </c>
      <c r="G15">
        <f ca="1">OFFSET(Baza!$R13,0,G$2)</f>
        <v>0.43019404369999997</v>
      </c>
      <c r="H15">
        <f ca="1">OFFSET(Baza!$R13,0,H$2)</f>
        <v>0.56375461069999999</v>
      </c>
      <c r="I15">
        <f ca="1">OFFSET(Baza!$R13,0,I$2)</f>
        <v>-0.55477967689999996</v>
      </c>
      <c r="J15">
        <f ca="1">OFFSET(Baza!$R13,0,J$2)</f>
        <v>5.1494467510000002</v>
      </c>
      <c r="K15">
        <f ca="1">OFFSET(Baza!$R13,0,K$2)</f>
        <v>6.6623302509999996E-2</v>
      </c>
      <c r="L15">
        <f ca="1">OFFSET(Baza!$R13,0,L$2)</f>
        <v>6.7458596890000004</v>
      </c>
      <c r="M15">
        <f ca="1">OFFSET(Baza!$R13,0,M$2)</f>
        <v>9.3621778920000001</v>
      </c>
      <c r="N15">
        <f ca="1">OFFSET(Baza!$R13,0,N$2)</f>
        <v>0.85096276630000001</v>
      </c>
      <c r="O15">
        <f ca="1">OFFSET(Baza!$R13,0,O$2)</f>
        <v>153.56024410000001</v>
      </c>
    </row>
    <row r="16" spans="1:15" x14ac:dyDescent="0.2">
      <c r="A16" s="1" t="s">
        <v>254</v>
      </c>
      <c r="B16">
        <f>Baza!R14</f>
        <v>5.3022364560000002</v>
      </c>
      <c r="C16">
        <f ca="1">OFFSET(Baza!$R14,0,C$2)</f>
        <v>2.4999656020000001</v>
      </c>
      <c r="D16">
        <f ca="1">OFFSET(Baza!$R14,0,D$2)</f>
        <v>7.8022020579999998</v>
      </c>
      <c r="E16">
        <f ca="1">OFFSET(Baza!$R14,0,E$2)</f>
        <v>1.5589542089999999</v>
      </c>
      <c r="F16">
        <f ca="1">OFFSET(Baza!$R14,0,F$2)</f>
        <v>7.8022020579999998</v>
      </c>
      <c r="G16">
        <f ca="1">OFFSET(Baza!$R14,0,G$2)</f>
        <v>0.4202175219</v>
      </c>
      <c r="H16">
        <f ca="1">OFFSET(Baza!$R14,0,H$2)</f>
        <v>0.66543383509999998</v>
      </c>
      <c r="I16">
        <f ca="1">OFFSET(Baza!$R14,0,I$2)</f>
        <v>1.631463933</v>
      </c>
      <c r="J16">
        <f ca="1">OFFSET(Baza!$R14,0,J$2)</f>
        <v>39.101585040000003</v>
      </c>
      <c r="K16">
        <f ca="1">OFFSET(Baza!$R14,0,K$2)</f>
        <v>0.1034759497</v>
      </c>
      <c r="L16">
        <f ca="1">OFFSET(Baza!$R14,0,L$2)</f>
        <v>7.0651196470000004</v>
      </c>
      <c r="M16">
        <f ca="1">OFFSET(Baza!$R14,0,M$2)</f>
        <v>18.01804456</v>
      </c>
      <c r="N16">
        <f ca="1">OFFSET(Baza!$R14,0,N$2)</f>
        <v>0.77141075640000001</v>
      </c>
      <c r="O16">
        <f ca="1">OFFSET(Baza!$R14,0,O$2)</f>
        <v>121.557041</v>
      </c>
    </row>
    <row r="17" spans="1:15" x14ac:dyDescent="0.2">
      <c r="A17" s="1" t="s">
        <v>255</v>
      </c>
      <c r="B17">
        <f>Baza!R15</f>
        <v>6.0303607010000002</v>
      </c>
      <c r="C17">
        <f ca="1">OFFSET(Baza!$R15,0,C$2)</f>
        <v>2.5235731459999999</v>
      </c>
      <c r="D17">
        <f ca="1">OFFSET(Baza!$R15,0,D$2)</f>
        <v>8.5539338469999997</v>
      </c>
      <c r="E17">
        <f ca="1">OFFSET(Baza!$R15,0,E$2)</f>
        <v>1.5692444290000001</v>
      </c>
      <c r="F17">
        <f ca="1">OFFSET(Baza!$R15,0,F$2)</f>
        <v>8.5539338469999997</v>
      </c>
      <c r="G17">
        <f ca="1">OFFSET(Baza!$R15,0,G$2)</f>
        <v>0.4382644423</v>
      </c>
      <c r="H17">
        <f ca="1">OFFSET(Baza!$R15,0,H$2)</f>
        <v>0.70498863010000001</v>
      </c>
      <c r="I17">
        <f ca="1">OFFSET(Baza!$R15,0,I$2)</f>
        <v>1.9876289540000001</v>
      </c>
      <c r="J17">
        <f ca="1">OFFSET(Baza!$R15,0,J$2)</f>
        <v>41.745554179999999</v>
      </c>
      <c r="K17">
        <f ca="1">OFFSET(Baza!$R15,0,K$2)</f>
        <v>8.5784658319999998E-2</v>
      </c>
      <c r="L17">
        <f ca="1">OFFSET(Baza!$R15,0,L$2)</f>
        <v>7.2090536680000001</v>
      </c>
      <c r="M17">
        <f ca="1">OFFSET(Baza!$R15,0,M$2)</f>
        <v>10.37559909</v>
      </c>
      <c r="N17">
        <f ca="1">OFFSET(Baza!$R15,0,N$2)</f>
        <v>0.81977342720000002</v>
      </c>
      <c r="O17">
        <f ca="1">OFFSET(Baza!$R15,0,O$2)</f>
        <v>139.41614369999999</v>
      </c>
    </row>
    <row r="18" spans="1:15" x14ac:dyDescent="0.2">
      <c r="A18" s="1" t="s">
        <v>256</v>
      </c>
      <c r="B18">
        <f>Baza!R16</f>
        <v>3.4443649619999999</v>
      </c>
      <c r="C18">
        <f ca="1">OFFSET(Baza!$R16,0,C$2)</f>
        <v>2.4658338230000001</v>
      </c>
      <c r="D18">
        <f ca="1">OFFSET(Baza!$R16,0,D$2)</f>
        <v>5.9101987840000003</v>
      </c>
      <c r="E18">
        <f ca="1">OFFSET(Baza!$R16,0,E$2)</f>
        <v>1.3302188589999999</v>
      </c>
      <c r="F18">
        <f ca="1">OFFSET(Baza!$R16,0,F$2)</f>
        <v>5.9101987840000003</v>
      </c>
      <c r="G18">
        <f ca="1">OFFSET(Baza!$R16,0,G$2)</f>
        <v>0.40503127220000001</v>
      </c>
      <c r="H18">
        <f ca="1">OFFSET(Baza!$R16,0,H$2)</f>
        <v>0.58050729550000002</v>
      </c>
      <c r="I18">
        <f ca="1">OFFSET(Baza!$R16,0,I$2)</f>
        <v>0.54720037180000003</v>
      </c>
      <c r="J18">
        <f ca="1">OFFSET(Baza!$R16,0,J$2)</f>
        <v>24.8420667</v>
      </c>
      <c r="K18">
        <f ca="1">OFFSET(Baza!$R16,0,K$2)</f>
        <v>8.1078140160000006E-2</v>
      </c>
      <c r="L18">
        <f ca="1">OFFSET(Baza!$R16,0,L$2)</f>
        <v>6.4547502449999996</v>
      </c>
      <c r="M18">
        <f ca="1">OFFSET(Baza!$R16,0,M$2)</f>
        <v>21.62839885</v>
      </c>
      <c r="N18">
        <f ca="1">OFFSET(Baza!$R16,0,N$2)</f>
        <v>0.76159253999999998</v>
      </c>
      <c r="O18">
        <f ca="1">OFFSET(Baza!$R16,0,O$2)</f>
        <v>140.1819194</v>
      </c>
    </row>
    <row r="19" spans="1:15" x14ac:dyDescent="0.2">
      <c r="A1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2" width="14.5" bestFit="1" customWidth="1"/>
    <col min="3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</cols>
  <sheetData>
    <row r="1" spans="1:16" x14ac:dyDescent="0.2">
      <c r="B1" t="str">
        <f>B4</f>
        <v>Pp[Średnia]</v>
      </c>
      <c r="C1" t="str">
        <f t="shared" ref="C1:O1" ca="1" si="0">C4</f>
        <v>Pv[Średnia]</v>
      </c>
      <c r="D1" t="str">
        <f t="shared" ca="1" si="0"/>
        <v>Pz[Średnia]</v>
      </c>
      <c r="E1" t="str">
        <f t="shared" ca="1" si="0"/>
        <v>Pc (Brak uśredniania (pojedyncza wartość))[Średnia]</v>
      </c>
      <c r="F1" t="str">
        <f t="shared" ca="1" si="0"/>
        <v>Pt[Średnia]</v>
      </c>
      <c r="G1" t="str">
        <f t="shared" ca="1" si="0"/>
        <v>Pa[Średnia]</v>
      </c>
      <c r="H1" t="str">
        <f t="shared" ca="1" si="0"/>
        <v>Pq[Średnia]</v>
      </c>
      <c r="I1" t="str">
        <f t="shared" ca="1" si="0"/>
        <v>Psk[Średnia]</v>
      </c>
      <c r="J1" t="str">
        <f t="shared" ca="1" si="0"/>
        <v>Pku[Średnia]</v>
      </c>
      <c r="K1" t="str">
        <f t="shared" ca="1" si="0"/>
        <v>PSm (Brak uśredniania (pojedyncza wartość))[Średnia]</v>
      </c>
      <c r="L1" t="str">
        <f t="shared" ca="1" si="0"/>
        <v>Pdq[Średnia]</v>
      </c>
      <c r="M1" t="str">
        <f t="shared" ca="1" si="0"/>
        <v>Pmr (c = 1 µm poniżej najwyższego wypiętrzenia)[Średnia]</v>
      </c>
      <c r="N1" t="str">
        <f t="shared" ca="1" si="0"/>
        <v>Pdc (p = 20%, q = 80%)[Średnia]</v>
      </c>
      <c r="O1" t="str">
        <f t="shared" ca="1" si="0"/>
        <v>PPc (Brak uśredniania (pojedyncza wartość))[Średnia]</v>
      </c>
    </row>
    <row r="2" spans="1:16" x14ac:dyDescent="0.2">
      <c r="B2" s="3" t="s">
        <v>257</v>
      </c>
      <c r="C2" s="3">
        <v>4</v>
      </c>
      <c r="D2" s="3">
        <f>C2+4</f>
        <v>8</v>
      </c>
      <c r="E2" s="3">
        <f t="shared" ref="E2:P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</row>
    <row r="3" spans="1:16" x14ac:dyDescent="0.2">
      <c r="B3">
        <f>Baza!BV1</f>
        <v>41</v>
      </c>
      <c r="C3">
        <f ca="1">OFFSET(Baza!$BV1,0,C$2)</f>
        <v>41</v>
      </c>
      <c r="D3">
        <f ca="1">OFFSET(Baza!$BV1,0,D$2)</f>
        <v>41</v>
      </c>
      <c r="E3">
        <f ca="1">OFFSET(Baza!$BV1,0,E$2)</f>
        <v>41</v>
      </c>
      <c r="F3">
        <f ca="1">OFFSET(Baza!$BV1,0,F$2)</f>
        <v>41</v>
      </c>
      <c r="G3">
        <f ca="1">OFFSET(Baza!$BV1,0,G$2)</f>
        <v>41</v>
      </c>
      <c r="H3">
        <f ca="1">OFFSET(Baza!$BV1,0,H$2)</f>
        <v>41</v>
      </c>
      <c r="I3">
        <f ca="1">OFFSET(Baza!$BV1,0,I$2)</f>
        <v>41</v>
      </c>
      <c r="J3">
        <f ca="1">OFFSET(Baza!$BV1,0,J$2)</f>
        <v>41</v>
      </c>
      <c r="K3">
        <f ca="1">OFFSET(Baza!$BV1,0,K$2)</f>
        <v>41</v>
      </c>
      <c r="L3">
        <f ca="1">OFFSET(Baza!$BV1,0,L$2)</f>
        <v>41</v>
      </c>
      <c r="M3">
        <f ca="1">OFFSET(Baza!$BV1,0,M$2)</f>
        <v>41</v>
      </c>
      <c r="N3">
        <f ca="1">OFFSET(Baza!$BV1,0,N$2)</f>
        <v>41</v>
      </c>
      <c r="O3">
        <f ca="1">OFFSET(Baza!$BV1,0,O$2)</f>
        <v>41</v>
      </c>
    </row>
    <row r="4" spans="1:16" x14ac:dyDescent="0.2">
      <c r="B4" t="str">
        <f>Baza!BV2</f>
        <v>Pp[Średnia]</v>
      </c>
      <c r="C4" t="str">
        <f ca="1">OFFSET(Baza!$BV2,0,C$2)</f>
        <v>Pv[Średnia]</v>
      </c>
      <c r="D4" t="str">
        <f ca="1">OFFSET(Baza!$BV2,0,D$2)</f>
        <v>Pz[Średnia]</v>
      </c>
      <c r="E4" t="str">
        <f ca="1">OFFSET(Baza!$BV2,0,E$2)</f>
        <v>Pc (Brak uśredniania (pojedyncza wartość))[Średnia]</v>
      </c>
      <c r="F4" t="str">
        <f ca="1">OFFSET(Baza!$BV2,0,F$2)</f>
        <v>Pt[Średnia]</v>
      </c>
      <c r="G4" t="str">
        <f ca="1">OFFSET(Baza!$BV2,0,G$2)</f>
        <v>Pa[Średnia]</v>
      </c>
      <c r="H4" t="str">
        <f ca="1">OFFSET(Baza!$BV2,0,H$2)</f>
        <v>Pq[Średnia]</v>
      </c>
      <c r="I4" t="str">
        <f ca="1">OFFSET(Baza!$BV2,0,I$2)</f>
        <v>Psk[Średnia]</v>
      </c>
      <c r="J4" t="str">
        <f ca="1">OFFSET(Baza!$BV2,0,J$2)</f>
        <v>Pku[Średnia]</v>
      </c>
      <c r="K4" t="str">
        <f ca="1">OFFSET(Baza!$BV2,0,K$2)</f>
        <v>PSm (Brak uśredniania (pojedyncza wartość))[Średnia]</v>
      </c>
      <c r="L4" t="str">
        <f ca="1">OFFSET(Baza!$BV2,0,L$2)</f>
        <v>Pdq[Średnia]</v>
      </c>
      <c r="M4" t="str">
        <f ca="1">OFFSET(Baza!$BV2,0,M$2)</f>
        <v>Pmr (c = 1 µm poniżej najwyższego wypiętrzenia)[Średnia]</v>
      </c>
      <c r="N4" t="str">
        <f ca="1">OFFSET(Baza!$BV2,0,N$2)</f>
        <v>Pdc (p = 20%, q = 80%)[Średnia]</v>
      </c>
      <c r="O4" t="str">
        <f ca="1">OFFSET(Baza!$BV2,0,O$2)</f>
        <v>PPc (Brak uśredniania (pojedyncza wartość))[Średnia]</v>
      </c>
    </row>
    <row r="5" spans="1:16" x14ac:dyDescent="0.2">
      <c r="B5" t="str">
        <f>Baza!BV3</f>
        <v>µm</v>
      </c>
      <c r="C5" t="str">
        <f ca="1">OFFSET(Baza!$BV3,0,C$2)</f>
        <v>µm</v>
      </c>
      <c r="D5" t="str">
        <f ca="1">OFFSET(Baza!$BV3,0,D$2)</f>
        <v>µm</v>
      </c>
      <c r="E5" t="str">
        <f ca="1">OFFSET(Baza!$BV3,0,E$2)</f>
        <v>µm</v>
      </c>
      <c r="F5" t="str">
        <f ca="1">OFFSET(Baza!$BV3,0,F$2)</f>
        <v>µm</v>
      </c>
      <c r="G5" t="str">
        <f ca="1">OFFSET(Baza!$BV3,0,G$2)</f>
        <v>µm</v>
      </c>
      <c r="H5" t="str">
        <f ca="1">OFFSET(Baza!$BV3,0,H$2)</f>
        <v>µm</v>
      </c>
      <c r="I5" t="str">
        <f ca="1">OFFSET(Baza!$BV3,0,I$2)</f>
        <v>&lt;no unit&gt;</v>
      </c>
      <c r="J5" t="str">
        <f ca="1">OFFSET(Baza!$BV3,0,J$2)</f>
        <v>&lt;no unit&gt;</v>
      </c>
      <c r="K5" t="str">
        <f ca="1">OFFSET(Baza!$BV3,0,K$2)</f>
        <v>mm</v>
      </c>
      <c r="L5" t="str">
        <f ca="1">OFFSET(Baza!$BV3,0,L$2)</f>
        <v>°</v>
      </c>
      <c r="M5" t="str">
        <f ca="1">OFFSET(Baza!$BV3,0,M$2)</f>
        <v>%</v>
      </c>
      <c r="N5" t="str">
        <f ca="1">OFFSET(Baza!$BV3,0,N$2)</f>
        <v>µm</v>
      </c>
      <c r="O5" t="str">
        <f ca="1">OFFSET(Baza!$BV3,0,O$2)</f>
        <v>1/cm</v>
      </c>
    </row>
    <row r="6" spans="1:16" x14ac:dyDescent="0.2">
      <c r="A6" s="1" t="s">
        <v>244</v>
      </c>
      <c r="B6">
        <f>Baza!BV4</f>
        <v>1.431444669</v>
      </c>
      <c r="C6">
        <f ca="1">OFFSET(Baza!$BV4,0,C$2)</f>
        <v>2.1699591200000001</v>
      </c>
      <c r="D6">
        <f ca="1">OFFSET(Baza!$BV4,0,D$2)</f>
        <v>3.6014037889999999</v>
      </c>
      <c r="E6">
        <f ca="1">OFFSET(Baza!$BV4,0,E$2)</f>
        <v>1.2050625850000001</v>
      </c>
      <c r="F6">
        <f ca="1">OFFSET(Baza!$BV4,0,F$2)</f>
        <v>3.6014037889999999</v>
      </c>
      <c r="G6">
        <f ca="1">OFFSET(Baza!$BV4,0,G$2)</f>
        <v>0.43159148809999998</v>
      </c>
      <c r="H6">
        <f ca="1">OFFSET(Baza!$BV4,0,H$2)</f>
        <v>0.5640475895</v>
      </c>
      <c r="I6">
        <f ca="1">OFFSET(Baza!$BV4,0,I$2)</f>
        <v>-0.48540743130000003</v>
      </c>
      <c r="J6">
        <f ca="1">OFFSET(Baza!$BV4,0,J$2)</f>
        <v>4.0551858620000001</v>
      </c>
      <c r="K6">
        <f ca="1">OFFSET(Baza!$BV4,0,K$2)</f>
        <v>4.4622560780000001E-2</v>
      </c>
      <c r="L6">
        <f ca="1">OFFSET(Baza!$BV4,0,L$2)</f>
        <v>5.9852246830000002</v>
      </c>
      <c r="M6">
        <f ca="1">OFFSET(Baza!$BV4,0,M$2)</f>
        <v>22.21303825</v>
      </c>
      <c r="N6">
        <f ca="1">OFFSET(Baza!$BV4,0,N$2)</f>
        <v>0.8530897382</v>
      </c>
      <c r="O6">
        <f ca="1">OFFSET(Baza!$BV4,0,O$2)</f>
        <v>234.0120685</v>
      </c>
    </row>
    <row r="7" spans="1:16" x14ac:dyDescent="0.2">
      <c r="A7" s="1" t="s">
        <v>245</v>
      </c>
      <c r="B7">
        <f>Baza!BV5</f>
        <v>1.536216043</v>
      </c>
      <c r="C7">
        <f ca="1">OFFSET(Baza!$BV5,0,C$2)</f>
        <v>2.530912431</v>
      </c>
      <c r="D7">
        <f ca="1">OFFSET(Baza!$BV5,0,D$2)</f>
        <v>4.0671284740000004</v>
      </c>
      <c r="E7">
        <f ca="1">OFFSET(Baza!$BV5,0,E$2)</f>
        <v>1.4455457599999999</v>
      </c>
      <c r="F7">
        <f ca="1">OFFSET(Baza!$BV5,0,F$2)</f>
        <v>4.0671284740000004</v>
      </c>
      <c r="G7">
        <f ca="1">OFFSET(Baza!$BV5,0,G$2)</f>
        <v>0.49715117860000002</v>
      </c>
      <c r="H7">
        <f ca="1">OFFSET(Baza!$BV5,0,H$2)</f>
        <v>0.64401346829999995</v>
      </c>
      <c r="I7">
        <f ca="1">OFFSET(Baza!$BV5,0,I$2)</f>
        <v>-0.56597501709999998</v>
      </c>
      <c r="J7">
        <f ca="1">OFFSET(Baza!$BV5,0,J$2)</f>
        <v>4.0007816780000001</v>
      </c>
      <c r="K7">
        <f ca="1">OFFSET(Baza!$BV5,0,K$2)</f>
        <v>4.3666536620000002E-2</v>
      </c>
      <c r="L7">
        <f ca="1">OFFSET(Baza!$BV5,0,L$2)</f>
        <v>7.1296938220000001</v>
      </c>
      <c r="M7">
        <f ca="1">OFFSET(Baza!$BV5,0,M$2)</f>
        <v>20.917522160000001</v>
      </c>
      <c r="N7">
        <f ca="1">OFFSET(Baza!$BV5,0,N$2)</f>
        <v>0.9953662727</v>
      </c>
      <c r="O7">
        <f ca="1">OFFSET(Baza!$BV5,0,O$2)</f>
        <v>238.98054250000001</v>
      </c>
    </row>
    <row r="8" spans="1:16" x14ac:dyDescent="0.2">
      <c r="A8" s="1" t="s">
        <v>246</v>
      </c>
      <c r="B8">
        <f>Baza!BV6</f>
        <v>1.736512329</v>
      </c>
      <c r="C8">
        <f ca="1">OFFSET(Baza!$BV6,0,C$2)</f>
        <v>2.8010853029999998</v>
      </c>
      <c r="D8">
        <f ca="1">OFFSET(Baza!$BV6,0,D$2)</f>
        <v>4.5375976319999998</v>
      </c>
      <c r="E8">
        <f ca="1">OFFSET(Baza!$BV6,0,E$2)</f>
        <v>1.6552165750000001</v>
      </c>
      <c r="F8">
        <f ca="1">OFFSET(Baza!$BV6,0,F$2)</f>
        <v>4.5375976319999998</v>
      </c>
      <c r="G8">
        <f ca="1">OFFSET(Baza!$BV6,0,G$2)</f>
        <v>0.55912414860000004</v>
      </c>
      <c r="H8">
        <f ca="1">OFFSET(Baza!$BV6,0,H$2)</f>
        <v>0.72308288070000004</v>
      </c>
      <c r="I8">
        <f ca="1">OFFSET(Baza!$BV6,0,I$2)</f>
        <v>-0.53502374259999996</v>
      </c>
      <c r="J8">
        <f ca="1">OFFSET(Baza!$BV6,0,J$2)</f>
        <v>3.9409078800000001</v>
      </c>
      <c r="K8">
        <f ca="1">OFFSET(Baza!$BV6,0,K$2)</f>
        <v>4.3371997490000001E-2</v>
      </c>
      <c r="L8">
        <f ca="1">OFFSET(Baza!$BV6,0,L$2)</f>
        <v>8.0886956049999998</v>
      </c>
      <c r="M8">
        <f ca="1">OFFSET(Baza!$BV6,0,M$2)</f>
        <v>15.547139680000001</v>
      </c>
      <c r="N8">
        <f ca="1">OFFSET(Baza!$BV6,0,N$2)</f>
        <v>1.1211021240000001</v>
      </c>
      <c r="O8">
        <f ca="1">OFFSET(Baza!$BV6,0,O$2)</f>
        <v>238.4105246</v>
      </c>
    </row>
    <row r="9" spans="1:16" x14ac:dyDescent="0.2">
      <c r="A9" s="1" t="s">
        <v>247</v>
      </c>
      <c r="B9">
        <f>Baza!BV7</f>
        <v>1.7550635889999999</v>
      </c>
      <c r="C9">
        <f ca="1">OFFSET(Baza!$BV7,0,C$2)</f>
        <v>2.3806050949999999</v>
      </c>
      <c r="D9">
        <f ca="1">OFFSET(Baza!$BV7,0,D$2)</f>
        <v>4.1356686839999997</v>
      </c>
      <c r="E9">
        <f ca="1">OFFSET(Baza!$BV7,0,E$2)</f>
        <v>1.353540856</v>
      </c>
      <c r="F9">
        <f ca="1">OFFSET(Baza!$BV7,0,F$2)</f>
        <v>4.1356686839999997</v>
      </c>
      <c r="G9">
        <f ca="1">OFFSET(Baza!$BV7,0,G$2)</f>
        <v>0.47336904270000002</v>
      </c>
      <c r="H9">
        <f ca="1">OFFSET(Baza!$BV7,0,H$2)</f>
        <v>0.61889620769999998</v>
      </c>
      <c r="I9">
        <f ca="1">OFFSET(Baza!$BV7,0,I$2)</f>
        <v>-0.46267051860000002</v>
      </c>
      <c r="J9">
        <f ca="1">OFFSET(Baza!$BV7,0,J$2)</f>
        <v>4.0511434480000004</v>
      </c>
      <c r="K9">
        <f ca="1">OFFSET(Baza!$BV7,0,K$2)</f>
        <v>3.484747949E-2</v>
      </c>
      <c r="L9">
        <f ca="1">OFFSET(Baza!$BV7,0,L$2)</f>
        <v>8.6795006810000004</v>
      </c>
      <c r="M9">
        <f ca="1">OFFSET(Baza!$BV7,0,M$2)</f>
        <v>11.125541289999999</v>
      </c>
      <c r="N9">
        <f ca="1">OFFSET(Baza!$BV7,0,N$2)</f>
        <v>0.93316691409999997</v>
      </c>
      <c r="O9">
        <f ca="1">OFFSET(Baza!$BV7,0,O$2)</f>
        <v>298.90061500000002</v>
      </c>
    </row>
    <row r="10" spans="1:16" x14ac:dyDescent="0.2">
      <c r="A10" s="1" t="s">
        <v>248</v>
      </c>
      <c r="B10">
        <f>Baza!BV8</f>
        <v>1.737668319</v>
      </c>
      <c r="C10">
        <f ca="1">OFFSET(Baza!$BV8,0,C$2)</f>
        <v>2.9387993649999999</v>
      </c>
      <c r="D10">
        <f ca="1">OFFSET(Baza!$BV8,0,D$2)</f>
        <v>4.6764676840000003</v>
      </c>
      <c r="E10">
        <f ca="1">OFFSET(Baza!$BV8,0,E$2)</f>
        <v>1.6328670080000001</v>
      </c>
      <c r="F10">
        <f ca="1">OFFSET(Baza!$BV8,0,F$2)</f>
        <v>4.6764676840000003</v>
      </c>
      <c r="G10">
        <f ca="1">OFFSET(Baza!$BV8,0,G$2)</f>
        <v>0.55143874120000003</v>
      </c>
      <c r="H10">
        <f ca="1">OFFSET(Baza!$BV8,0,H$2)</f>
        <v>0.71860515810000003</v>
      </c>
      <c r="I10">
        <f ca="1">OFFSET(Baza!$BV8,0,I$2)</f>
        <v>-0.66016378590000002</v>
      </c>
      <c r="J10">
        <f ca="1">OFFSET(Baza!$BV8,0,J$2)</f>
        <v>4.2126980549999997</v>
      </c>
      <c r="K10">
        <f ca="1">OFFSET(Baza!$BV8,0,K$2)</f>
        <v>3.4523571179999997E-2</v>
      </c>
      <c r="L10">
        <f ca="1">OFFSET(Baza!$BV8,0,L$2)</f>
        <v>10.322565170000001</v>
      </c>
      <c r="M10">
        <f ca="1">OFFSET(Baza!$BV8,0,M$2)</f>
        <v>14.80531843</v>
      </c>
      <c r="N10">
        <f ca="1">OFFSET(Baza!$BV8,0,N$2)</f>
        <v>1.0931485919999999</v>
      </c>
      <c r="O10">
        <f ca="1">OFFSET(Baza!$BV8,0,O$2)</f>
        <v>300.94248879999998</v>
      </c>
    </row>
    <row r="11" spans="1:16" x14ac:dyDescent="0.2">
      <c r="A11" s="1" t="s">
        <v>249</v>
      </c>
      <c r="B11">
        <f>Baza!BV9</f>
        <v>1.9469099430000001</v>
      </c>
      <c r="C11">
        <f ca="1">OFFSET(Baza!$BV9,0,C$2)</f>
        <v>3.3171730570000002</v>
      </c>
      <c r="D11">
        <f ca="1">OFFSET(Baza!$BV9,0,D$2)</f>
        <v>5.2640830000000003</v>
      </c>
      <c r="E11">
        <f ca="1">OFFSET(Baza!$BV9,0,E$2)</f>
        <v>1.861127177</v>
      </c>
      <c r="F11">
        <f ca="1">OFFSET(Baza!$BV9,0,F$2)</f>
        <v>5.2640830000000003</v>
      </c>
      <c r="G11">
        <f ca="1">OFFSET(Baza!$BV9,0,G$2)</f>
        <v>0.61966569110000003</v>
      </c>
      <c r="H11">
        <f ca="1">OFFSET(Baza!$BV9,0,H$2)</f>
        <v>0.80827257429999999</v>
      </c>
      <c r="I11">
        <f ca="1">OFFSET(Baza!$BV9,0,I$2)</f>
        <v>-0.65300305989999996</v>
      </c>
      <c r="J11">
        <f ca="1">OFFSET(Baza!$BV9,0,J$2)</f>
        <v>4.2110245429999997</v>
      </c>
      <c r="K11">
        <f ca="1">OFFSET(Baza!$BV9,0,K$2)</f>
        <v>3.4462920549999998E-2</v>
      </c>
      <c r="L11">
        <f ca="1">OFFSET(Baza!$BV9,0,L$2)</f>
        <v>11.545190610000001</v>
      </c>
      <c r="M11">
        <f ca="1">OFFSET(Baza!$BV9,0,M$2)</f>
        <v>11.030154039999999</v>
      </c>
      <c r="N11">
        <f ca="1">OFFSET(Baza!$BV9,0,N$2)</f>
        <v>1.2290332260000001</v>
      </c>
      <c r="O11">
        <f ca="1">OFFSET(Baza!$BV9,0,O$2)</f>
        <v>299.00138010000001</v>
      </c>
    </row>
    <row r="12" spans="1:16" x14ac:dyDescent="0.2">
      <c r="A12" s="1" t="s">
        <v>250</v>
      </c>
      <c r="B12">
        <f>Baza!BV10</f>
        <v>1.7325233739999999</v>
      </c>
      <c r="C12">
        <f ca="1">OFFSET(Baza!$BV10,0,C$2)</f>
        <v>2.224427731</v>
      </c>
      <c r="D12">
        <f ca="1">OFFSET(Baza!$BV10,0,D$2)</f>
        <v>3.9569511049999999</v>
      </c>
      <c r="E12">
        <f ca="1">OFFSET(Baza!$BV10,0,E$2)</f>
        <v>1.4672710259999999</v>
      </c>
      <c r="F12">
        <f ca="1">OFFSET(Baza!$BV10,0,F$2)</f>
        <v>3.9569511049999999</v>
      </c>
      <c r="G12">
        <f ca="1">OFFSET(Baza!$BV10,0,G$2)</f>
        <v>0.51433136040000005</v>
      </c>
      <c r="H12">
        <f ca="1">OFFSET(Baza!$BV10,0,H$2)</f>
        <v>0.65324830190000005</v>
      </c>
      <c r="I12">
        <f ca="1">OFFSET(Baza!$BV10,0,I$2)</f>
        <v>-0.4036341685</v>
      </c>
      <c r="J12">
        <f ca="1">OFFSET(Baza!$BV10,0,J$2)</f>
        <v>3.3788640050000001</v>
      </c>
      <c r="K12">
        <f ca="1">OFFSET(Baza!$BV10,0,K$2)</f>
        <v>8.3910469880000005E-2</v>
      </c>
      <c r="L12">
        <f ca="1">OFFSET(Baza!$BV10,0,L$2)</f>
        <v>3.8783510259999998</v>
      </c>
      <c r="M12">
        <f ca="1">OFFSET(Baza!$BV10,0,M$2)</f>
        <v>12.727661510000001</v>
      </c>
      <c r="N12">
        <f ca="1">OFFSET(Baza!$BV10,0,N$2)</f>
        <v>1.0579686450000001</v>
      </c>
      <c r="O12">
        <f ca="1">OFFSET(Baza!$BV10,0,O$2)</f>
        <v>122.08064570000001</v>
      </c>
    </row>
    <row r="13" spans="1:16" x14ac:dyDescent="0.2">
      <c r="A13" s="1" t="s">
        <v>251</v>
      </c>
      <c r="B13">
        <f>Baza!BV11</f>
        <v>1.4925567019999999</v>
      </c>
      <c r="C13">
        <f ca="1">OFFSET(Baza!$BV11,0,C$2)</f>
        <v>1.796365003</v>
      </c>
      <c r="D13">
        <f ca="1">OFFSET(Baza!$BV11,0,D$2)</f>
        <v>3.2889217049999999</v>
      </c>
      <c r="E13">
        <f ca="1">OFFSET(Baza!$BV11,0,E$2)</f>
        <v>1.1881236559999999</v>
      </c>
      <c r="F13">
        <f ca="1">OFFSET(Baza!$BV11,0,F$2)</f>
        <v>3.2889217049999999</v>
      </c>
      <c r="G13">
        <f ca="1">OFFSET(Baza!$BV11,0,G$2)</f>
        <v>0.39368779459999997</v>
      </c>
      <c r="H13">
        <f ca="1">OFFSET(Baza!$BV11,0,H$2)</f>
        <v>0.50643772239999996</v>
      </c>
      <c r="I13">
        <f ca="1">OFFSET(Baza!$BV11,0,I$2)</f>
        <v>-0.1738681641</v>
      </c>
      <c r="J13">
        <f ca="1">OFFSET(Baza!$BV11,0,J$2)</f>
        <v>3.7761412050000001</v>
      </c>
      <c r="K13">
        <f ca="1">OFFSET(Baza!$BV11,0,K$2)</f>
        <v>7.3108399919999997E-2</v>
      </c>
      <c r="L13">
        <f ca="1">OFFSET(Baza!$BV11,0,L$2)</f>
        <v>3.3117387599999999</v>
      </c>
      <c r="M13">
        <f ca="1">OFFSET(Baza!$BV11,0,M$2)</f>
        <v>17.354378430000001</v>
      </c>
      <c r="N13">
        <f ca="1">OFFSET(Baza!$BV11,0,N$2)</f>
        <v>0.80043314619999995</v>
      </c>
      <c r="O13">
        <f ca="1">OFFSET(Baza!$BV11,0,O$2)</f>
        <v>142.01188350000001</v>
      </c>
    </row>
    <row r="14" spans="1:16" x14ac:dyDescent="0.2">
      <c r="A14" s="1" t="s">
        <v>252</v>
      </c>
      <c r="B14">
        <f>Baza!BV12</f>
        <v>1.93971822</v>
      </c>
      <c r="C14">
        <f ca="1">OFFSET(Baza!$BV12,0,C$2)</f>
        <v>1.942802833</v>
      </c>
      <c r="D14">
        <f ca="1">OFFSET(Baza!$BV12,0,D$2)</f>
        <v>3.8825210530000001</v>
      </c>
      <c r="E14">
        <f ca="1">OFFSET(Baza!$BV12,0,E$2)</f>
        <v>1.382290265</v>
      </c>
      <c r="F14">
        <f ca="1">OFFSET(Baza!$BV12,0,F$2)</f>
        <v>3.8825210530000001</v>
      </c>
      <c r="G14">
        <f ca="1">OFFSET(Baza!$BV12,0,G$2)</f>
        <v>0.45019030659999998</v>
      </c>
      <c r="H14">
        <f ca="1">OFFSET(Baza!$BV12,0,H$2)</f>
        <v>0.5802027448</v>
      </c>
      <c r="I14">
        <f ca="1">OFFSET(Baza!$BV12,0,I$2)</f>
        <v>4.6304700509999998E-2</v>
      </c>
      <c r="J14">
        <f ca="1">OFFSET(Baza!$BV12,0,J$2)</f>
        <v>3.81617614</v>
      </c>
      <c r="K14">
        <f ca="1">OFFSET(Baza!$BV12,0,K$2)</f>
        <v>7.0229082629999995E-2</v>
      </c>
      <c r="L14">
        <f ca="1">OFFSET(Baza!$BV12,0,L$2)</f>
        <v>4.0433918459999996</v>
      </c>
      <c r="M14">
        <f ca="1">OFFSET(Baza!$BV12,0,M$2)</f>
        <v>6.6037781080000002</v>
      </c>
      <c r="N14">
        <f ca="1">OFFSET(Baza!$BV12,0,N$2)</f>
        <v>0.90888335570000001</v>
      </c>
      <c r="O14">
        <f ca="1">OFFSET(Baza!$BV12,0,O$2)</f>
        <v>146.3820724</v>
      </c>
    </row>
    <row r="15" spans="1:16" x14ac:dyDescent="0.2">
      <c r="A15" s="1" t="s">
        <v>253</v>
      </c>
      <c r="B15">
        <f>Baza!BV13</f>
        <v>1.4010675130000001</v>
      </c>
      <c r="C15">
        <f ca="1">OFFSET(Baza!$BV13,0,C$2)</f>
        <v>2.1376601499999999</v>
      </c>
      <c r="D15">
        <f ca="1">OFFSET(Baza!$BV13,0,D$2)</f>
        <v>3.538727663</v>
      </c>
      <c r="E15">
        <f ca="1">OFFSET(Baza!$BV13,0,E$2)</f>
        <v>1.3166946669999999</v>
      </c>
      <c r="F15">
        <f ca="1">OFFSET(Baza!$BV13,0,F$2)</f>
        <v>3.538727663</v>
      </c>
      <c r="G15">
        <f ca="1">OFFSET(Baza!$BV13,0,G$2)</f>
        <v>0.41821688689999997</v>
      </c>
      <c r="H15">
        <f ca="1">OFFSET(Baza!$BV13,0,H$2)</f>
        <v>0.53566362170000004</v>
      </c>
      <c r="I15">
        <f ca="1">OFFSET(Baza!$BV13,0,I$2)</f>
        <v>-0.39789901950000001</v>
      </c>
      <c r="J15">
        <f ca="1">OFFSET(Baza!$BV13,0,J$2)</f>
        <v>4.0129221130000001</v>
      </c>
      <c r="K15">
        <f ca="1">OFFSET(Baza!$BV13,0,K$2)</f>
        <v>6.3887396819999998E-2</v>
      </c>
      <c r="L15">
        <f ca="1">OFFSET(Baza!$BV13,0,L$2)</f>
        <v>6.2322030609999999</v>
      </c>
      <c r="M15">
        <f ca="1">OFFSET(Baza!$BV13,0,M$2)</f>
        <v>23.81827449</v>
      </c>
      <c r="N15">
        <f ca="1">OFFSET(Baza!$BV13,0,N$2)</f>
        <v>0.84483247380000004</v>
      </c>
      <c r="O15">
        <f ca="1">OFFSET(Baza!$BV13,0,O$2)</f>
        <v>159.8090163</v>
      </c>
    </row>
    <row r="16" spans="1:16" x14ac:dyDescent="0.2">
      <c r="A16" s="1" t="s">
        <v>254</v>
      </c>
      <c r="B16">
        <f>Baza!BV14</f>
        <v>1.1820536129999999</v>
      </c>
      <c r="C16">
        <f ca="1">OFFSET(Baza!$BV14,0,C$2)</f>
        <v>2.0833125240000001</v>
      </c>
      <c r="D16">
        <f ca="1">OFFSET(Baza!$BV14,0,D$2)</f>
        <v>3.265366137</v>
      </c>
      <c r="E16">
        <f ca="1">OFFSET(Baza!$BV14,0,E$2)</f>
        <v>1.1789439319999999</v>
      </c>
      <c r="F16">
        <f ca="1">OFFSET(Baza!$BV14,0,F$2)</f>
        <v>3.265366137</v>
      </c>
      <c r="G16">
        <f ca="1">OFFSET(Baza!$BV14,0,G$2)</f>
        <v>0.39296840230000002</v>
      </c>
      <c r="H16">
        <f ca="1">OFFSET(Baza!$BV14,0,H$2)</f>
        <v>0.52201021449999996</v>
      </c>
      <c r="I16">
        <f ca="1">OFFSET(Baza!$BV14,0,I$2)</f>
        <v>-0.69348248889999997</v>
      </c>
      <c r="J16">
        <f ca="1">OFFSET(Baza!$BV14,0,J$2)</f>
        <v>4.8025659169999999</v>
      </c>
      <c r="K16">
        <f ca="1">OFFSET(Baza!$BV14,0,K$2)</f>
        <v>7.1688123009999993E-2</v>
      </c>
      <c r="L16">
        <f ca="1">OFFSET(Baza!$BV14,0,L$2)</f>
        <v>5.2320151480000003</v>
      </c>
      <c r="M16">
        <f ca="1">OFFSET(Baza!$BV14,0,M$2)</f>
        <v>36.64388804</v>
      </c>
      <c r="N16">
        <f ca="1">OFFSET(Baza!$BV14,0,N$2)</f>
        <v>0.76489639040000001</v>
      </c>
      <c r="O16">
        <f ca="1">OFFSET(Baza!$BV14,0,O$2)</f>
        <v>149.33405669999999</v>
      </c>
    </row>
    <row r="17" spans="1:15" x14ac:dyDescent="0.2">
      <c r="A17" s="1" t="s">
        <v>255</v>
      </c>
      <c r="B17">
        <f>Baza!BV15</f>
        <v>1.3507239049999999</v>
      </c>
      <c r="C17">
        <f ca="1">OFFSET(Baza!$BV15,0,C$2)</f>
        <v>2.0633719639999999</v>
      </c>
      <c r="D17">
        <f ca="1">OFFSET(Baza!$BV15,0,D$2)</f>
        <v>3.414095868</v>
      </c>
      <c r="E17">
        <f ca="1">OFFSET(Baza!$BV15,0,E$2)</f>
        <v>1.19923</v>
      </c>
      <c r="F17">
        <f ca="1">OFFSET(Baza!$BV15,0,F$2)</f>
        <v>3.414095868</v>
      </c>
      <c r="G17">
        <f ca="1">OFFSET(Baza!$BV15,0,G$2)</f>
        <v>0.41229106269999999</v>
      </c>
      <c r="H17">
        <f ca="1">OFFSET(Baza!$BV15,0,H$2)</f>
        <v>0.54121619259999998</v>
      </c>
      <c r="I17">
        <f ca="1">OFFSET(Baza!$BV15,0,I$2)</f>
        <v>-0.58142811569999997</v>
      </c>
      <c r="J17">
        <f ca="1">OFFSET(Baza!$BV15,0,J$2)</f>
        <v>4.2560777239999998</v>
      </c>
      <c r="K17">
        <f ca="1">OFFSET(Baza!$BV15,0,K$2)</f>
        <v>6.1442302990000003E-2</v>
      </c>
      <c r="L17">
        <f ca="1">OFFSET(Baza!$BV15,0,L$2)</f>
        <v>5.1954287419999998</v>
      </c>
      <c r="M17">
        <f ca="1">OFFSET(Baza!$BV15,0,M$2)</f>
        <v>26.156981569999999</v>
      </c>
      <c r="N17">
        <f ca="1">OFFSET(Baza!$BV15,0,N$2)</f>
        <v>0.81702422630000004</v>
      </c>
      <c r="O17">
        <f ca="1">OFFSET(Baza!$BV15,0,O$2)</f>
        <v>172.63130910000001</v>
      </c>
    </row>
    <row r="18" spans="1:15" x14ac:dyDescent="0.2">
      <c r="A18" s="1" t="s">
        <v>256</v>
      </c>
      <c r="B18">
        <f>Baza!BV16</f>
        <v>1.177087158</v>
      </c>
      <c r="C18">
        <f ca="1">OFFSET(Baza!$BV16,0,C$2)</f>
        <v>2.0633923099999998</v>
      </c>
      <c r="D18">
        <f ca="1">OFFSET(Baza!$BV16,0,D$2)</f>
        <v>3.2404794680000002</v>
      </c>
      <c r="E18">
        <f ca="1">OFFSET(Baza!$BV16,0,E$2)</f>
        <v>1.1430962979999999</v>
      </c>
      <c r="F18">
        <f ca="1">OFFSET(Baza!$BV16,0,F$2)</f>
        <v>3.2404794680000002</v>
      </c>
      <c r="G18">
        <f ca="1">OFFSET(Baza!$BV16,0,G$2)</f>
        <v>0.3883391766</v>
      </c>
      <c r="H18">
        <f ca="1">OFFSET(Baza!$BV16,0,H$2)</f>
        <v>0.51611039219999999</v>
      </c>
      <c r="I18">
        <f ca="1">OFFSET(Baza!$BV16,0,I$2)</f>
        <v>-0.68695333780000001</v>
      </c>
      <c r="J18">
        <f ca="1">OFFSET(Baza!$BV16,0,J$2)</f>
        <v>4.8456750810000004</v>
      </c>
      <c r="K18">
        <f ca="1">OFFSET(Baza!$BV16,0,K$2)</f>
        <v>6.8161071379999993E-2</v>
      </c>
      <c r="L18">
        <f ca="1">OFFSET(Baza!$BV16,0,L$2)</f>
        <v>5.2309443680000003</v>
      </c>
      <c r="M18">
        <f ca="1">OFFSET(Baza!$BV16,0,M$2)</f>
        <v>36.841107139999998</v>
      </c>
      <c r="N18">
        <f ca="1">OFFSET(Baza!$BV16,0,N$2)</f>
        <v>0.75550241350000003</v>
      </c>
      <c r="O18">
        <f ca="1">OFFSET(Baza!$BV16,0,O$2)</f>
        <v>159.73657040000001</v>
      </c>
    </row>
    <row r="19" spans="1:15" x14ac:dyDescent="0.2">
      <c r="A1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19"/>
  <sheetViews>
    <sheetView topLeftCell="P1" workbookViewId="0">
      <selection activeCell="V10" sqref="V10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  <c r="U1" t="s">
        <v>273</v>
      </c>
    </row>
    <row r="2" spans="1:23" x14ac:dyDescent="0.2">
      <c r="B2" s="3" t="s">
        <v>257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Baza!DZ1</f>
        <v>50</v>
      </c>
      <c r="C3">
        <f ca="1">OFFSET(Baza!$DZ1,0,C$2)</f>
        <v>50</v>
      </c>
      <c r="D3">
        <f ca="1">OFFSET(Baza!$DZ1,0,D$2)</f>
        <v>50</v>
      </c>
      <c r="E3">
        <f ca="1">OFFSET(Baza!$DZ1,0,E$2)</f>
        <v>50</v>
      </c>
      <c r="F3">
        <f ca="1">OFFSET(Baza!$DZ1,0,F$2)</f>
        <v>50</v>
      </c>
      <c r="G3">
        <f ca="1">OFFSET(Baza!$DZ1,0,G$2)</f>
        <v>50</v>
      </c>
      <c r="H3">
        <f ca="1">OFFSET(Baza!$DZ1,0,H$2)</f>
        <v>50</v>
      </c>
      <c r="I3">
        <f ca="1">OFFSET(Baza!$DZ1,0,I$2)</f>
        <v>50</v>
      </c>
      <c r="J3">
        <f ca="1">OFFSET(Baza!$DZ1,0,J$2)</f>
        <v>50</v>
      </c>
      <c r="K3">
        <f ca="1">OFFSET(Baza!$DZ1,0,K$2)</f>
        <v>50</v>
      </c>
      <c r="L3">
        <f ca="1">OFFSET(Baza!$DZ1,0,L$2)</f>
        <v>50</v>
      </c>
      <c r="M3">
        <f ca="1">OFFSET(Baza!$DZ1,0,M$2)</f>
        <v>50</v>
      </c>
      <c r="N3">
        <f ca="1">OFFSET(Baza!$DZ1,0,N$2)</f>
        <v>50</v>
      </c>
      <c r="O3">
        <f ca="1">OFFSET(Baza!$DZ1,0,O$2)</f>
        <v>50</v>
      </c>
      <c r="P3">
        <f ca="1">OFFSET(Baza!$DZ1,0,P$2)</f>
        <v>50</v>
      </c>
      <c r="Q3">
        <f ca="1">OFFSET(Baza!$DZ1,0,Q$2)</f>
        <v>50</v>
      </c>
      <c r="R3">
        <f ca="1">OFFSET(Baza!$DZ1,0,R$2)</f>
        <v>50</v>
      </c>
      <c r="S3">
        <f ca="1">OFFSET(Baza!$DZ1,0,S$2)</f>
        <v>50</v>
      </c>
      <c r="T3">
        <f ca="1">OFFSET(Baza!$DZ1,0,T$2)</f>
        <v>50</v>
      </c>
    </row>
    <row r="4" spans="1:23" x14ac:dyDescent="0.2">
      <c r="B4" t="str">
        <f>Baza!DZ2</f>
        <v>Rp[Średnia]</v>
      </c>
      <c r="C4" t="str">
        <f ca="1">OFFSET(Baza!$DZ2,0,C$2)</f>
        <v>Rv[Średnia]</v>
      </c>
      <c r="D4" t="str">
        <f ca="1">OFFSET(Baza!$DZ2,0,D$2)</f>
        <v>Rz[Średnia]</v>
      </c>
      <c r="E4" t="str">
        <f ca="1">OFFSET(Baza!$DZ2,0,E$2)</f>
        <v>Rc (Brak uśredniania (pojedyncza wartość))[Średnia]</v>
      </c>
      <c r="F4" t="str">
        <f ca="1">OFFSET(Baza!$DZ2,0,F$2)</f>
        <v>Rt[Średnia]</v>
      </c>
      <c r="G4" t="str">
        <f ca="1">OFFSET(Baza!$DZ2,0,G$2)</f>
        <v>Ra[Średnia]</v>
      </c>
      <c r="H4" t="str">
        <f ca="1">OFFSET(Baza!$DZ2,0,H$2)</f>
        <v>Rq[Średnia]</v>
      </c>
      <c r="I4" t="str">
        <f ca="1">OFFSET(Baza!$DZ2,0,I$2)</f>
        <v>Rsk[Średnia]</v>
      </c>
      <c r="J4" t="str">
        <f ca="1">OFFSET(Baza!$DZ2,0,J$2)</f>
        <v>Rku[Średnia]</v>
      </c>
      <c r="K4" t="str">
        <f ca="1">OFFSET(Baza!$DZ2,0,K$2)</f>
        <v>Rp1max[Średnia]</v>
      </c>
      <c r="L4" t="str">
        <f ca="1">OFFSET(Baza!$DZ2,0,L$2)</f>
        <v>Rv1max[Średnia]</v>
      </c>
      <c r="M4" t="str">
        <f ca="1">OFFSET(Baza!$DZ2,0,M$2)</f>
        <v>Rz1max[Średnia]</v>
      </c>
      <c r="N4" t="str">
        <f ca="1">OFFSET(Baza!$DZ2,0,N$2)</f>
        <v>Rz(n) (Wskaźnik λc = 1)[Średnia]</v>
      </c>
      <c r="O4" t="str">
        <f ca="1">OFFSET(Baza!$DZ2,0,O$2)</f>
        <v>RSm (Brak uśredniania (pojedyncza wartość))[Średnia]</v>
      </c>
      <c r="P4" t="str">
        <f ca="1">OFFSET(Baza!$DZ2,0,P$2)</f>
        <v>Rdq[Średnia]</v>
      </c>
      <c r="Q4" t="str">
        <f ca="1">OFFSET(Baza!$DZ2,0,Q$2)</f>
        <v>Rmr (c = 1 µm poniżej najwyższego wypiętrzenia)[Średnia]</v>
      </c>
      <c r="R4" t="str">
        <f ca="1">OFFSET(Baza!$DZ2,0,R$2)</f>
        <v>Rdc (p = 20%, q = 80%)[Średnia]</v>
      </c>
      <c r="S4" t="str">
        <f ca="1">OFFSET(Baza!$DZ2,0,S$2)</f>
        <v>Rmr (Rz/4) (c = Rz/4 µm powyżej płaszczyzny średniej)[Średnia]</v>
      </c>
      <c r="T4" t="str">
        <f ca="1">OFFSET(Baza!$DZ2,0,T$2)</f>
        <v>RPc (Brak uśredniania (pojedyncza wartość))[Średnia]</v>
      </c>
    </row>
    <row r="5" spans="1:23" x14ac:dyDescent="0.2">
      <c r="B5" t="str">
        <f>Baza!DZ3</f>
        <v>µm</v>
      </c>
      <c r="C5" t="str">
        <f ca="1">OFFSET(Baza!$DZ3,0,C$2)</f>
        <v>µm</v>
      </c>
      <c r="D5" t="str">
        <f ca="1">OFFSET(Baza!$DZ3,0,D$2)</f>
        <v>µm</v>
      </c>
      <c r="E5" t="str">
        <f ca="1">OFFSET(Baza!$DZ3,0,E$2)</f>
        <v>µm</v>
      </c>
      <c r="F5" t="str">
        <f ca="1">OFFSET(Baza!$DZ3,0,F$2)</f>
        <v>µm</v>
      </c>
      <c r="G5" t="str">
        <f ca="1">OFFSET(Baza!$DZ3,0,G$2)</f>
        <v>µm</v>
      </c>
      <c r="H5" t="str">
        <f ca="1">OFFSET(Baza!$DZ3,0,H$2)</f>
        <v>µm</v>
      </c>
      <c r="I5" t="str">
        <f ca="1">OFFSET(Baza!$DZ3,0,I$2)</f>
        <v>&lt;no unit&gt;</v>
      </c>
      <c r="J5" t="str">
        <f ca="1">OFFSET(Baza!$DZ3,0,J$2)</f>
        <v>&lt;no unit&gt;</v>
      </c>
      <c r="K5" t="str">
        <f ca="1">OFFSET(Baza!$DZ3,0,K$2)</f>
        <v>µm</v>
      </c>
      <c r="L5" t="str">
        <f ca="1">OFFSET(Baza!$DZ3,0,L$2)</f>
        <v>µm</v>
      </c>
      <c r="M5" t="str">
        <f ca="1">OFFSET(Baza!$DZ3,0,M$2)</f>
        <v>µm</v>
      </c>
      <c r="N5" t="str">
        <f ca="1">OFFSET(Baza!$DZ3,0,N$2)</f>
        <v>µm</v>
      </c>
      <c r="O5" t="str">
        <f ca="1">OFFSET(Baza!$DZ3,0,O$2)</f>
        <v>mm</v>
      </c>
      <c r="P5" t="str">
        <f ca="1">OFFSET(Baza!$DZ3,0,P$2)</f>
        <v>°</v>
      </c>
      <c r="Q5" t="str">
        <f ca="1">OFFSET(Baza!$DZ3,0,Q$2)</f>
        <v>%</v>
      </c>
      <c r="R5" t="str">
        <f ca="1">OFFSET(Baza!$DZ3,0,R$2)</f>
        <v>µm</v>
      </c>
      <c r="S5" t="str">
        <f ca="1">OFFSET(Baza!$DZ3,0,S$2)</f>
        <v>%</v>
      </c>
      <c r="T5" t="str">
        <f ca="1">OFFSET(Baza!$DZ3,0,T$2)</f>
        <v>1/cm</v>
      </c>
    </row>
    <row r="6" spans="1:23" x14ac:dyDescent="0.2">
      <c r="A6" s="1" t="s">
        <v>244</v>
      </c>
      <c r="B6">
        <f>Baza!DZ4</f>
        <v>1.445407347</v>
      </c>
      <c r="C6">
        <f ca="1">OFFSET(Baza!$DZ4,0,C$2)</f>
        <v>1.9060697579999999</v>
      </c>
      <c r="D6">
        <f ca="1">OFFSET(Baza!$DZ4,0,D$2)</f>
        <v>3.3514771049999998</v>
      </c>
      <c r="E6">
        <f ca="1">OFFSET(Baza!$DZ4,0,E$2)</f>
        <v>1.2791539000000001</v>
      </c>
      <c r="F6">
        <f ca="1">OFFSET(Baza!$DZ4,0,F$2)</f>
        <v>4.8079485789999996</v>
      </c>
      <c r="G6">
        <f ca="1">OFFSET(Baza!$DZ4,0,G$2)</f>
        <v>0.41672676009999998</v>
      </c>
      <c r="H6">
        <f ca="1">OFFSET(Baza!$DZ4,0,H$2)</f>
        <v>0.54620433509999999</v>
      </c>
      <c r="I6">
        <f ca="1">OFFSET(Baza!$DZ4,0,I$2)</f>
        <v>-0.39313084399999998</v>
      </c>
      <c r="J6">
        <f ca="1">OFFSET(Baza!$DZ4,0,J$2)</f>
        <v>4.4399972070000002</v>
      </c>
      <c r="K6">
        <f ca="1">OFFSET(Baza!$DZ4,0,K$2)</f>
        <v>2.1110979940000001</v>
      </c>
      <c r="L6">
        <f ca="1">OFFSET(Baza!$DZ4,0,L$2)</f>
        <v>2.696850585</v>
      </c>
      <c r="M6">
        <f ca="1">OFFSET(Baza!$DZ4,0,M$2)</f>
        <v>4.4129888419999999</v>
      </c>
      <c r="N6">
        <f ca="1">OFFSET(Baza!$DZ4,0,N$2)</f>
        <v>3.5023688420000001</v>
      </c>
      <c r="O6">
        <f ca="1">OFFSET(Baza!$DZ4,0,O$2)</f>
        <v>4.5987209770000002E-2</v>
      </c>
      <c r="P6">
        <f ca="1">OFFSET(Baza!$DZ4,0,P$2)</f>
        <v>6.0936613739999999</v>
      </c>
      <c r="Q6">
        <f ca="1">OFFSET(Baza!$DZ4,0,Q$2)</f>
        <v>6.6587546700000004</v>
      </c>
      <c r="R6">
        <f ca="1">OFFSET(Baza!$DZ4,0,R$2)</f>
        <v>0.81522523710000006</v>
      </c>
      <c r="S6">
        <f ca="1">OFFSET(Baza!$DZ4,0,S$2)</f>
        <v>5.0246044249999997</v>
      </c>
      <c r="T6">
        <f ca="1">OFFSET(Baza!$DZ4,0,T$2)</f>
        <v>226.83927790000001</v>
      </c>
      <c r="U6" s="6">
        <f ca="1">B6/C6</f>
        <v>0.75831817851023264</v>
      </c>
    </row>
    <row r="7" spans="1:23" x14ac:dyDescent="0.2">
      <c r="A7" s="1" t="s">
        <v>245</v>
      </c>
      <c r="B7">
        <f>Baza!DZ5</f>
        <v>1.4976747859999999</v>
      </c>
      <c r="C7">
        <f ca="1">OFFSET(Baza!$DZ5,0,C$2)</f>
        <v>2.3322329509999999</v>
      </c>
      <c r="D7">
        <f ca="1">OFFSET(Baza!$DZ5,0,D$2)</f>
        <v>3.8299077370000001</v>
      </c>
      <c r="E7">
        <f ca="1">OFFSET(Baza!$DZ5,0,E$2)</f>
        <v>1.5293794350000001</v>
      </c>
      <c r="F7">
        <f ca="1">OFFSET(Baza!$DZ5,0,F$2)</f>
        <v>5.3121252109999997</v>
      </c>
      <c r="G7">
        <f ca="1">OFFSET(Baza!$DZ5,0,G$2)</f>
        <v>0.48644677790000002</v>
      </c>
      <c r="H7">
        <f ca="1">OFFSET(Baza!$DZ5,0,H$2)</f>
        <v>0.62893431570000002</v>
      </c>
      <c r="I7">
        <f ca="1">OFFSET(Baza!$DZ5,0,I$2)</f>
        <v>-0.55564948739999998</v>
      </c>
      <c r="J7">
        <f ca="1">OFFSET(Baza!$DZ5,0,J$2)</f>
        <v>4.3465192510000001</v>
      </c>
      <c r="K7">
        <f ca="1">OFFSET(Baza!$DZ5,0,K$2)</f>
        <v>2.0846902150000002</v>
      </c>
      <c r="L7">
        <f ca="1">OFFSET(Baza!$DZ5,0,L$2)</f>
        <v>3.2274349959999999</v>
      </c>
      <c r="M7">
        <f ca="1">OFFSET(Baza!$DZ5,0,M$2)</f>
        <v>4.9386755259999999</v>
      </c>
      <c r="N7">
        <f ca="1">OFFSET(Baza!$DZ5,0,N$2)</f>
        <v>4.066269632</v>
      </c>
      <c r="O7">
        <f ca="1">OFFSET(Baza!$DZ5,0,O$2)</f>
        <v>4.4097046889999998E-2</v>
      </c>
      <c r="P7">
        <f ca="1">OFFSET(Baza!$DZ5,0,P$2)</f>
        <v>7.3221537860000003</v>
      </c>
      <c r="Q7">
        <f ca="1">OFFSET(Baza!$DZ5,0,Q$2)</f>
        <v>7.3082106490000003</v>
      </c>
      <c r="R7">
        <f ca="1">OFFSET(Baza!$DZ5,0,R$2)</f>
        <v>0.97028465450000001</v>
      </c>
      <c r="S7">
        <f ca="1">OFFSET(Baza!$DZ5,0,S$2)</f>
        <v>4.7294710010000003</v>
      </c>
      <c r="T7">
        <f ca="1">OFFSET(Baza!$DZ5,0,T$2)</f>
        <v>235.49060399999999</v>
      </c>
      <c r="U7" s="6">
        <f t="shared" ref="U7:U18" ca="1" si="2">B7/C7</f>
        <v>0.642163461998012</v>
      </c>
    </row>
    <row r="8" spans="1:23" x14ac:dyDescent="0.2">
      <c r="A8" s="1" t="s">
        <v>246</v>
      </c>
      <c r="B8">
        <f>Baza!DZ6</f>
        <v>1.655413096</v>
      </c>
      <c r="C8">
        <f ca="1">OFFSET(Baza!$DZ6,0,C$2)</f>
        <v>2.6566432569999998</v>
      </c>
      <c r="D8">
        <f ca="1">OFFSET(Baza!$DZ6,0,D$2)</f>
        <v>4.312056353</v>
      </c>
      <c r="E8">
        <f ca="1">OFFSET(Baza!$DZ6,0,E$2)</f>
        <v>1.747334285</v>
      </c>
      <c r="F8">
        <f ca="1">OFFSET(Baza!$DZ6,0,F$2)</f>
        <v>5.8856803680000001</v>
      </c>
      <c r="G8">
        <f ca="1">OFFSET(Baza!$DZ6,0,G$2)</f>
        <v>0.54805476990000002</v>
      </c>
      <c r="H8">
        <f ca="1">OFFSET(Baza!$DZ6,0,H$2)</f>
        <v>0.7072526724</v>
      </c>
      <c r="I8">
        <f ca="1">OFFSET(Baza!$DZ6,0,I$2)</f>
        <v>-0.57512828090000001</v>
      </c>
      <c r="J8">
        <f ca="1">OFFSET(Baza!$DZ6,0,J$2)</f>
        <v>4.3178151769999999</v>
      </c>
      <c r="K8">
        <f ca="1">OFFSET(Baza!$DZ6,0,K$2)</f>
        <v>2.1954032990000001</v>
      </c>
      <c r="L8">
        <f ca="1">OFFSET(Baza!$DZ6,0,L$2)</f>
        <v>3.690277069</v>
      </c>
      <c r="M8">
        <f ca="1">OFFSET(Baza!$DZ6,0,M$2)</f>
        <v>5.5477448420000002</v>
      </c>
      <c r="N8">
        <f ca="1">OFFSET(Baza!$DZ6,0,N$2)</f>
        <v>4.7266365260000001</v>
      </c>
      <c r="O8">
        <f ca="1">OFFSET(Baza!$DZ6,0,O$2)</f>
        <v>4.3331336819999997E-2</v>
      </c>
      <c r="P8">
        <f ca="1">OFFSET(Baza!$DZ6,0,P$2)</f>
        <v>8.31325425</v>
      </c>
      <c r="Q8">
        <f ca="1">OFFSET(Baza!$DZ6,0,Q$2)</f>
        <v>5.2695093499999999</v>
      </c>
      <c r="R8">
        <f ca="1">OFFSET(Baza!$DZ6,0,R$2)</f>
        <v>1.093501482</v>
      </c>
      <c r="S8">
        <f ca="1">OFFSET(Baza!$DZ6,0,S$2)</f>
        <v>4.840028598</v>
      </c>
      <c r="T8">
        <f ca="1">OFFSET(Baza!$DZ6,0,T$2)</f>
        <v>238.17505560000001</v>
      </c>
      <c r="U8" s="6">
        <f t="shared" ca="1" si="2"/>
        <v>0.62312208898885668</v>
      </c>
    </row>
    <row r="9" spans="1:23" x14ac:dyDescent="0.2">
      <c r="A9" s="1" t="s">
        <v>247</v>
      </c>
      <c r="B9">
        <f>Baza!DZ7</f>
        <v>2.0430311460000001</v>
      </c>
      <c r="C9">
        <f ca="1">OFFSET(Baza!$DZ7,0,C$2)</f>
        <v>2.2727125460000002</v>
      </c>
      <c r="D9">
        <f ca="1">OFFSET(Baza!$DZ7,0,D$2)</f>
        <v>4.3157436919999999</v>
      </c>
      <c r="E9">
        <f ca="1">OFFSET(Baza!$DZ7,0,E$2)</f>
        <v>1.514534227</v>
      </c>
      <c r="F9">
        <f ca="1">OFFSET(Baza!$DZ7,0,F$2)</f>
        <v>6.6983501580000002</v>
      </c>
      <c r="G9">
        <f ca="1">OFFSET(Baza!$DZ7,0,G$2)</f>
        <v>0.46781046869999998</v>
      </c>
      <c r="H9">
        <f ca="1">OFFSET(Baza!$DZ7,0,H$2)</f>
        <v>0.62778484109999999</v>
      </c>
      <c r="I9">
        <f ca="1">OFFSET(Baza!$DZ7,0,I$2)</f>
        <v>-0.22864668490000001</v>
      </c>
      <c r="J9">
        <f ca="1">OFFSET(Baza!$DZ7,0,J$2)</f>
        <v>5.4401432940000003</v>
      </c>
      <c r="K9">
        <f ca="1">OFFSET(Baza!$DZ7,0,K$2)</f>
        <v>3.61552965</v>
      </c>
      <c r="L9">
        <f ca="1">OFFSET(Baza!$DZ7,0,L$2)</f>
        <v>3.0828205080000002</v>
      </c>
      <c r="M9">
        <f ca="1">OFFSET(Baza!$DZ7,0,M$2)</f>
        <v>6.2256989999999996</v>
      </c>
      <c r="N9">
        <f ca="1">OFFSET(Baza!$DZ7,0,N$2)</f>
        <v>4.415171526</v>
      </c>
      <c r="O9">
        <f ca="1">OFFSET(Baza!$DZ7,0,O$2)</f>
        <v>3.8542038549999998E-2</v>
      </c>
      <c r="P9">
        <f ca="1">OFFSET(Baza!$DZ7,0,P$2)</f>
        <v>9.212182898</v>
      </c>
      <c r="Q9">
        <f ca="1">OFFSET(Baza!$DZ7,0,Q$2)</f>
        <v>1.7115812290000001</v>
      </c>
      <c r="R9">
        <f ca="1">OFFSET(Baza!$DZ7,0,R$2)</f>
        <v>0.89807310740000001</v>
      </c>
      <c r="S9">
        <f ca="1">OFFSET(Baza!$DZ7,0,S$2)</f>
        <v>3.1167845669999998</v>
      </c>
      <c r="T9">
        <f ca="1">OFFSET(Baza!$DZ7,0,T$2)</f>
        <v>270.5914449</v>
      </c>
      <c r="U9" s="6">
        <f t="shared" ca="1" si="2"/>
        <v>0.89893952915240338</v>
      </c>
    </row>
    <row r="10" spans="1:23" x14ac:dyDescent="0.2">
      <c r="A10" s="1" t="s">
        <v>248</v>
      </c>
      <c r="B10">
        <f>Baza!DZ8</f>
        <v>1.897543263</v>
      </c>
      <c r="C10">
        <f ca="1">OFFSET(Baza!$DZ8,0,C$2)</f>
        <v>2.890815173</v>
      </c>
      <c r="D10">
        <f ca="1">OFFSET(Baza!$DZ8,0,D$2)</f>
        <v>4.7883584360000002</v>
      </c>
      <c r="E10">
        <f ca="1">OFFSET(Baza!$DZ8,0,E$2)</f>
        <v>1.7859229729999999</v>
      </c>
      <c r="F10">
        <f ca="1">OFFSET(Baza!$DZ8,0,F$2)</f>
        <v>6.9774020529999996</v>
      </c>
      <c r="G10">
        <f ca="1">OFFSET(Baza!$DZ8,0,G$2)</f>
        <v>0.54822892550000002</v>
      </c>
      <c r="H10">
        <f ca="1">OFFSET(Baza!$DZ8,0,H$2)</f>
        <v>0.72213013660000003</v>
      </c>
      <c r="I10">
        <f ca="1">OFFSET(Baza!$DZ8,0,I$2)</f>
        <v>-0.59483144219999995</v>
      </c>
      <c r="J10">
        <f ca="1">OFFSET(Baza!$DZ8,0,J$2)</f>
        <v>5.0805433039999999</v>
      </c>
      <c r="K10">
        <f ca="1">OFFSET(Baza!$DZ8,0,K$2)</f>
        <v>3.05425879</v>
      </c>
      <c r="L10">
        <f ca="1">OFFSET(Baza!$DZ8,0,L$2)</f>
        <v>3.923143263</v>
      </c>
      <c r="M10">
        <f ca="1">OFFSET(Baza!$DZ8,0,M$2)</f>
        <v>6.4415343160000003</v>
      </c>
      <c r="N10">
        <f ca="1">OFFSET(Baza!$DZ8,0,N$2)</f>
        <v>5.0332980530000002</v>
      </c>
      <c r="O10">
        <f ca="1">OFFSET(Baza!$DZ8,0,O$2)</f>
        <v>3.634705891E-2</v>
      </c>
      <c r="P10">
        <f ca="1">OFFSET(Baza!$DZ8,0,P$2)</f>
        <v>10.820708209999999</v>
      </c>
      <c r="Q10">
        <f ca="1">OFFSET(Baza!$DZ8,0,Q$2)</f>
        <v>2.2553187719999999</v>
      </c>
      <c r="R10">
        <f ca="1">OFFSET(Baza!$DZ8,0,R$2)</f>
        <v>1.070576403</v>
      </c>
      <c r="S10">
        <f ca="1">OFFSET(Baza!$DZ8,0,S$2)</f>
        <v>3.019659984</v>
      </c>
      <c r="T10">
        <f ca="1">OFFSET(Baza!$DZ8,0,T$2)</f>
        <v>284.6087278</v>
      </c>
      <c r="U10" s="6">
        <f t="shared" ca="1" si="2"/>
        <v>0.65640421453537179</v>
      </c>
    </row>
    <row r="11" spans="1:23" x14ac:dyDescent="0.2">
      <c r="A11" s="1" t="s">
        <v>249</v>
      </c>
      <c r="B11">
        <f>Baza!DZ9</f>
        <v>2.0612414549999998</v>
      </c>
      <c r="C11">
        <f ca="1">OFFSET(Baza!$DZ9,0,C$2)</f>
        <v>3.3083383569999998</v>
      </c>
      <c r="D11">
        <f ca="1">OFFSET(Baza!$DZ9,0,D$2)</f>
        <v>5.3695798119999996</v>
      </c>
      <c r="E11">
        <f ca="1">OFFSET(Baza!$DZ9,0,E$2)</f>
        <v>2.03056678</v>
      </c>
      <c r="F11">
        <f ca="1">OFFSET(Baza!$DZ9,0,F$2)</f>
        <v>7.7045292109999997</v>
      </c>
      <c r="G11">
        <f ca="1">OFFSET(Baza!$DZ9,0,G$2)</f>
        <v>0.61646880400000004</v>
      </c>
      <c r="H11">
        <f ca="1">OFFSET(Baza!$DZ9,0,H$2)</f>
        <v>0.80936432520000001</v>
      </c>
      <c r="I11">
        <f ca="1">OFFSET(Baza!$DZ9,0,I$2)</f>
        <v>-0.66050776730000005</v>
      </c>
      <c r="J11">
        <f ca="1">OFFSET(Baza!$DZ9,0,J$2)</f>
        <v>4.975904442</v>
      </c>
      <c r="K11">
        <f ca="1">OFFSET(Baza!$DZ9,0,K$2)</f>
        <v>3.12374229</v>
      </c>
      <c r="L11">
        <f ca="1">OFFSET(Baza!$DZ9,0,L$2)</f>
        <v>4.5807869209999996</v>
      </c>
      <c r="M11">
        <f ca="1">OFFSET(Baza!$DZ9,0,M$2)</f>
        <v>7.1457706840000004</v>
      </c>
      <c r="N11">
        <f ca="1">OFFSET(Baza!$DZ9,0,N$2)</f>
        <v>5.7234839470000001</v>
      </c>
      <c r="O11">
        <f ca="1">OFFSET(Baza!$DZ9,0,O$2)</f>
        <v>3.5964000039999999E-2</v>
      </c>
      <c r="P11">
        <f ca="1">OFFSET(Baza!$DZ9,0,P$2)</f>
        <v>12.093740739999999</v>
      </c>
      <c r="Q11">
        <f ca="1">OFFSET(Baza!$DZ9,0,Q$2)</f>
        <v>1.671536484</v>
      </c>
      <c r="R11">
        <f ca="1">OFFSET(Baza!$DZ9,0,R$2)</f>
        <v>1.204829505</v>
      </c>
      <c r="S11">
        <f ca="1">OFFSET(Baza!$DZ9,0,S$2)</f>
        <v>3.1282172450000001</v>
      </c>
      <c r="T11">
        <f ca="1">OFFSET(Baza!$DZ9,0,T$2)</f>
        <v>285.5517754</v>
      </c>
      <c r="U11" s="6">
        <f t="shared" ca="1" si="2"/>
        <v>0.6230443299847761</v>
      </c>
    </row>
    <row r="12" spans="1:23" x14ac:dyDescent="0.2">
      <c r="A12" s="1" t="s">
        <v>250</v>
      </c>
      <c r="B12">
        <f>Baza!DZ10</f>
        <v>1.602806583</v>
      </c>
      <c r="C12">
        <f ca="1">OFFSET(Baza!$DZ10,0,C$2)</f>
        <v>1.6602634549999999</v>
      </c>
      <c r="D12">
        <f ca="1">OFFSET(Baza!$DZ10,0,D$2)</f>
        <v>3.263070038</v>
      </c>
      <c r="E12">
        <f ca="1">OFFSET(Baza!$DZ10,0,E$2)</f>
        <v>1.410391435</v>
      </c>
      <c r="F12">
        <f ca="1">OFFSET(Baza!$DZ10,0,F$2)</f>
        <v>4.9323165790000001</v>
      </c>
      <c r="G12">
        <f ca="1">OFFSET(Baza!$DZ10,0,G$2)</f>
        <v>0.43199486300000001</v>
      </c>
      <c r="H12">
        <f ca="1">OFFSET(Baza!$DZ10,0,H$2)</f>
        <v>0.56211732749999999</v>
      </c>
      <c r="I12">
        <f ca="1">OFFSET(Baza!$DZ10,0,I$2)</f>
        <v>-0.15719426189999999</v>
      </c>
      <c r="J12">
        <f ca="1">OFFSET(Baza!$DZ10,0,J$2)</f>
        <v>4.060724639</v>
      </c>
      <c r="K12">
        <f ca="1">OFFSET(Baza!$DZ10,0,K$2)</f>
        <v>2.559569771</v>
      </c>
      <c r="L12">
        <f ca="1">OFFSET(Baza!$DZ10,0,L$2)</f>
        <v>2.372746808</v>
      </c>
      <c r="M12">
        <f ca="1">OFFSET(Baza!$DZ10,0,M$2)</f>
        <v>4.5755881049999996</v>
      </c>
      <c r="N12">
        <f ca="1">OFFSET(Baza!$DZ10,0,N$2)</f>
        <v>3.8408004739999999</v>
      </c>
      <c r="O12">
        <f ca="1">OFFSET(Baza!$DZ10,0,O$2)</f>
        <v>7.0871705490000006E-2</v>
      </c>
      <c r="P12">
        <f ca="1">OFFSET(Baza!$DZ10,0,P$2)</f>
        <v>3.9500172419999999</v>
      </c>
      <c r="Q12">
        <f ca="1">OFFSET(Baza!$DZ10,0,Q$2)</f>
        <v>4.5879303489999996</v>
      </c>
      <c r="R12">
        <f ca="1">OFFSET(Baza!$DZ10,0,R$2)</f>
        <v>0.85683054599999997</v>
      </c>
      <c r="S12">
        <f ca="1">OFFSET(Baza!$DZ10,0,S$2)</f>
        <v>6.0265258560000001</v>
      </c>
      <c r="T12">
        <f ca="1">OFFSET(Baza!$DZ10,0,T$2)</f>
        <v>144.69588640000001</v>
      </c>
      <c r="U12" s="6">
        <f t="shared" ca="1" si="2"/>
        <v>0.96539291892081069</v>
      </c>
    </row>
    <row r="13" spans="1:23" x14ac:dyDescent="0.2">
      <c r="A13" s="1" t="s">
        <v>251</v>
      </c>
      <c r="B13">
        <f>Baza!DZ11</f>
        <v>1.463264696</v>
      </c>
      <c r="C13">
        <f ca="1">OFFSET(Baza!$DZ11,0,C$2)</f>
        <v>1.38890234</v>
      </c>
      <c r="D13">
        <f ca="1">OFFSET(Baza!$DZ11,0,D$2)</f>
        <v>2.852167036</v>
      </c>
      <c r="E13">
        <f ca="1">OFFSET(Baza!$DZ11,0,E$2)</f>
        <v>1.230591467</v>
      </c>
      <c r="F13">
        <f ca="1">OFFSET(Baza!$DZ11,0,F$2)</f>
        <v>4.5875364789999997</v>
      </c>
      <c r="G13">
        <f ca="1">OFFSET(Baza!$DZ11,0,G$2)</f>
        <v>0.3744636059</v>
      </c>
      <c r="H13">
        <f ca="1">OFFSET(Baza!$DZ11,0,H$2)</f>
        <v>0.48846797559999999</v>
      </c>
      <c r="I13">
        <f ca="1">OFFSET(Baza!$DZ11,0,I$2)</f>
        <v>2.542559145E-2</v>
      </c>
      <c r="J13">
        <f ca="1">OFFSET(Baza!$DZ11,0,J$2)</f>
        <v>4.5169275170000001</v>
      </c>
      <c r="K13">
        <f ca="1">OFFSET(Baza!$DZ11,0,K$2)</f>
        <v>2.5236801739999999</v>
      </c>
      <c r="L13">
        <f ca="1">OFFSET(Baza!$DZ11,0,L$2)</f>
        <v>2.0638563049999998</v>
      </c>
      <c r="M13">
        <f ca="1">OFFSET(Baza!$DZ11,0,M$2)</f>
        <v>4.1728012999999997</v>
      </c>
      <c r="N13">
        <f ca="1">OFFSET(Baza!$DZ11,0,N$2)</f>
        <v>3.2348388209999999</v>
      </c>
      <c r="O13">
        <f ca="1">OFFSET(Baza!$DZ11,0,O$2)</f>
        <v>7.0769981379999999E-2</v>
      </c>
      <c r="P13">
        <f ca="1">OFFSET(Baza!$DZ11,0,P$2)</f>
        <v>3.4202610830000002</v>
      </c>
      <c r="Q13">
        <f ca="1">OFFSET(Baza!$DZ11,0,Q$2)</f>
        <v>3.3173660260000002</v>
      </c>
      <c r="R13">
        <f ca="1">OFFSET(Baza!$DZ11,0,R$2)</f>
        <v>0.75105616070000003</v>
      </c>
      <c r="S13">
        <f ca="1">OFFSET(Baza!$DZ11,0,S$2)</f>
        <v>6.3686096110000001</v>
      </c>
      <c r="T13">
        <f ca="1">OFFSET(Baza!$DZ11,0,T$2)</f>
        <v>145.86868989999999</v>
      </c>
      <c r="U13" s="6">
        <f t="shared" ca="1" si="2"/>
        <v>1.053540377792149</v>
      </c>
    </row>
    <row r="14" spans="1:23" x14ac:dyDescent="0.2">
      <c r="A14" s="1" t="s">
        <v>252</v>
      </c>
      <c r="B14">
        <f>Baza!DZ12</f>
        <v>1.999794539</v>
      </c>
      <c r="C14">
        <f ca="1">OFFSET(Baza!$DZ12,0,C$2)</f>
        <v>1.528685182</v>
      </c>
      <c r="D14">
        <f ca="1">OFFSET(Baza!$DZ12,0,D$2)</f>
        <v>3.5284797220000002</v>
      </c>
      <c r="E14">
        <f ca="1">OFFSET(Baza!$DZ12,0,E$2)</f>
        <v>1.4788280760000001</v>
      </c>
      <c r="F14">
        <f ca="1">OFFSET(Baza!$DZ12,0,F$2)</f>
        <v>5.9920099999999996</v>
      </c>
      <c r="G14">
        <f ca="1">OFFSET(Baza!$DZ12,0,G$2)</f>
        <v>0.42705643580000002</v>
      </c>
      <c r="H14">
        <f ca="1">OFFSET(Baza!$DZ12,0,H$2)</f>
        <v>0.56642921820000003</v>
      </c>
      <c r="I14">
        <f ca="1">OFFSET(Baza!$DZ12,0,I$2)</f>
        <v>0.31704229439999998</v>
      </c>
      <c r="J14">
        <f ca="1">OFFSET(Baza!$DZ12,0,J$2)</f>
        <v>5.3393510439999998</v>
      </c>
      <c r="K14">
        <f ca="1">OFFSET(Baza!$DZ12,0,K$2)</f>
        <v>3.6742206519999998</v>
      </c>
      <c r="L14">
        <f ca="1">OFFSET(Baza!$DZ12,0,L$2)</f>
        <v>2.3177893479999998</v>
      </c>
      <c r="M14">
        <f ca="1">OFFSET(Baza!$DZ12,0,M$2)</f>
        <v>5.4764694739999999</v>
      </c>
      <c r="N14">
        <f ca="1">OFFSET(Baza!$DZ12,0,N$2)</f>
        <v>4.0871986319999998</v>
      </c>
      <c r="O14">
        <f ca="1">OFFSET(Baza!$DZ12,0,O$2)</f>
        <v>6.9786291380000004E-2</v>
      </c>
      <c r="P14">
        <f ca="1">OFFSET(Baza!$DZ12,0,P$2)</f>
        <v>4.3057825430000003</v>
      </c>
      <c r="Q14">
        <f ca="1">OFFSET(Baza!$DZ12,0,Q$2)</f>
        <v>0.81198849090000003</v>
      </c>
      <c r="R14">
        <f ca="1">OFFSET(Baza!$DZ12,0,R$2)</f>
        <v>0.8434454831</v>
      </c>
      <c r="S14">
        <f ca="1">OFFSET(Baza!$DZ12,0,S$2)</f>
        <v>5.6286062929999998</v>
      </c>
      <c r="T14">
        <f ca="1">OFFSET(Baza!$DZ12,0,T$2)</f>
        <v>146.90766740000001</v>
      </c>
      <c r="U14" s="6">
        <f t="shared" ca="1" si="2"/>
        <v>1.308179448945558</v>
      </c>
    </row>
    <row r="15" spans="1:23" x14ac:dyDescent="0.2">
      <c r="A15" s="1" t="s">
        <v>253</v>
      </c>
      <c r="B15">
        <f>Baza!DZ13</f>
        <v>1.332703679</v>
      </c>
      <c r="C15">
        <f ca="1">OFFSET(Baza!$DZ13,0,C$2)</f>
        <v>1.7206110379999999</v>
      </c>
      <c r="D15">
        <f ca="1">OFFSET(Baza!$DZ13,0,D$2)</f>
        <v>3.0533147170000001</v>
      </c>
      <c r="E15">
        <f ca="1">OFFSET(Baza!$DZ13,0,E$2)</f>
        <v>1.3736231569999999</v>
      </c>
      <c r="F15">
        <f ca="1">OFFSET(Baza!$DZ13,0,F$2)</f>
        <v>4.2882191110000001</v>
      </c>
      <c r="G15">
        <f ca="1">OFFSET(Baza!$DZ13,0,G$2)</f>
        <v>0.41027349619999998</v>
      </c>
      <c r="H15">
        <f ca="1">OFFSET(Baza!$DZ13,0,H$2)</f>
        <v>0.52613992990000003</v>
      </c>
      <c r="I15">
        <f ca="1">OFFSET(Baza!$DZ13,0,I$2)</f>
        <v>-0.34962757360000002</v>
      </c>
      <c r="J15">
        <f ca="1">OFFSET(Baza!$DZ13,0,J$2)</f>
        <v>4.0323975519999999</v>
      </c>
      <c r="K15">
        <f ca="1">OFFSET(Baza!$DZ13,0,K$2)</f>
        <v>1.7566758710000001</v>
      </c>
      <c r="L15">
        <f ca="1">OFFSET(Baza!$DZ13,0,L$2)</f>
        <v>2.5315114030000001</v>
      </c>
      <c r="M15">
        <f ca="1">OFFSET(Baza!$DZ13,0,M$2)</f>
        <v>4.0199492369999996</v>
      </c>
      <c r="N15">
        <f ca="1">OFFSET(Baza!$DZ13,0,N$2)</f>
        <v>3.3780990470000001</v>
      </c>
      <c r="O15">
        <f ca="1">OFFSET(Baza!$DZ13,0,O$2)</f>
        <v>6.3060662700000006E-2</v>
      </c>
      <c r="P15">
        <f ca="1">OFFSET(Baza!$DZ13,0,P$2)</f>
        <v>6.6094169110000003</v>
      </c>
      <c r="Q15">
        <f ca="1">OFFSET(Baza!$DZ13,0,Q$2)</f>
        <v>8.7496183639999998</v>
      </c>
      <c r="R15">
        <f ca="1">OFFSET(Baza!$DZ13,0,R$2)</f>
        <v>0.81865640129999995</v>
      </c>
      <c r="S15">
        <f ca="1">OFFSET(Baza!$DZ13,0,S$2)</f>
        <v>5.9245726210000003</v>
      </c>
      <c r="T15">
        <f ca="1">OFFSET(Baza!$DZ13,0,T$2)</f>
        <v>161.97545199999999</v>
      </c>
      <c r="U15" s="7">
        <f t="shared" ca="1" si="2"/>
        <v>0.77455255695041059</v>
      </c>
    </row>
    <row r="16" spans="1:23" x14ac:dyDescent="0.2">
      <c r="A16" s="1" t="s">
        <v>254</v>
      </c>
      <c r="B16">
        <f>Baza!DZ14</f>
        <v>1.638527031</v>
      </c>
      <c r="C16">
        <f ca="1">OFFSET(Baza!$DZ14,0,C$2)</f>
        <v>1.6588290640000001</v>
      </c>
      <c r="D16">
        <f ca="1">OFFSET(Baza!$DZ14,0,D$2)</f>
        <v>3.297356095</v>
      </c>
      <c r="E16">
        <f ca="1">OFFSET(Baza!$DZ14,0,E$2)</f>
        <v>1.470592892</v>
      </c>
      <c r="F16">
        <f ca="1">OFFSET(Baza!$DZ14,0,F$2)</f>
        <v>7.1742256260000001</v>
      </c>
      <c r="G16">
        <f ca="1">OFFSET(Baza!$DZ14,0,G$2)</f>
        <v>0.4032881526</v>
      </c>
      <c r="H16">
        <f ca="1">OFFSET(Baza!$DZ14,0,H$2)</f>
        <v>0.56743911079999998</v>
      </c>
      <c r="I16">
        <f ca="1">OFFSET(Baza!$DZ14,0,I$2)</f>
        <v>-0.2094872639</v>
      </c>
      <c r="J16">
        <f ca="1">OFFSET(Baza!$DZ14,0,J$2)</f>
        <v>7.0729680210000003</v>
      </c>
      <c r="K16">
        <f ca="1">OFFSET(Baza!$DZ14,0,K$2)</f>
        <v>4.7540333759999998</v>
      </c>
      <c r="L16">
        <f ca="1">OFFSET(Baza!$DZ14,0,L$2)</f>
        <v>2.420192251</v>
      </c>
      <c r="M16">
        <f ca="1">OFFSET(Baza!$DZ14,0,M$2)</f>
        <v>6.8773316629999997</v>
      </c>
      <c r="N16">
        <f ca="1">OFFSET(Baza!$DZ14,0,N$2)</f>
        <v>3.552749747</v>
      </c>
      <c r="O16">
        <f ca="1">OFFSET(Baza!$DZ14,0,O$2)</f>
        <v>8.8845001679999994E-2</v>
      </c>
      <c r="P16">
        <f ca="1">OFFSET(Baza!$DZ14,0,P$2)</f>
        <v>6.264313917</v>
      </c>
      <c r="Q16">
        <f ca="1">OFFSET(Baza!$DZ14,0,Q$2)</f>
        <v>18.48344896</v>
      </c>
      <c r="R16">
        <f ca="1">OFFSET(Baza!$DZ14,0,R$2)</f>
        <v>0.74472763220000004</v>
      </c>
      <c r="S16">
        <f ca="1">OFFSET(Baza!$DZ14,0,S$2)</f>
        <v>5.8522519490000002</v>
      </c>
      <c r="T16">
        <f ca="1">OFFSET(Baza!$DZ14,0,T$2)</f>
        <v>131.43843749999999</v>
      </c>
      <c r="U16" s="6">
        <f t="shared" ca="1" si="2"/>
        <v>0.98776122661424504</v>
      </c>
    </row>
    <row r="17" spans="1:21" x14ac:dyDescent="0.2">
      <c r="A17" s="1" t="s">
        <v>255</v>
      </c>
      <c r="B17">
        <f>Baza!DZ15</f>
        <v>1.8158800369999999</v>
      </c>
      <c r="C17">
        <f ca="1">OFFSET(Baza!$DZ15,0,C$2)</f>
        <v>1.701030179</v>
      </c>
      <c r="D17">
        <f ca="1">OFFSET(Baza!$DZ15,0,D$2)</f>
        <v>3.5169102149999998</v>
      </c>
      <c r="E17">
        <f ca="1">OFFSET(Baza!$DZ15,0,E$2)</f>
        <v>1.4995013319999999</v>
      </c>
      <c r="F17">
        <f ca="1">OFFSET(Baza!$DZ15,0,F$2)</f>
        <v>7.6977920160000002</v>
      </c>
      <c r="G17">
        <f ca="1">OFFSET(Baza!$DZ15,0,G$2)</f>
        <v>0.42106063939999999</v>
      </c>
      <c r="H17">
        <f ca="1">OFFSET(Baza!$DZ15,0,H$2)</f>
        <v>0.59138370149999997</v>
      </c>
      <c r="I17">
        <f ca="1">OFFSET(Baza!$DZ15,0,I$2)</f>
        <v>-0.15398047000000001</v>
      </c>
      <c r="J17">
        <f ca="1">OFFSET(Baza!$DZ15,0,J$2)</f>
        <v>6.5600682580000003</v>
      </c>
      <c r="K17">
        <f ca="1">OFFSET(Baza!$DZ15,0,K$2)</f>
        <v>5.1957924149999997</v>
      </c>
      <c r="L17">
        <f ca="1">OFFSET(Baza!$DZ15,0,L$2)</f>
        <v>2.501173321</v>
      </c>
      <c r="M17">
        <f ca="1">OFFSET(Baza!$DZ15,0,M$2)</f>
        <v>7.410479263</v>
      </c>
      <c r="N17">
        <f ca="1">OFFSET(Baza!$DZ15,0,N$2)</f>
        <v>3.8553155320000001</v>
      </c>
      <c r="O17">
        <f ca="1">OFFSET(Baza!$DZ15,0,O$2)</f>
        <v>7.6418021830000002E-2</v>
      </c>
      <c r="P17">
        <f ca="1">OFFSET(Baza!$DZ15,0,P$2)</f>
        <v>6.2563779469999998</v>
      </c>
      <c r="Q17">
        <f ca="1">OFFSET(Baza!$DZ15,0,Q$2)</f>
        <v>12.17086982</v>
      </c>
      <c r="R17">
        <f ca="1">OFFSET(Baza!$DZ15,0,R$2)</f>
        <v>0.79023129830000005</v>
      </c>
      <c r="S17">
        <f ca="1">OFFSET(Baza!$DZ15,0,S$2)</f>
        <v>5.2554305159999997</v>
      </c>
      <c r="T17">
        <f ca="1">OFFSET(Baza!$DZ15,0,T$2)</f>
        <v>150.12856629999999</v>
      </c>
      <c r="U17" s="6">
        <f t="shared" ca="1" si="2"/>
        <v>1.0675178250320743</v>
      </c>
    </row>
    <row r="18" spans="1:21" x14ac:dyDescent="0.2">
      <c r="A18" s="1" t="s">
        <v>256</v>
      </c>
      <c r="B18">
        <f>Baza!DZ16</f>
        <v>1.358280632</v>
      </c>
      <c r="C18">
        <f ca="1">OFFSET(Baza!$DZ16,0,C$2)</f>
        <v>1.6119552779999999</v>
      </c>
      <c r="D18">
        <f ca="1">OFFSET(Baza!$DZ16,0,D$2)</f>
        <v>2.97023591</v>
      </c>
      <c r="E18">
        <f ca="1">OFFSET(Baza!$DZ16,0,E$2)</f>
        <v>1.291102653</v>
      </c>
      <c r="F18">
        <f ca="1">OFFSET(Baza!$DZ16,0,F$2)</f>
        <v>5.6087737740000003</v>
      </c>
      <c r="G18">
        <f ca="1">OFFSET(Baza!$DZ16,0,G$2)</f>
        <v>0.38689117899999997</v>
      </c>
      <c r="H18">
        <f ca="1">OFFSET(Baza!$DZ16,0,H$2)</f>
        <v>0.52639871949999995</v>
      </c>
      <c r="I18">
        <f ca="1">OFFSET(Baza!$DZ16,0,I$2)</f>
        <v>-0.2985919112</v>
      </c>
      <c r="J18">
        <f ca="1">OFFSET(Baza!$DZ16,0,J$2)</f>
        <v>6.4436958850000003</v>
      </c>
      <c r="K18">
        <f ca="1">OFFSET(Baza!$DZ16,0,K$2)</f>
        <v>3.2848626400000001</v>
      </c>
      <c r="L18">
        <f ca="1">OFFSET(Baza!$DZ16,0,L$2)</f>
        <v>2.3239111330000002</v>
      </c>
      <c r="M18">
        <f ca="1">OFFSET(Baza!$DZ16,0,M$2)</f>
        <v>5.3152040469999999</v>
      </c>
      <c r="N18">
        <f ca="1">OFFSET(Baza!$DZ16,0,N$2)</f>
        <v>2.9719916369999999</v>
      </c>
      <c r="O18">
        <f ca="1">OFFSET(Baza!$DZ16,0,O$2)</f>
        <v>7.4969201090000007E-2</v>
      </c>
      <c r="P18">
        <f ca="1">OFFSET(Baza!$DZ16,0,P$2)</f>
        <v>5.9168450440000004</v>
      </c>
      <c r="Q18">
        <f ca="1">OFFSET(Baza!$DZ16,0,Q$2)</f>
        <v>21.416773710000001</v>
      </c>
      <c r="R18">
        <f ca="1">OFFSET(Baza!$DZ16,0,R$2)</f>
        <v>0.73365890489999996</v>
      </c>
      <c r="S18">
        <f ca="1">OFFSET(Baza!$DZ16,0,S$2)</f>
        <v>6.4315461840000001</v>
      </c>
      <c r="T18">
        <f ca="1">OFFSET(Baza!$DZ16,0,T$2)</f>
        <v>148.16911540000001</v>
      </c>
      <c r="U18" s="6">
        <f t="shared" ca="1" si="2"/>
        <v>0.8426292283277601</v>
      </c>
    </row>
    <row r="19" spans="1:21" x14ac:dyDescent="0.2">
      <c r="A19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workbookViewId="0">
      <selection activeCell="A19" sqref="A19:XFD19"/>
    </sheetView>
  </sheetViews>
  <sheetFormatPr baseColWidth="10" defaultColWidth="8.83203125" defaultRowHeight="15" x14ac:dyDescent="0.2"/>
  <cols>
    <col min="2" max="4" width="12" bestFit="1" customWidth="1"/>
    <col min="5" max="5" width="43.6640625" bestFit="1" customWidth="1"/>
    <col min="6" max="8" width="12" bestFit="1" customWidth="1"/>
    <col min="9" max="9" width="12.6640625" bestFit="1" customWidth="1"/>
    <col min="10" max="10" width="12" bestFit="1" customWidth="1"/>
    <col min="11" max="11" width="45.33203125" bestFit="1" customWidth="1"/>
    <col min="12" max="12" width="12" bestFit="1" customWidth="1"/>
    <col min="13" max="13" width="48.5" bestFit="1" customWidth="1"/>
    <col min="14" max="14" width="26.6640625" bestFit="1" customWidth="1"/>
    <col min="15" max="15" width="44.6640625" bestFit="1" customWidth="1"/>
    <col min="16" max="16" width="12" bestFit="1" customWidth="1"/>
    <col min="17" max="17" width="48.6640625" bestFit="1" customWidth="1"/>
    <col min="18" max="18" width="26.83203125" bestFit="1" customWidth="1"/>
    <col min="19" max="19" width="52.6640625" bestFit="1" customWidth="1"/>
    <col min="20" max="20" width="44.83203125" bestFit="1" customWidth="1"/>
    <col min="21" max="22" width="12" bestFit="1" customWidth="1"/>
  </cols>
  <sheetData>
    <row r="1" spans="1:23" x14ac:dyDescent="0.2">
      <c r="B1" t="str">
        <f>B4</f>
        <v>Rp[Średnia]</v>
      </c>
      <c r="C1" t="str">
        <f t="shared" ref="C1:T1" ca="1" si="0">C4</f>
        <v>Rv[Średnia]</v>
      </c>
      <c r="D1" t="str">
        <f t="shared" ca="1" si="0"/>
        <v>Rz[Średnia]</v>
      </c>
      <c r="E1" t="str">
        <f t="shared" ca="1" si="0"/>
        <v>Rc (Brak uśredniania (pojedyncza wartość))[Średnia]</v>
      </c>
      <c r="F1" t="str">
        <f t="shared" ca="1" si="0"/>
        <v>Rt[Średnia]</v>
      </c>
      <c r="G1" t="str">
        <f t="shared" ca="1" si="0"/>
        <v>Ra[Średnia]</v>
      </c>
      <c r="H1" t="str">
        <f t="shared" ca="1" si="0"/>
        <v>Rq[Średnia]</v>
      </c>
      <c r="I1" t="str">
        <f t="shared" ca="1" si="0"/>
        <v>Rsk[Średnia]</v>
      </c>
      <c r="J1" t="str">
        <f t="shared" ca="1" si="0"/>
        <v>Rku[Średnia]</v>
      </c>
      <c r="K1" t="str">
        <f t="shared" ca="1" si="0"/>
        <v>Rp1max[Średnia]</v>
      </c>
      <c r="L1" t="str">
        <f t="shared" ca="1" si="0"/>
        <v>Rv1max[Średnia]</v>
      </c>
      <c r="M1" t="str">
        <f t="shared" ca="1" si="0"/>
        <v>Rz1max[Średnia]</v>
      </c>
      <c r="N1" t="str">
        <f t="shared" ca="1" si="0"/>
        <v>Rz(n) (Wskaźnik λc = 1)[Średnia]</v>
      </c>
      <c r="O1" t="str">
        <f t="shared" ca="1" si="0"/>
        <v>RSm (Brak uśredniania (pojedyncza wartość))[Średnia]</v>
      </c>
      <c r="P1" t="str">
        <f t="shared" ca="1" si="0"/>
        <v>Rdq[Średnia]</v>
      </c>
      <c r="Q1" t="str">
        <f t="shared" ca="1" si="0"/>
        <v>Rmr (c = 1 µm poniżej najwyższego wypiętrzenia)[Średnia]</v>
      </c>
      <c r="R1" t="str">
        <f t="shared" ca="1" si="0"/>
        <v>Rdc (p = 20%, q = 80%)[Średnia]</v>
      </c>
      <c r="S1" t="str">
        <f t="shared" ca="1" si="0"/>
        <v>Rmr (Rz/4) (c = Rz/4 µm powyżej płaszczyzny średniej)[Średnia]</v>
      </c>
      <c r="T1" t="str">
        <f t="shared" ca="1" si="0"/>
        <v>RPc (Brak uśredniania (pojedyncza wartość))[Średnia]</v>
      </c>
    </row>
    <row r="2" spans="1:23" x14ac:dyDescent="0.2">
      <c r="B2" s="3" t="s">
        <v>257</v>
      </c>
      <c r="C2" s="3">
        <v>4</v>
      </c>
      <c r="D2" s="3">
        <f>C2+4</f>
        <v>8</v>
      </c>
      <c r="E2" s="3">
        <f t="shared" ref="E2:W2" si="1">D2+4</f>
        <v>12</v>
      </c>
      <c r="F2" s="3">
        <f t="shared" si="1"/>
        <v>16</v>
      </c>
      <c r="G2" s="3">
        <f t="shared" si="1"/>
        <v>20</v>
      </c>
      <c r="H2" s="3">
        <f t="shared" si="1"/>
        <v>24</v>
      </c>
      <c r="I2" s="3">
        <f t="shared" si="1"/>
        <v>28</v>
      </c>
      <c r="J2" s="3">
        <f t="shared" si="1"/>
        <v>32</v>
      </c>
      <c r="K2" s="3">
        <f t="shared" si="1"/>
        <v>36</v>
      </c>
      <c r="L2" s="3">
        <f t="shared" si="1"/>
        <v>40</v>
      </c>
      <c r="M2" s="3">
        <f t="shared" si="1"/>
        <v>44</v>
      </c>
      <c r="N2" s="3">
        <f t="shared" si="1"/>
        <v>48</v>
      </c>
      <c r="O2" s="3">
        <f t="shared" si="1"/>
        <v>52</v>
      </c>
      <c r="P2" s="3">
        <f t="shared" si="1"/>
        <v>56</v>
      </c>
      <c r="Q2" s="3">
        <f t="shared" si="1"/>
        <v>60</v>
      </c>
      <c r="R2" s="3">
        <f t="shared" si="1"/>
        <v>64</v>
      </c>
      <c r="S2" s="3">
        <f t="shared" si="1"/>
        <v>68</v>
      </c>
      <c r="T2" s="3">
        <f t="shared" si="1"/>
        <v>72</v>
      </c>
      <c r="U2" s="3">
        <f t="shared" si="1"/>
        <v>76</v>
      </c>
      <c r="V2" s="3">
        <f t="shared" si="1"/>
        <v>80</v>
      </c>
      <c r="W2" s="3">
        <f t="shared" si="1"/>
        <v>84</v>
      </c>
    </row>
    <row r="3" spans="1:23" x14ac:dyDescent="0.2">
      <c r="B3">
        <f>Baza!GX1</f>
        <v>51</v>
      </c>
      <c r="C3">
        <f ca="1">OFFSET(Baza!$GX1,0,C$2)</f>
        <v>51</v>
      </c>
      <c r="D3">
        <f ca="1">OFFSET(Baza!$GX1,0,D$2)</f>
        <v>51</v>
      </c>
      <c r="E3">
        <f ca="1">OFFSET(Baza!$GX1,0,E$2)</f>
        <v>51</v>
      </c>
      <c r="F3">
        <f ca="1">OFFSET(Baza!$GX1,0,F$2)</f>
        <v>51</v>
      </c>
      <c r="G3">
        <f ca="1">OFFSET(Baza!$GX1,0,G$2)</f>
        <v>51</v>
      </c>
      <c r="H3">
        <f ca="1">OFFSET(Baza!$GX1,0,H$2)</f>
        <v>51</v>
      </c>
      <c r="I3">
        <f ca="1">OFFSET(Baza!$GX1,0,I$2)</f>
        <v>51</v>
      </c>
      <c r="J3">
        <f ca="1">OFFSET(Baza!$GX1,0,J$2)</f>
        <v>51</v>
      </c>
      <c r="K3">
        <f ca="1">OFFSET(Baza!$GX1,0,K$2)</f>
        <v>51</v>
      </c>
      <c r="L3">
        <f ca="1">OFFSET(Baza!$GX1,0,L$2)</f>
        <v>51</v>
      </c>
      <c r="M3">
        <f ca="1">OFFSET(Baza!$GX1,0,M$2)</f>
        <v>51</v>
      </c>
      <c r="N3">
        <f ca="1">OFFSET(Baza!$GX1,0,N$2)</f>
        <v>51</v>
      </c>
      <c r="O3">
        <f ca="1">OFFSET(Baza!$GX1,0,O$2)</f>
        <v>51</v>
      </c>
      <c r="P3">
        <f ca="1">OFFSET(Baza!$GX1,0,P$2)</f>
        <v>51</v>
      </c>
      <c r="Q3">
        <f ca="1">OFFSET(Baza!$GX1,0,Q$2)</f>
        <v>51</v>
      </c>
      <c r="R3">
        <f ca="1">OFFSET(Baza!$GX1,0,R$2)</f>
        <v>51</v>
      </c>
      <c r="S3">
        <f ca="1">OFFSET(Baza!$GX1,0,S$2)</f>
        <v>51</v>
      </c>
      <c r="T3">
        <f ca="1">OFFSET(Baza!$GX1,0,T$2)</f>
        <v>51</v>
      </c>
    </row>
    <row r="4" spans="1:23" x14ac:dyDescent="0.2">
      <c r="B4" t="str">
        <f>Baza!GX2</f>
        <v>Rp[Średnia]</v>
      </c>
      <c r="C4" t="str">
        <f ca="1">OFFSET(Baza!$GX2,0,C$2)</f>
        <v>Rv[Średnia]</v>
      </c>
      <c r="D4" t="str">
        <f ca="1">OFFSET(Baza!$GX2,0,D$2)</f>
        <v>Rz[Średnia]</v>
      </c>
      <c r="E4" t="str">
        <f ca="1">OFFSET(Baza!$GX2,0,E$2)</f>
        <v>Rc (Brak uśredniania (pojedyncza wartość))[Średnia]</v>
      </c>
      <c r="F4" t="str">
        <f ca="1">OFFSET(Baza!$GX2,0,F$2)</f>
        <v>Rt[Średnia]</v>
      </c>
      <c r="G4" t="str">
        <f ca="1">OFFSET(Baza!$GX2,0,G$2)</f>
        <v>Ra[Średnia]</v>
      </c>
      <c r="H4" t="str">
        <f ca="1">OFFSET(Baza!$GX2,0,H$2)</f>
        <v>Rq[Średnia]</v>
      </c>
      <c r="I4" t="str">
        <f ca="1">OFFSET(Baza!$GX2,0,I$2)</f>
        <v>Rsk[Średnia]</v>
      </c>
      <c r="J4" t="str">
        <f ca="1">OFFSET(Baza!$GX2,0,J$2)</f>
        <v>Rku[Średnia]</v>
      </c>
      <c r="K4" t="str">
        <f ca="1">OFFSET(Baza!$GX2,0,K$2)</f>
        <v>Rp1max[Średnia]</v>
      </c>
      <c r="L4" t="str">
        <f ca="1">OFFSET(Baza!$GX2,0,L$2)</f>
        <v>Rv1max[Średnia]</v>
      </c>
      <c r="M4" t="str">
        <f ca="1">OFFSET(Baza!$GX2,0,M$2)</f>
        <v>Rz1max[Średnia]</v>
      </c>
      <c r="N4" t="str">
        <f ca="1">OFFSET(Baza!$GX2,0,N$2)</f>
        <v>Rz(n) (Wskaźnik λc = 1)[Średnia]</v>
      </c>
      <c r="O4" t="str">
        <f ca="1">OFFSET(Baza!$GX2,0,O$2)</f>
        <v>RSm (Brak uśredniania (pojedyncza wartość))[Średnia]</v>
      </c>
      <c r="P4" t="str">
        <f ca="1">OFFSET(Baza!$GX2,0,P$2)</f>
        <v>Rdq[Średnia]</v>
      </c>
      <c r="Q4" t="str">
        <f ca="1">OFFSET(Baza!$GX2,0,Q$2)</f>
        <v>Rmr (c = 1 µm poniżej najwyższego wypiętrzenia)[Średnia]</v>
      </c>
      <c r="R4" t="str">
        <f ca="1">OFFSET(Baza!$GX2,0,R$2)</f>
        <v>Rdc (p = 20%, q = 80%)[Średnia]</v>
      </c>
      <c r="S4" t="str">
        <f ca="1">OFFSET(Baza!$GX2,0,S$2)</f>
        <v>Rmr (Rz/4) (c = Rz/4 µm powyżej płaszczyzny średniej)[Średnia]</v>
      </c>
      <c r="T4" t="str">
        <f ca="1">OFFSET(Baza!$GX2,0,T$2)</f>
        <v>RPc (Brak uśredniania (pojedyncza wartość))[Średnia]</v>
      </c>
    </row>
    <row r="5" spans="1:23" x14ac:dyDescent="0.2">
      <c r="B5" t="str">
        <f>Baza!GX3</f>
        <v>µm</v>
      </c>
      <c r="C5" t="str">
        <f ca="1">OFFSET(Baza!$GX3,0,C$2)</f>
        <v>µm</v>
      </c>
      <c r="D5" t="str">
        <f ca="1">OFFSET(Baza!$GX3,0,D$2)</f>
        <v>µm</v>
      </c>
      <c r="E5" t="str">
        <f ca="1">OFFSET(Baza!$GX3,0,E$2)</f>
        <v>µm</v>
      </c>
      <c r="F5" t="str">
        <f ca="1">OFFSET(Baza!$GX3,0,F$2)</f>
        <v>µm</v>
      </c>
      <c r="G5" t="str">
        <f ca="1">OFFSET(Baza!$GX3,0,G$2)</f>
        <v>µm</v>
      </c>
      <c r="H5" t="str">
        <f ca="1">OFFSET(Baza!$GX3,0,H$2)</f>
        <v>µm</v>
      </c>
      <c r="I5" t="str">
        <f ca="1">OFFSET(Baza!$GX3,0,I$2)</f>
        <v>&lt;no unit&gt;</v>
      </c>
      <c r="J5" t="str">
        <f ca="1">OFFSET(Baza!$GX3,0,J$2)</f>
        <v>&lt;no unit&gt;</v>
      </c>
      <c r="K5" t="str">
        <f ca="1">OFFSET(Baza!$GX3,0,K$2)</f>
        <v>µm</v>
      </c>
      <c r="L5" t="str">
        <f ca="1">OFFSET(Baza!$GX3,0,L$2)</f>
        <v>µm</v>
      </c>
      <c r="M5" t="str">
        <f ca="1">OFFSET(Baza!$GX3,0,M$2)</f>
        <v>µm</v>
      </c>
      <c r="N5" t="str">
        <f ca="1">OFFSET(Baza!$GX3,0,N$2)</f>
        <v>µm</v>
      </c>
      <c r="O5" t="str">
        <f ca="1">OFFSET(Baza!$GX3,0,O$2)</f>
        <v>mm</v>
      </c>
      <c r="P5" t="str">
        <f ca="1">OFFSET(Baza!$GX3,0,P$2)</f>
        <v>°</v>
      </c>
      <c r="Q5" t="str">
        <f ca="1">OFFSET(Baza!$GX3,0,Q$2)</f>
        <v>%</v>
      </c>
      <c r="R5" t="str">
        <f ca="1">OFFSET(Baza!$GX3,0,R$2)</f>
        <v>µm</v>
      </c>
      <c r="S5" t="str">
        <f ca="1">OFFSET(Baza!$GX3,0,S$2)</f>
        <v>%</v>
      </c>
      <c r="T5" t="str">
        <f ca="1">OFFSET(Baza!$GX3,0,T$2)</f>
        <v>1/cm</v>
      </c>
    </row>
    <row r="6" spans="1:23" x14ac:dyDescent="0.2">
      <c r="A6" s="1" t="s">
        <v>244</v>
      </c>
      <c r="B6">
        <f>Baza!GX4</f>
        <v>1.222181288</v>
      </c>
      <c r="C6">
        <f ca="1">OFFSET(Baza!$GX4,0,C$2)</f>
        <v>1.706262945</v>
      </c>
      <c r="D6">
        <f ca="1">OFFSET(Baza!$GX4,0,D$2)</f>
        <v>2.928444233</v>
      </c>
      <c r="E6">
        <f ca="1">OFFSET(Baza!$GX4,0,E$2)</f>
        <v>1.1882974559999999</v>
      </c>
      <c r="F6">
        <f ca="1">OFFSET(Baza!$GX4,0,F$2)</f>
        <v>3.5834360529999998</v>
      </c>
      <c r="G6">
        <f ca="1">OFFSET(Baza!$GX4,0,G$2)</f>
        <v>0.40749772159999997</v>
      </c>
      <c r="H6">
        <f ca="1">OFFSET(Baza!$GX4,0,H$2)</f>
        <v>0.52399867609999995</v>
      </c>
      <c r="I6">
        <f ca="1">OFFSET(Baza!$GX4,0,I$2)</f>
        <v>-0.4063471078</v>
      </c>
      <c r="J6">
        <f ca="1">OFFSET(Baza!$GX4,0,J$2)</f>
        <v>3.753986383</v>
      </c>
      <c r="K6">
        <f ca="1">OFFSET(Baza!$GX4,0,K$2)</f>
        <v>1.456819461</v>
      </c>
      <c r="L6">
        <f ca="1">OFFSET(Baza!$GX4,0,L$2)</f>
        <v>2.126616592</v>
      </c>
      <c r="M6">
        <f ca="1">OFFSET(Baza!$GX4,0,M$2)</f>
        <v>3.4390577370000002</v>
      </c>
      <c r="N6">
        <f ca="1">OFFSET(Baza!$GX4,0,N$2)</f>
        <v>3.0457372110000001</v>
      </c>
      <c r="O6">
        <f ca="1">OFFSET(Baza!$GX4,0,O$2)</f>
        <v>4.2807230779999997E-2</v>
      </c>
      <c r="P6">
        <f ca="1">OFFSET(Baza!$GX4,0,P$2)</f>
        <v>5.9179862969999997</v>
      </c>
      <c r="Q6">
        <f ca="1">OFFSET(Baza!$GX4,0,Q$2)</f>
        <v>19.891650240000001</v>
      </c>
      <c r="R6">
        <f ca="1">OFFSET(Baza!$GX4,0,R$2)</f>
        <v>0.81184237780000001</v>
      </c>
      <c r="S6">
        <f ca="1">OFFSET(Baza!$GX4,0,S$2)</f>
        <v>7.1315746720000002</v>
      </c>
      <c r="T6">
        <f ca="1">OFFSET(Baza!$GX4,0,T$2)</f>
        <v>242.5778976</v>
      </c>
    </row>
    <row r="7" spans="1:23" x14ac:dyDescent="0.2">
      <c r="A7" s="1" t="s">
        <v>245</v>
      </c>
      <c r="B7">
        <f>Baza!GX5</f>
        <v>1.3179891340000001</v>
      </c>
      <c r="C7">
        <f ca="1">OFFSET(Baza!$GX5,0,C$2)</f>
        <v>2.03351258</v>
      </c>
      <c r="D7">
        <f ca="1">OFFSET(Baza!$GX5,0,D$2)</f>
        <v>3.3515017139999999</v>
      </c>
      <c r="E7">
        <f ca="1">OFFSET(Baza!$GX5,0,E$2)</f>
        <v>1.4382467670000001</v>
      </c>
      <c r="F7">
        <f ca="1">OFFSET(Baza!$GX5,0,F$2)</f>
        <v>4.0721747370000001</v>
      </c>
      <c r="G7">
        <f ca="1">OFFSET(Baza!$GX5,0,G$2)</f>
        <v>0.47765164970000001</v>
      </c>
      <c r="H7">
        <f ca="1">OFFSET(Baza!$GX5,0,H$2)</f>
        <v>0.60728192280000004</v>
      </c>
      <c r="I7">
        <f ca="1">OFFSET(Baza!$GX5,0,I$2)</f>
        <v>-0.50784735079999999</v>
      </c>
      <c r="J7">
        <f ca="1">OFFSET(Baza!$GX5,0,J$2)</f>
        <v>3.7082831970000001</v>
      </c>
      <c r="K7">
        <f ca="1">OFFSET(Baza!$GX5,0,K$2)</f>
        <v>1.571796255</v>
      </c>
      <c r="L7">
        <f ca="1">OFFSET(Baza!$GX5,0,L$2)</f>
        <v>2.5003784819999999</v>
      </c>
      <c r="M7">
        <f ca="1">OFFSET(Baza!$GX5,0,M$2)</f>
        <v>3.908071632</v>
      </c>
      <c r="N7">
        <f ca="1">OFFSET(Baza!$GX5,0,N$2)</f>
        <v>3.5245918949999999</v>
      </c>
      <c r="O7">
        <f ca="1">OFFSET(Baza!$GX5,0,O$2)</f>
        <v>4.1797577629999999E-2</v>
      </c>
      <c r="P7">
        <f ca="1">OFFSET(Baza!$GX5,0,P$2)</f>
        <v>7.1248153800000003</v>
      </c>
      <c r="Q7">
        <f ca="1">OFFSET(Baza!$GX5,0,Q$2)</f>
        <v>18.36268127</v>
      </c>
      <c r="R7">
        <f ca="1">OFFSET(Baza!$GX5,0,R$2)</f>
        <v>0.96789703000000005</v>
      </c>
      <c r="S7">
        <f ca="1">OFFSET(Baza!$GX5,0,S$2)</f>
        <v>7.0342376389999997</v>
      </c>
      <c r="T7">
        <f ca="1">OFFSET(Baza!$GX5,0,T$2)</f>
        <v>248.1566809</v>
      </c>
    </row>
    <row r="8" spans="1:23" x14ac:dyDescent="0.2">
      <c r="A8" s="1" t="s">
        <v>246</v>
      </c>
      <c r="B8">
        <f>Baza!GX6</f>
        <v>1.499507828</v>
      </c>
      <c r="C8">
        <f ca="1">OFFSET(Baza!$GX6,0,C$2)</f>
        <v>2.290990157</v>
      </c>
      <c r="D8">
        <f ca="1">OFFSET(Baza!$GX6,0,D$2)</f>
        <v>3.790497985</v>
      </c>
      <c r="E8">
        <f ca="1">OFFSET(Baza!$GX6,0,E$2)</f>
        <v>1.6484297459999999</v>
      </c>
      <c r="F8">
        <f ca="1">OFFSET(Baza!$GX6,0,F$2)</f>
        <v>4.5760485790000001</v>
      </c>
      <c r="G8">
        <f ca="1">OFFSET(Baza!$GX6,0,G$2)</f>
        <v>0.5385279731</v>
      </c>
      <c r="H8">
        <f ca="1">OFFSET(Baza!$GX6,0,H$2)</f>
        <v>0.68365371919999995</v>
      </c>
      <c r="I8">
        <f ca="1">OFFSET(Baza!$GX6,0,I$2)</f>
        <v>-0.49018699399999999</v>
      </c>
      <c r="J8">
        <f ca="1">OFFSET(Baza!$GX6,0,J$2)</f>
        <v>3.6668417130000002</v>
      </c>
      <c r="K8">
        <f ca="1">OFFSET(Baza!$GX6,0,K$2)</f>
        <v>1.795378768</v>
      </c>
      <c r="L8">
        <f ca="1">OFFSET(Baza!$GX6,0,L$2)</f>
        <v>2.7806698110000001</v>
      </c>
      <c r="M8">
        <f ca="1">OFFSET(Baza!$GX6,0,M$2)</f>
        <v>4.4065899999999996</v>
      </c>
      <c r="N8">
        <f ca="1">OFFSET(Baza!$GX6,0,N$2)</f>
        <v>4.0341445790000003</v>
      </c>
      <c r="O8">
        <f ca="1">OFFSET(Baza!$GX6,0,O$2)</f>
        <v>4.1245066939999998E-2</v>
      </c>
      <c r="P8">
        <f ca="1">OFFSET(Baza!$GX6,0,P$2)</f>
        <v>8.1017026849999993</v>
      </c>
      <c r="Q8">
        <f ca="1">OFFSET(Baza!$GX6,0,Q$2)</f>
        <v>12.50402512</v>
      </c>
      <c r="R8">
        <f ca="1">OFFSET(Baza!$GX6,0,R$2)</f>
        <v>1.09172365</v>
      </c>
      <c r="S8">
        <f ca="1">OFFSET(Baza!$GX6,0,S$2)</f>
        <v>7.1335041989999999</v>
      </c>
      <c r="T8">
        <f ca="1">OFFSET(Baza!$GX6,0,T$2)</f>
        <v>249.46720790000001</v>
      </c>
    </row>
    <row r="9" spans="1:23" x14ac:dyDescent="0.2">
      <c r="A9" s="1" t="s">
        <v>247</v>
      </c>
      <c r="B9">
        <f>Baza!GX7</f>
        <v>1.485854483</v>
      </c>
      <c r="C9">
        <f ca="1">OFFSET(Baza!$GX7,0,C$2)</f>
        <v>1.961211998</v>
      </c>
      <c r="D9">
        <f ca="1">OFFSET(Baza!$GX7,0,D$2)</f>
        <v>3.4470664809999998</v>
      </c>
      <c r="E9">
        <f ca="1">OFFSET(Baza!$GX7,0,E$2)</f>
        <v>1.340553895</v>
      </c>
      <c r="F9">
        <f ca="1">OFFSET(Baza!$GX7,0,F$2)</f>
        <v>4.1371503680000004</v>
      </c>
      <c r="G9">
        <f ca="1">OFFSET(Baza!$GX7,0,G$2)</f>
        <v>0.44966394920000002</v>
      </c>
      <c r="H9">
        <f ca="1">OFFSET(Baza!$GX7,0,H$2)</f>
        <v>0.58085898970000005</v>
      </c>
      <c r="I9">
        <f ca="1">OFFSET(Baza!$GX7,0,I$2)</f>
        <v>-0.39837273140000001</v>
      </c>
      <c r="J9">
        <f ca="1">OFFSET(Baza!$GX7,0,J$2)</f>
        <v>3.857224736</v>
      </c>
      <c r="K9">
        <f ca="1">OFFSET(Baza!$GX7,0,K$2)</f>
        <v>1.781448393</v>
      </c>
      <c r="L9">
        <f ca="1">OFFSET(Baza!$GX7,0,L$2)</f>
        <v>2.3557019760000002</v>
      </c>
      <c r="M9">
        <f ca="1">OFFSET(Baza!$GX7,0,M$2)</f>
        <v>3.9670517890000001</v>
      </c>
      <c r="N9">
        <f ca="1">OFFSET(Baza!$GX7,0,N$2)</f>
        <v>3.5676671579999999</v>
      </c>
      <c r="O9">
        <f ca="1">OFFSET(Baza!$GX7,0,O$2)</f>
        <v>3.3839386229999997E-2</v>
      </c>
      <c r="P9">
        <f ca="1">OFFSET(Baza!$GX7,0,P$2)</f>
        <v>8.5693749510000004</v>
      </c>
      <c r="Q9">
        <f ca="1">OFFSET(Baza!$GX7,0,Q$2)</f>
        <v>8.8498658490000004</v>
      </c>
      <c r="R9">
        <f ca="1">OFFSET(Baza!$GX7,0,R$2)</f>
        <v>0.89065163430000005</v>
      </c>
      <c r="S9">
        <f ca="1">OFFSET(Baza!$GX7,0,S$2)</f>
        <v>5.8075962280000004</v>
      </c>
      <c r="T9">
        <f ca="1">OFFSET(Baza!$GX7,0,T$2)</f>
        <v>306.85586050000001</v>
      </c>
    </row>
    <row r="10" spans="1:23" x14ac:dyDescent="0.2">
      <c r="A10" s="1" t="s">
        <v>248</v>
      </c>
      <c r="B10">
        <f>Baza!GX8</f>
        <v>1.518561424</v>
      </c>
      <c r="C10">
        <f ca="1">OFFSET(Baza!$GX8,0,C$2)</f>
        <v>2.4390835759999998</v>
      </c>
      <c r="D10">
        <f ca="1">OFFSET(Baza!$GX8,0,D$2)</f>
        <v>3.9576449999999999</v>
      </c>
      <c r="E10">
        <f ca="1">OFFSET(Baza!$GX8,0,E$2)</f>
        <v>1.6311962870000001</v>
      </c>
      <c r="F10">
        <f ca="1">OFFSET(Baza!$GX8,0,F$2)</f>
        <v>4.7241574740000001</v>
      </c>
      <c r="G10">
        <f ca="1">OFFSET(Baza!$GX8,0,G$2)</f>
        <v>0.53306213849999995</v>
      </c>
      <c r="H10">
        <f ca="1">OFFSET(Baza!$GX8,0,H$2)</f>
        <v>0.68368055959999996</v>
      </c>
      <c r="I10">
        <f ca="1">OFFSET(Baza!$GX8,0,I$2)</f>
        <v>-0.60708991450000005</v>
      </c>
      <c r="J10">
        <f ca="1">OFFSET(Baza!$GX8,0,J$2)</f>
        <v>3.9711875839999999</v>
      </c>
      <c r="K10">
        <f ca="1">OFFSET(Baza!$GX8,0,K$2)</f>
        <v>1.8005329059999999</v>
      </c>
      <c r="L10">
        <f ca="1">OFFSET(Baza!$GX8,0,L$2)</f>
        <v>2.9236245680000001</v>
      </c>
      <c r="M10">
        <f ca="1">OFFSET(Baza!$GX8,0,M$2)</f>
        <v>4.5536416319999997</v>
      </c>
      <c r="N10">
        <f ca="1">OFFSET(Baza!$GX8,0,N$2)</f>
        <v>4.1331537889999996</v>
      </c>
      <c r="O10">
        <f ca="1">OFFSET(Baza!$GX8,0,O$2)</f>
        <v>3.3300779199999998E-2</v>
      </c>
      <c r="P10">
        <f ca="1">OFFSET(Baza!$GX8,0,P$2)</f>
        <v>10.30651902</v>
      </c>
      <c r="Q10">
        <f ca="1">OFFSET(Baza!$GX8,0,Q$2)</f>
        <v>11.28048366</v>
      </c>
      <c r="R10">
        <f ca="1">OFFSET(Baza!$GX8,0,R$2)</f>
        <v>1.065798536</v>
      </c>
      <c r="S10">
        <f ca="1">OFFSET(Baza!$GX8,0,S$2)</f>
        <v>5.7012053849999997</v>
      </c>
      <c r="T10">
        <f ca="1">OFFSET(Baza!$GX8,0,T$2)</f>
        <v>310.32458600000001</v>
      </c>
    </row>
    <row r="11" spans="1:23" x14ac:dyDescent="0.2">
      <c r="A11" s="1" t="s">
        <v>249</v>
      </c>
      <c r="B11">
        <f>Baza!GX9</f>
        <v>1.7065824570000001</v>
      </c>
      <c r="C11">
        <f ca="1">OFFSET(Baza!$GX9,0,C$2)</f>
        <v>2.7522393470000002</v>
      </c>
      <c r="D11">
        <f ca="1">OFFSET(Baza!$GX9,0,D$2)</f>
        <v>4.4588218050000004</v>
      </c>
      <c r="E11">
        <f ca="1">OFFSET(Baza!$GX9,0,E$2)</f>
        <v>1.864282432</v>
      </c>
      <c r="F11">
        <f ca="1">OFFSET(Baza!$GX9,0,F$2)</f>
        <v>5.3355923159999996</v>
      </c>
      <c r="G11">
        <f ca="1">OFFSET(Baza!$GX9,0,G$2)</f>
        <v>0.60142000370000004</v>
      </c>
      <c r="H11">
        <f ca="1">OFFSET(Baza!$GX9,0,H$2)</f>
        <v>0.77105043350000002</v>
      </c>
      <c r="I11">
        <f ca="1">OFFSET(Baza!$GX9,0,I$2)</f>
        <v>-0.60630073439999999</v>
      </c>
      <c r="J11">
        <f ca="1">OFFSET(Baza!$GX9,0,J$2)</f>
        <v>3.95216112</v>
      </c>
      <c r="K11">
        <f ca="1">OFFSET(Baza!$GX9,0,K$2)</f>
        <v>2.0258806680000001</v>
      </c>
      <c r="L11">
        <f ca="1">OFFSET(Baza!$GX9,0,L$2)</f>
        <v>3.309711648</v>
      </c>
      <c r="M11">
        <f ca="1">OFFSET(Baza!$GX9,0,M$2)</f>
        <v>5.1448428420000001</v>
      </c>
      <c r="N11">
        <f ca="1">OFFSET(Baza!$GX9,0,N$2)</f>
        <v>4.6602352109999998</v>
      </c>
      <c r="O11">
        <f ca="1">OFFSET(Baza!$GX9,0,O$2)</f>
        <v>3.3220455439999998E-2</v>
      </c>
      <c r="P11">
        <f ca="1">OFFSET(Baza!$GX9,0,P$2)</f>
        <v>11.54823889</v>
      </c>
      <c r="Q11">
        <f ca="1">OFFSET(Baza!$GX9,0,Q$2)</f>
        <v>8.2845210869999999</v>
      </c>
      <c r="R11">
        <f ca="1">OFFSET(Baza!$GX9,0,R$2)</f>
        <v>1.20071014</v>
      </c>
      <c r="S11">
        <f ca="1">OFFSET(Baza!$GX9,0,S$2)</f>
        <v>5.8296062490000002</v>
      </c>
      <c r="T11">
        <f ca="1">OFFSET(Baza!$GX9,0,T$2)</f>
        <v>308.91304439999999</v>
      </c>
    </row>
    <row r="12" spans="1:23" x14ac:dyDescent="0.2">
      <c r="A12" s="1" t="s">
        <v>250</v>
      </c>
      <c r="B12">
        <f>Baza!GX10</f>
        <v>1.393597092</v>
      </c>
      <c r="C12">
        <f ca="1">OFFSET(Baza!$GX10,0,C$2)</f>
        <v>1.54917854</v>
      </c>
      <c r="D12">
        <f ca="1">OFFSET(Baza!$GX10,0,D$2)</f>
        <v>2.942775632</v>
      </c>
      <c r="E12">
        <f ca="1">OFFSET(Baza!$GX10,0,E$2)</f>
        <v>1.3289244229999999</v>
      </c>
      <c r="F12">
        <f ca="1">OFFSET(Baza!$GX10,0,F$2)</f>
        <v>3.879728053</v>
      </c>
      <c r="G12">
        <f ca="1">OFFSET(Baza!$GX10,0,G$2)</f>
        <v>0.4249456244</v>
      </c>
      <c r="H12">
        <f ca="1">OFFSET(Baza!$GX10,0,H$2)</f>
        <v>0.54379607330000002</v>
      </c>
      <c r="I12">
        <f ca="1">OFFSET(Baza!$GX10,0,I$2)</f>
        <v>-0.21644377819999999</v>
      </c>
      <c r="J12">
        <f ca="1">OFFSET(Baza!$GX10,0,J$2)</f>
        <v>3.4962337649999999</v>
      </c>
      <c r="K12">
        <f ca="1">OFFSET(Baza!$GX10,0,K$2)</f>
        <v>1.8686066029999999</v>
      </c>
      <c r="L12">
        <f ca="1">OFFSET(Baza!$GX10,0,L$2)</f>
        <v>2.011121449</v>
      </c>
      <c r="M12">
        <f ca="1">OFFSET(Baza!$GX10,0,M$2)</f>
        <v>3.654799895</v>
      </c>
      <c r="N12">
        <f ca="1">OFFSET(Baza!$GX10,0,N$2)</f>
        <v>3.2741986839999999</v>
      </c>
      <c r="O12">
        <f ca="1">OFFSET(Baza!$GX10,0,O$2)</f>
        <v>6.7634953890000002E-2</v>
      </c>
      <c r="P12">
        <f ca="1">OFFSET(Baza!$GX10,0,P$2)</f>
        <v>3.8298476350000001</v>
      </c>
      <c r="Q12">
        <f ca="1">OFFSET(Baza!$GX10,0,Q$2)</f>
        <v>7.9916877900000003</v>
      </c>
      <c r="R12">
        <f ca="1">OFFSET(Baza!$GX10,0,R$2)</f>
        <v>0.85565998619999994</v>
      </c>
      <c r="S12">
        <f ca="1">OFFSET(Baza!$GX10,0,S$2)</f>
        <v>7.5387872060000003</v>
      </c>
      <c r="T12">
        <f ca="1">OFFSET(Baza!$GX10,0,T$2)</f>
        <v>151.658682</v>
      </c>
    </row>
    <row r="13" spans="1:23" x14ac:dyDescent="0.2">
      <c r="A13" s="1" t="s">
        <v>251</v>
      </c>
      <c r="B13">
        <f>Baza!GX11</f>
        <v>1.204670237</v>
      </c>
      <c r="C13">
        <f ca="1">OFFSET(Baza!$GX11,0,C$2)</f>
        <v>1.2721565450000001</v>
      </c>
      <c r="D13">
        <f ca="1">OFFSET(Baza!$GX11,0,D$2)</f>
        <v>2.4768267819999998</v>
      </c>
      <c r="E13">
        <f ca="1">OFFSET(Baza!$GX11,0,E$2)</f>
        <v>1.139679227</v>
      </c>
      <c r="F13">
        <f ca="1">OFFSET(Baza!$GX11,0,F$2)</f>
        <v>3.2497223160000002</v>
      </c>
      <c r="G13">
        <f ca="1">OFFSET(Baza!$GX11,0,G$2)</f>
        <v>0.36627172540000003</v>
      </c>
      <c r="H13">
        <f ca="1">OFFSET(Baza!$GX11,0,H$2)</f>
        <v>0.46615020130000001</v>
      </c>
      <c r="I13">
        <f ca="1">OFFSET(Baza!$GX11,0,I$2)</f>
        <v>-6.0373475279999998E-2</v>
      </c>
      <c r="J13">
        <f ca="1">OFFSET(Baza!$GX11,0,J$2)</f>
        <v>3.5250071759999999</v>
      </c>
      <c r="K13">
        <f ca="1">OFFSET(Baza!$GX11,0,K$2)</f>
        <v>1.532078109</v>
      </c>
      <c r="L13">
        <f ca="1">OFFSET(Baza!$GX11,0,L$2)</f>
        <v>1.717644207</v>
      </c>
      <c r="M13">
        <f ca="1">OFFSET(Baza!$GX11,0,M$2)</f>
        <v>3.0608278050000002</v>
      </c>
      <c r="N13">
        <f ca="1">OFFSET(Baza!$GX11,0,N$2)</f>
        <v>2.698856884</v>
      </c>
      <c r="O13">
        <f ca="1">OFFSET(Baza!$GX11,0,O$2)</f>
        <v>6.6515573709999998E-2</v>
      </c>
      <c r="P13">
        <f ca="1">OFFSET(Baza!$GX11,0,P$2)</f>
        <v>3.280017102</v>
      </c>
      <c r="Q13">
        <f ca="1">OFFSET(Baza!$GX11,0,Q$2)</f>
        <v>13.85748476</v>
      </c>
      <c r="R13">
        <f ca="1">OFFSET(Baza!$GX11,0,R$2)</f>
        <v>0.74890878640000003</v>
      </c>
      <c r="S13">
        <f ca="1">OFFSET(Baza!$GX11,0,S$2)</f>
        <v>8.5687213989999993</v>
      </c>
      <c r="T13">
        <f ca="1">OFFSET(Baza!$GX11,0,T$2)</f>
        <v>155.00065860000001</v>
      </c>
    </row>
    <row r="14" spans="1:23" x14ac:dyDescent="0.2">
      <c r="A14" s="1" t="s">
        <v>252</v>
      </c>
      <c r="B14">
        <f>Baza!GX12</f>
        <v>1.559540688</v>
      </c>
      <c r="C14">
        <f ca="1">OFFSET(Baza!$GX12,0,C$2)</f>
        <v>1.3829309279999999</v>
      </c>
      <c r="D14">
        <f ca="1">OFFSET(Baza!$GX12,0,D$2)</f>
        <v>2.9424716169999998</v>
      </c>
      <c r="E14">
        <f ca="1">OFFSET(Baza!$GX12,0,E$2)</f>
        <v>1.3337942780000001</v>
      </c>
      <c r="F14">
        <f ca="1">OFFSET(Baza!$GX12,0,F$2)</f>
        <v>3.8722955259999998</v>
      </c>
      <c r="G14">
        <f ca="1">OFFSET(Baza!$GX12,0,G$2)</f>
        <v>0.41530750129999999</v>
      </c>
      <c r="H14">
        <f ca="1">OFFSET(Baza!$GX12,0,H$2)</f>
        <v>0.53186632970000003</v>
      </c>
      <c r="I14">
        <f ca="1">OFFSET(Baza!$GX12,0,I$2)</f>
        <v>0.1486276846</v>
      </c>
      <c r="J14">
        <f ca="1">OFFSET(Baza!$GX12,0,J$2)</f>
        <v>3.7148149789999998</v>
      </c>
      <c r="K14">
        <f ca="1">OFFSET(Baza!$GX12,0,K$2)</f>
        <v>1.989364613</v>
      </c>
      <c r="L14">
        <f ca="1">OFFSET(Baza!$GX12,0,L$2)</f>
        <v>1.882930913</v>
      </c>
      <c r="M14">
        <f ca="1">OFFSET(Baza!$GX12,0,M$2)</f>
        <v>3.659997368</v>
      </c>
      <c r="N14">
        <f ca="1">OFFSET(Baza!$GX12,0,N$2)</f>
        <v>3.2307224739999998</v>
      </c>
      <c r="O14">
        <f ca="1">OFFSET(Baza!$GX12,0,O$2)</f>
        <v>6.4062512129999999E-2</v>
      </c>
      <c r="P14">
        <f ca="1">OFFSET(Baza!$GX12,0,P$2)</f>
        <v>4.0099165640000001</v>
      </c>
      <c r="Q14">
        <f ca="1">OFFSET(Baza!$GX12,0,Q$2)</f>
        <v>4.7426783779999999</v>
      </c>
      <c r="R14">
        <f ca="1">OFFSET(Baza!$GX12,0,R$2)</f>
        <v>0.84044444600000001</v>
      </c>
      <c r="S14">
        <f ca="1">OFFSET(Baza!$GX12,0,S$2)</f>
        <v>8.0297209229999993</v>
      </c>
      <c r="T14">
        <f ca="1">OFFSET(Baza!$GX12,0,T$2)</f>
        <v>159.35192420000001</v>
      </c>
    </row>
    <row r="15" spans="1:23" x14ac:dyDescent="0.2">
      <c r="A15" s="1" t="s">
        <v>253</v>
      </c>
      <c r="B15">
        <f>Baza!GX13</f>
        <v>1.198589093</v>
      </c>
      <c r="C15">
        <f ca="1">OFFSET(Baza!$GX13,0,C$2)</f>
        <v>1.567300801</v>
      </c>
      <c r="D15">
        <f ca="1">OFFSET(Baza!$GX13,0,D$2)</f>
        <v>2.7658898939999998</v>
      </c>
      <c r="E15">
        <f ca="1">OFFSET(Baza!$GX13,0,E$2)</f>
        <v>1.294826711</v>
      </c>
      <c r="F15">
        <f ca="1">OFFSET(Baza!$GX13,0,F$2)</f>
        <v>3.5388916579999998</v>
      </c>
      <c r="G15">
        <f ca="1">OFFSET(Baza!$GX13,0,G$2)</f>
        <v>0.39858810030000003</v>
      </c>
      <c r="H15">
        <f ca="1">OFFSET(Baza!$GX13,0,H$2)</f>
        <v>0.50277829650000005</v>
      </c>
      <c r="I15">
        <f ca="1">OFFSET(Baza!$GX13,0,I$2)</f>
        <v>-0.30339828470000002</v>
      </c>
      <c r="J15">
        <f ca="1">OFFSET(Baza!$GX13,0,J$2)</f>
        <v>3.548315294</v>
      </c>
      <c r="K15">
        <f ca="1">OFFSET(Baza!$GX13,0,K$2)</f>
        <v>1.4602554720000001</v>
      </c>
      <c r="L15">
        <f ca="1">OFFSET(Baza!$GX13,0,L$2)</f>
        <v>2.0786361860000002</v>
      </c>
      <c r="M15">
        <f ca="1">OFFSET(Baza!$GX13,0,M$2)</f>
        <v>3.3736284209999998</v>
      </c>
      <c r="N15">
        <f ca="1">OFFSET(Baza!$GX13,0,N$2)</f>
        <v>3.0024845</v>
      </c>
      <c r="O15">
        <f ca="1">OFFSET(Baza!$GX13,0,O$2)</f>
        <v>6.1001854110000003E-2</v>
      </c>
      <c r="P15">
        <f ca="1">OFFSET(Baza!$GX13,0,P$2)</f>
        <v>6.1420032039999999</v>
      </c>
      <c r="Q15">
        <f ca="1">OFFSET(Baza!$GX13,0,Q$2)</f>
        <v>19.653260599999999</v>
      </c>
      <c r="R15">
        <f ca="1">OFFSET(Baza!$GX13,0,R$2)</f>
        <v>0.81045440700000004</v>
      </c>
      <c r="S15">
        <f ca="1">OFFSET(Baza!$GX13,0,S$2)</f>
        <v>7.3929688850000002</v>
      </c>
      <c r="T15">
        <f ca="1">OFFSET(Baza!$GX13,0,T$2)</f>
        <v>167.20972459999999</v>
      </c>
    </row>
    <row r="16" spans="1:23" x14ac:dyDescent="0.2">
      <c r="A16" s="1" t="s">
        <v>254</v>
      </c>
      <c r="B16">
        <f>Baza!GX14</f>
        <v>0.97780443959999996</v>
      </c>
      <c r="C16">
        <f ca="1">OFFSET(Baza!$GX14,0,C$2)</f>
        <v>1.5183578600000001</v>
      </c>
      <c r="D16">
        <f ca="1">OFFSET(Baza!$GX14,0,D$2)</f>
        <v>2.4961622999999999</v>
      </c>
      <c r="E16">
        <f ca="1">OFFSET(Baza!$GX14,0,E$2)</f>
        <v>1.1461469010000001</v>
      </c>
      <c r="F16">
        <f ca="1">OFFSET(Baza!$GX14,0,F$2)</f>
        <v>3.2424749259999999</v>
      </c>
      <c r="G16">
        <f ca="1">OFFSET(Baza!$GX14,0,G$2)</f>
        <v>0.37270675869999997</v>
      </c>
      <c r="H16">
        <f ca="1">OFFSET(Baza!$GX14,0,H$2)</f>
        <v>0.48350835920000002</v>
      </c>
      <c r="I16">
        <f ca="1">OFFSET(Baza!$GX14,0,I$2)</f>
        <v>-0.50836370019999999</v>
      </c>
      <c r="J16">
        <f ca="1">OFFSET(Baza!$GX14,0,J$2)</f>
        <v>4.1782222649999996</v>
      </c>
      <c r="K16">
        <f ca="1">OFFSET(Baza!$GX14,0,K$2)</f>
        <v>1.217795991</v>
      </c>
      <c r="L16">
        <f ca="1">OFFSET(Baza!$GX14,0,L$2)</f>
        <v>2.0246211199999999</v>
      </c>
      <c r="M16">
        <f ca="1">OFFSET(Baza!$GX14,0,M$2)</f>
        <v>3.062081337</v>
      </c>
      <c r="N16">
        <f ca="1">OFFSET(Baza!$GX14,0,N$2)</f>
        <v>2.599807974</v>
      </c>
      <c r="O16">
        <f ca="1">OFFSET(Baza!$GX14,0,O$2)</f>
        <v>6.810474825E-2</v>
      </c>
      <c r="P16">
        <f ca="1">OFFSET(Baza!$GX14,0,P$2)</f>
        <v>5.0693624509999999</v>
      </c>
      <c r="Q16">
        <f ca="1">OFFSET(Baza!$GX14,0,Q$2)</f>
        <v>35.187884480000001</v>
      </c>
      <c r="R16">
        <f ca="1">OFFSET(Baza!$GX14,0,R$2)</f>
        <v>0.73069357170000004</v>
      </c>
      <c r="S16">
        <f ca="1">OFFSET(Baza!$GX14,0,S$2)</f>
        <v>8.7417337669999995</v>
      </c>
      <c r="T16">
        <f ca="1">OFFSET(Baza!$GX14,0,T$2)</f>
        <v>155.5947663</v>
      </c>
    </row>
    <row r="17" spans="1:20" x14ac:dyDescent="0.2">
      <c r="A17" s="1" t="s">
        <v>255</v>
      </c>
      <c r="B17">
        <f>Baza!GX15</f>
        <v>1.117017594</v>
      </c>
      <c r="C17">
        <f ca="1">OFFSET(Baza!$GX15,0,C$2)</f>
        <v>1.5462866689999999</v>
      </c>
      <c r="D17">
        <f ca="1">OFFSET(Baza!$GX15,0,D$2)</f>
        <v>2.6633042630000001</v>
      </c>
      <c r="E17">
        <f ca="1">OFFSET(Baza!$GX15,0,E$2)</f>
        <v>1.171756483</v>
      </c>
      <c r="F17">
        <f ca="1">OFFSET(Baza!$GX15,0,F$2)</f>
        <v>3.3507751950000002</v>
      </c>
      <c r="G17">
        <f ca="1">OFFSET(Baza!$GX15,0,G$2)</f>
        <v>0.38993018779999999</v>
      </c>
      <c r="H17">
        <f ca="1">OFFSET(Baza!$GX15,0,H$2)</f>
        <v>0.50350919989999998</v>
      </c>
      <c r="I17">
        <f ca="1">OFFSET(Baza!$GX15,0,I$2)</f>
        <v>-0.44222037469999997</v>
      </c>
      <c r="J17">
        <f ca="1">OFFSET(Baza!$GX15,0,J$2)</f>
        <v>3.793770426</v>
      </c>
      <c r="K17">
        <f ca="1">OFFSET(Baza!$GX15,0,K$2)</f>
        <v>1.355938197</v>
      </c>
      <c r="L17">
        <f ca="1">OFFSET(Baza!$GX15,0,L$2)</f>
        <v>1.9943722239999999</v>
      </c>
      <c r="M17">
        <f ca="1">OFFSET(Baza!$GX15,0,M$2)</f>
        <v>3.2025759319999998</v>
      </c>
      <c r="N17">
        <f ca="1">OFFSET(Baza!$GX15,0,N$2)</f>
        <v>2.731574105</v>
      </c>
      <c r="O17">
        <f ca="1">OFFSET(Baza!$GX15,0,O$2)</f>
        <v>5.9032569780000002E-2</v>
      </c>
      <c r="P17">
        <f ca="1">OFFSET(Baza!$GX15,0,P$2)</f>
        <v>5.1258857750000004</v>
      </c>
      <c r="Q17">
        <f ca="1">OFFSET(Baza!$GX15,0,Q$2)</f>
        <v>25.353478089999999</v>
      </c>
      <c r="R17">
        <f ca="1">OFFSET(Baza!$GX15,0,R$2)</f>
        <v>0.77667201809999997</v>
      </c>
      <c r="S17">
        <f ca="1">OFFSET(Baza!$GX15,0,S$2)</f>
        <v>8.0222778609999992</v>
      </c>
      <c r="T17">
        <f ca="1">OFFSET(Baza!$GX15,0,T$2)</f>
        <v>178.93169639999999</v>
      </c>
    </row>
    <row r="18" spans="1:20" x14ac:dyDescent="0.2">
      <c r="A18" s="1" t="s">
        <v>256</v>
      </c>
      <c r="B18">
        <f>Baza!GX16</f>
        <v>0.97241026370000005</v>
      </c>
      <c r="C18">
        <f ca="1">OFFSET(Baza!$GX16,0,C$2)</f>
        <v>1.5037406630000001</v>
      </c>
      <c r="D18">
        <f ca="1">OFFSET(Baza!$GX16,0,D$2)</f>
        <v>2.4761509269999999</v>
      </c>
      <c r="E18">
        <f ca="1">OFFSET(Baza!$GX16,0,E$2)</f>
        <v>1.1153156420000001</v>
      </c>
      <c r="F18">
        <f ca="1">OFFSET(Baza!$GX16,0,F$2)</f>
        <v>3.2116771630000001</v>
      </c>
      <c r="G18">
        <f ca="1">OFFSET(Baza!$GX16,0,G$2)</f>
        <v>0.36974255519999999</v>
      </c>
      <c r="H18">
        <f ca="1">OFFSET(Baza!$GX16,0,H$2)</f>
        <v>0.47965346920000002</v>
      </c>
      <c r="I18">
        <f ca="1">OFFSET(Baza!$GX16,0,I$2)</f>
        <v>-0.50991487700000004</v>
      </c>
      <c r="J18">
        <f ca="1">OFFSET(Baza!$GX16,0,J$2)</f>
        <v>4.1922684620000004</v>
      </c>
      <c r="K18">
        <f ca="1">OFFSET(Baza!$GX16,0,K$2)</f>
        <v>1.202488534</v>
      </c>
      <c r="L18">
        <f ca="1">OFFSET(Baza!$GX16,0,L$2)</f>
        <v>2.0091886300000001</v>
      </c>
      <c r="M18">
        <f ca="1">OFFSET(Baza!$GX16,0,M$2)</f>
        <v>3.0522833469999999</v>
      </c>
      <c r="N18">
        <f ca="1">OFFSET(Baza!$GX16,0,N$2)</f>
        <v>2.562313311</v>
      </c>
      <c r="O18">
        <f ca="1">OFFSET(Baza!$GX16,0,O$2)</f>
        <v>6.4979121010000002E-2</v>
      </c>
      <c r="P18">
        <f ca="1">OFFSET(Baza!$GX16,0,P$2)</f>
        <v>5.0737079989999998</v>
      </c>
      <c r="Q18">
        <f ca="1">OFFSET(Baza!$GX16,0,Q$2)</f>
        <v>36.286331269999998</v>
      </c>
      <c r="R18">
        <f ca="1">OFFSET(Baza!$GX16,0,R$2)</f>
        <v>0.72337573200000005</v>
      </c>
      <c r="S18">
        <f ca="1">OFFSET(Baza!$GX16,0,S$2)</f>
        <v>8.6182951419999991</v>
      </c>
      <c r="T18">
        <f ca="1">OFFSET(Baza!$GX16,0,T$2)</f>
        <v>165.6356658</v>
      </c>
    </row>
    <row r="19" spans="1:20" x14ac:dyDescent="0.2">
      <c r="A1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2"/>
  <sheetViews>
    <sheetView workbookViewId="0">
      <selection activeCell="P20" sqref="P20"/>
    </sheetView>
  </sheetViews>
  <sheetFormatPr baseColWidth="10" defaultColWidth="8.83203125" defaultRowHeight="15" x14ac:dyDescent="0.2"/>
  <cols>
    <col min="1" max="1" width="11.33203125" bestFit="1" customWidth="1"/>
    <col min="4" max="4" width="18.6640625" bestFit="1" customWidth="1"/>
    <col min="10" max="10" width="5.5" bestFit="1" customWidth="1"/>
    <col min="11" max="11" width="12.5" bestFit="1" customWidth="1"/>
    <col min="12" max="12" width="11.5" bestFit="1" customWidth="1"/>
    <col min="13" max="13" width="7" bestFit="1" customWidth="1"/>
    <col min="14" max="14" width="14" bestFit="1" customWidth="1"/>
    <col min="15" max="15" width="12.83203125" bestFit="1" customWidth="1"/>
  </cols>
  <sheetData>
    <row r="1" spans="1:15" x14ac:dyDescent="0.2">
      <c r="B1" t="s">
        <v>258</v>
      </c>
      <c r="C1" t="s">
        <v>259</v>
      </c>
      <c r="D1" t="s">
        <v>260</v>
      </c>
      <c r="E1" t="s">
        <v>259</v>
      </c>
      <c r="F1" t="s">
        <v>261</v>
      </c>
      <c r="G1" t="s">
        <v>262</v>
      </c>
      <c r="H1" t="s">
        <v>263</v>
      </c>
      <c r="I1" t="s">
        <v>264</v>
      </c>
      <c r="J1" t="s">
        <v>265</v>
      </c>
      <c r="K1" t="s">
        <v>266</v>
      </c>
      <c r="L1" t="s">
        <v>267</v>
      </c>
      <c r="M1" t="s">
        <v>268</v>
      </c>
      <c r="N1" t="s">
        <v>269</v>
      </c>
      <c r="O1" t="s">
        <v>270</v>
      </c>
    </row>
    <row r="2" spans="1:15" x14ac:dyDescent="0.2">
      <c r="B2">
        <f>Baza!J1</f>
        <v>5</v>
      </c>
      <c r="C2">
        <f>Baza!K1</f>
        <v>5</v>
      </c>
      <c r="D2">
        <f>Baza!L1</f>
        <v>6</v>
      </c>
      <c r="E2">
        <f>Baza!M1</f>
        <v>6</v>
      </c>
      <c r="F2">
        <f>Baza!N1</f>
        <v>13</v>
      </c>
      <c r="G2">
        <f>Baza!O1</f>
        <v>13</v>
      </c>
      <c r="H2">
        <f>Baza!P1</f>
        <v>14</v>
      </c>
      <c r="I2">
        <f>Baza!Q1</f>
        <v>14</v>
      </c>
    </row>
    <row r="3" spans="1:15" x14ac:dyDescent="0.2">
      <c r="B3" t="str">
        <f>Baza!J2</f>
        <v>Amp</v>
      </c>
      <c r="C3" t="str">
        <f>Baza!K2</f>
        <v>Aev</v>
      </c>
      <c r="D3" t="str">
        <f>Baza!L2</f>
        <v>Amp</v>
      </c>
      <c r="E3" t="str">
        <f>Baza!M2</f>
        <v>Aev</v>
      </c>
      <c r="F3" t="str">
        <f>Baza!N2</f>
        <v>Amp</v>
      </c>
      <c r="G3" t="str">
        <f>Baza!O2</f>
        <v>Aev</v>
      </c>
      <c r="H3" t="str">
        <f>Baza!P2</f>
        <v>Amp</v>
      </c>
      <c r="I3" t="str">
        <f>Baza!Q2</f>
        <v>Aev</v>
      </c>
    </row>
    <row r="4" spans="1:15" x14ac:dyDescent="0.2">
      <c r="B4" t="str">
        <f>Baza!J3</f>
        <v>mm²</v>
      </c>
      <c r="C4" t="str">
        <f>Baza!K3</f>
        <v>mm²</v>
      </c>
      <c r="D4" t="str">
        <f>Baza!L3</f>
        <v>mm²</v>
      </c>
      <c r="E4" t="str">
        <f>Baza!M3</f>
        <v>mm²</v>
      </c>
      <c r="F4" t="str">
        <f>Baza!N3</f>
        <v>mm²</v>
      </c>
      <c r="G4" t="str">
        <f>Baza!O3</f>
        <v>mm²</v>
      </c>
      <c r="H4" t="str">
        <f>Baza!P3</f>
        <v>mm²</v>
      </c>
      <c r="I4" t="str">
        <f>Baza!Q3</f>
        <v>mm²</v>
      </c>
    </row>
    <row r="5" spans="1:15" x14ac:dyDescent="0.2">
      <c r="A5" s="1" t="s">
        <v>244</v>
      </c>
      <c r="B5">
        <f>Baza!J4</f>
        <v>32.387829680000003</v>
      </c>
      <c r="C5">
        <f>Baza!K4</f>
        <v>32.553624839999998</v>
      </c>
      <c r="D5">
        <f>Baza!L4</f>
        <v>32.553624839999998</v>
      </c>
      <c r="E5">
        <f>Baza!M4</f>
        <v>32.553624839999998</v>
      </c>
      <c r="F5">
        <f>Baza!N4</f>
        <v>32.34690793</v>
      </c>
      <c r="G5">
        <f>Baza!O4</f>
        <v>32.553624839999998</v>
      </c>
      <c r="H5">
        <f>Baza!P4</f>
        <v>31.932786629999999</v>
      </c>
      <c r="I5">
        <f>Baza!Q4</f>
        <v>32.553624839999998</v>
      </c>
      <c r="J5" s="4">
        <f>C5-B5</f>
        <v>0.16579515999999472</v>
      </c>
      <c r="K5" s="4">
        <f>G5-F5</f>
        <v>0.20671690999999726</v>
      </c>
      <c r="L5" s="4">
        <f>I5-H5</f>
        <v>0.62083820999999872</v>
      </c>
      <c r="M5" s="5">
        <f>(J5/C5)</f>
        <v>5.0929861364094635E-3</v>
      </c>
      <c r="N5" s="5">
        <f t="shared" ref="N5:O17" si="0">(K5/D5)</f>
        <v>6.3500427683861353E-3</v>
      </c>
      <c r="O5" s="5">
        <f t="shared" si="0"/>
        <v>1.9071246690695681E-2</v>
      </c>
    </row>
    <row r="6" spans="1:15" x14ac:dyDescent="0.2">
      <c r="A6" s="1" t="s">
        <v>245</v>
      </c>
      <c r="B6">
        <f>Baza!J5</f>
        <v>32.415308269999997</v>
      </c>
      <c r="C6">
        <f>Baza!K5</f>
        <v>32.553624839999998</v>
      </c>
      <c r="D6">
        <f>Baza!L5</f>
        <v>32.553624839999998</v>
      </c>
      <c r="E6">
        <f>Baza!M5</f>
        <v>32.553624839999998</v>
      </c>
      <c r="F6">
        <f>Baza!N5</f>
        <v>32.371971739999999</v>
      </c>
      <c r="G6">
        <f>Baza!O5</f>
        <v>32.553624839999998</v>
      </c>
      <c r="H6">
        <f>Baza!P5</f>
        <v>31.94214105</v>
      </c>
      <c r="I6">
        <f>Baza!Q5</f>
        <v>32.553624839999998</v>
      </c>
      <c r="J6" s="4">
        <f t="shared" ref="J6:J17" si="1">C6-B6</f>
        <v>0.13831657000000064</v>
      </c>
      <c r="K6" s="4">
        <f t="shared" ref="K6:K17" si="2">G6-F6</f>
        <v>0.18165309999999835</v>
      </c>
      <c r="L6" s="4">
        <f t="shared" ref="L6:L17" si="3">I6-H6</f>
        <v>0.61148378999999764</v>
      </c>
      <c r="M6" s="5">
        <f t="shared" ref="M6:M17" si="4">(J6/C6)</f>
        <v>4.2488838241462219E-3</v>
      </c>
      <c r="N6" s="5">
        <f t="shared" si="0"/>
        <v>5.5801189849922208E-3</v>
      </c>
      <c r="O6" s="5">
        <f t="shared" si="0"/>
        <v>1.8783892515976959E-2</v>
      </c>
    </row>
    <row r="7" spans="1:15" x14ac:dyDescent="0.2">
      <c r="A7" s="1" t="s">
        <v>246</v>
      </c>
      <c r="B7">
        <f>Baza!J6</f>
        <v>32.382373579999999</v>
      </c>
      <c r="C7">
        <f>Baza!K6</f>
        <v>32.553624839999998</v>
      </c>
      <c r="D7">
        <f>Baza!L6</f>
        <v>32.553624839999998</v>
      </c>
      <c r="E7">
        <f>Baza!M6</f>
        <v>32.553624839999998</v>
      </c>
      <c r="F7">
        <f>Baza!N6</f>
        <v>32.339421739999999</v>
      </c>
      <c r="G7">
        <f>Baza!O6</f>
        <v>32.553624839999998</v>
      </c>
      <c r="H7">
        <f>Baza!P6</f>
        <v>31.9016497</v>
      </c>
      <c r="I7">
        <f>Baza!Q6</f>
        <v>32.553624839999998</v>
      </c>
      <c r="J7" s="4">
        <f t="shared" si="1"/>
        <v>0.17125125999999824</v>
      </c>
      <c r="K7" s="4">
        <f t="shared" si="2"/>
        <v>0.21420309999999887</v>
      </c>
      <c r="L7" s="4">
        <f t="shared" si="3"/>
        <v>0.65197513999999757</v>
      </c>
      <c r="M7" s="5">
        <f t="shared" si="4"/>
        <v>5.2605895915337408E-3</v>
      </c>
      <c r="N7" s="5">
        <f t="shared" si="0"/>
        <v>6.5800076351804175E-3</v>
      </c>
      <c r="O7" s="5">
        <f t="shared" si="0"/>
        <v>2.0027727886047533E-2</v>
      </c>
    </row>
    <row r="8" spans="1:15" x14ac:dyDescent="0.2">
      <c r="A8" s="1" t="s">
        <v>247</v>
      </c>
      <c r="B8">
        <f>Baza!J7</f>
        <v>32.513674340000001</v>
      </c>
      <c r="C8">
        <f>Baza!K7</f>
        <v>32.553624839999998</v>
      </c>
      <c r="D8">
        <f>Baza!L7</f>
        <v>32.553624839999998</v>
      </c>
      <c r="E8">
        <f>Baza!M7</f>
        <v>32.553624839999998</v>
      </c>
      <c r="F8">
        <f>Baza!N7</f>
        <v>32.460598709999999</v>
      </c>
      <c r="G8">
        <f>Baza!O7</f>
        <v>32.553624839999998</v>
      </c>
      <c r="H8">
        <f>Baza!P7</f>
        <v>32.008402740000001</v>
      </c>
      <c r="I8">
        <f>Baza!Q7</f>
        <v>32.553624839999998</v>
      </c>
      <c r="J8" s="4">
        <f t="shared" si="1"/>
        <v>3.9950499999996225E-2</v>
      </c>
      <c r="K8" s="4">
        <f t="shared" si="2"/>
        <v>9.3026129999998375E-2</v>
      </c>
      <c r="L8" s="4">
        <f t="shared" si="3"/>
        <v>0.5452220999999966</v>
      </c>
      <c r="M8" s="5">
        <f t="shared" si="4"/>
        <v>1.2272212448337667E-3</v>
      </c>
      <c r="N8" s="5">
        <f t="shared" si="0"/>
        <v>2.8576273904125505E-3</v>
      </c>
      <c r="O8" s="5">
        <f t="shared" si="0"/>
        <v>1.6748429788686986E-2</v>
      </c>
    </row>
    <row r="9" spans="1:15" x14ac:dyDescent="0.2">
      <c r="A9" s="1" t="s">
        <v>248</v>
      </c>
      <c r="B9">
        <f>Baza!J8</f>
        <v>32.517092730000002</v>
      </c>
      <c r="C9">
        <f>Baza!K8</f>
        <v>32.553624839999998</v>
      </c>
      <c r="D9">
        <f>Baza!L8</f>
        <v>32.553624839999998</v>
      </c>
      <c r="E9">
        <f>Baza!M8</f>
        <v>32.553624839999998</v>
      </c>
      <c r="F9">
        <f>Baza!N8</f>
        <v>32.461728020000002</v>
      </c>
      <c r="G9">
        <f>Baza!O8</f>
        <v>32.553624839999998</v>
      </c>
      <c r="H9">
        <f>Baza!P8</f>
        <v>31.976465950000001</v>
      </c>
      <c r="I9">
        <f>Baza!Q8</f>
        <v>32.553624839999998</v>
      </c>
      <c r="J9" s="4">
        <f t="shared" si="1"/>
        <v>3.653210999999601E-2</v>
      </c>
      <c r="K9" s="4">
        <f t="shared" si="2"/>
        <v>9.1896819999995216E-2</v>
      </c>
      <c r="L9" s="4">
        <f t="shared" si="3"/>
        <v>0.57715888999999621</v>
      </c>
      <c r="M9" s="5">
        <f t="shared" si="4"/>
        <v>1.1222132766949959E-3</v>
      </c>
      <c r="N9" s="5">
        <f t="shared" si="0"/>
        <v>2.8229366299963548E-3</v>
      </c>
      <c r="O9" s="5">
        <f t="shared" si="0"/>
        <v>1.772948151969906E-2</v>
      </c>
    </row>
    <row r="10" spans="1:15" x14ac:dyDescent="0.2">
      <c r="A10" s="1" t="s">
        <v>249</v>
      </c>
      <c r="B10">
        <f>Baza!J9</f>
        <v>32.51691563</v>
      </c>
      <c r="C10">
        <f>Baza!K9</f>
        <v>32.553624839999998</v>
      </c>
      <c r="D10">
        <f>Baza!L9</f>
        <v>32.553624839999998</v>
      </c>
      <c r="E10">
        <f>Baza!M9</f>
        <v>32.553624839999998</v>
      </c>
      <c r="F10">
        <f>Baza!N9</f>
        <v>32.46284781</v>
      </c>
      <c r="G10">
        <f>Baza!O9</f>
        <v>32.553624839999998</v>
      </c>
      <c r="H10">
        <f>Baza!P9</f>
        <v>31.97062897</v>
      </c>
      <c r="I10">
        <f>Baza!Q9</f>
        <v>32.553624839999998</v>
      </c>
      <c r="J10" s="4">
        <f t="shared" si="1"/>
        <v>3.6709209999997938E-2</v>
      </c>
      <c r="K10" s="4">
        <f t="shared" si="2"/>
        <v>9.0777029999998149E-2</v>
      </c>
      <c r="L10" s="4">
        <f t="shared" si="3"/>
        <v>0.58299586999999775</v>
      </c>
      <c r="M10" s="5">
        <f t="shared" si="4"/>
        <v>1.1276535310713479E-3</v>
      </c>
      <c r="N10" s="5">
        <f t="shared" si="0"/>
        <v>2.7885383101317988E-3</v>
      </c>
      <c r="O10" s="5">
        <f t="shared" si="0"/>
        <v>1.7908785054365019E-2</v>
      </c>
    </row>
    <row r="11" spans="1:15" x14ac:dyDescent="0.2">
      <c r="A11" s="1" t="s">
        <v>250</v>
      </c>
      <c r="B11">
        <f>Baza!J10</f>
        <v>32.579758920000003</v>
      </c>
      <c r="C11">
        <f>Baza!K10</f>
        <v>32.616896619999999</v>
      </c>
      <c r="D11">
        <f>Baza!L10</f>
        <v>32.616896619999999</v>
      </c>
      <c r="E11">
        <f>Baza!M10</f>
        <v>32.616896619999999</v>
      </c>
      <c r="F11">
        <f>Baza!N10</f>
        <v>32.539033330000002</v>
      </c>
      <c r="G11">
        <f>Baza!O10</f>
        <v>32.616896619999999</v>
      </c>
      <c r="H11">
        <f>Baza!P10</f>
        <v>32.165605249999999</v>
      </c>
      <c r="I11">
        <f>Baza!Q10</f>
        <v>32.616896619999999</v>
      </c>
      <c r="J11" s="4">
        <f t="shared" si="1"/>
        <v>3.7137699999995277E-2</v>
      </c>
      <c r="K11" s="4">
        <f t="shared" si="2"/>
        <v>7.7863289999996255E-2</v>
      </c>
      <c r="L11" s="4">
        <f t="shared" si="3"/>
        <v>0.45129136999999986</v>
      </c>
      <c r="M11" s="5">
        <f t="shared" si="4"/>
        <v>1.1386031121435145E-3</v>
      </c>
      <c r="N11" s="5">
        <f t="shared" si="0"/>
        <v>2.387207186113841E-3</v>
      </c>
      <c r="O11" s="5">
        <f t="shared" si="0"/>
        <v>1.3836122279128095E-2</v>
      </c>
    </row>
    <row r="12" spans="1:15" x14ac:dyDescent="0.2">
      <c r="A12" s="1" t="s">
        <v>251</v>
      </c>
      <c r="B12">
        <f>Baza!J11</f>
        <v>32.582417460000002</v>
      </c>
      <c r="C12">
        <f>Baza!K11</f>
        <v>32.616896619999999</v>
      </c>
      <c r="D12">
        <f>Baza!L11</f>
        <v>32.616896619999999</v>
      </c>
      <c r="E12">
        <f>Baza!M11</f>
        <v>32.616896619999999</v>
      </c>
      <c r="F12">
        <f>Baza!N11</f>
        <v>32.542790709999998</v>
      </c>
      <c r="G12">
        <f>Baza!O11</f>
        <v>32.616896619999999</v>
      </c>
      <c r="H12">
        <f>Baza!P11</f>
        <v>32.171343200000003</v>
      </c>
      <c r="I12">
        <f>Baza!Q11</f>
        <v>32.616896619999999</v>
      </c>
      <c r="J12" s="4">
        <f t="shared" si="1"/>
        <v>3.4479159999996511E-2</v>
      </c>
      <c r="K12" s="4">
        <f t="shared" si="2"/>
        <v>7.4105910000000108E-2</v>
      </c>
      <c r="L12" s="4">
        <f t="shared" si="3"/>
        <v>0.44555341999999598</v>
      </c>
      <c r="M12" s="5">
        <f t="shared" si="4"/>
        <v>1.0570950511231227E-3</v>
      </c>
      <c r="N12" s="5">
        <f t="shared" si="0"/>
        <v>2.2720098378261992E-3</v>
      </c>
      <c r="O12" s="5">
        <f t="shared" si="0"/>
        <v>1.3660202722253838E-2</v>
      </c>
    </row>
    <row r="13" spans="1:15" x14ac:dyDescent="0.2">
      <c r="A13" s="1" t="s">
        <v>252</v>
      </c>
      <c r="B13">
        <f>Baza!J12</f>
        <v>32.581514779999999</v>
      </c>
      <c r="C13">
        <f>Baza!K12</f>
        <v>32.616896619999999</v>
      </c>
      <c r="D13">
        <f>Baza!L12</f>
        <v>32.616896619999999</v>
      </c>
      <c r="E13">
        <f>Baza!M12</f>
        <v>32.616896619999999</v>
      </c>
      <c r="F13">
        <f>Baza!N12</f>
        <v>32.541191009999999</v>
      </c>
      <c r="G13">
        <f>Baza!O12</f>
        <v>32.616896619999999</v>
      </c>
      <c r="H13">
        <f>Baza!P12</f>
        <v>32.1651101</v>
      </c>
      <c r="I13">
        <f>Baza!Q12</f>
        <v>32.616896619999999</v>
      </c>
      <c r="J13" s="4">
        <f t="shared" si="1"/>
        <v>3.5381839999999443E-2</v>
      </c>
      <c r="K13" s="4">
        <f t="shared" si="2"/>
        <v>7.5705609999999979E-2</v>
      </c>
      <c r="L13" s="4">
        <f t="shared" si="3"/>
        <v>0.45178651999999886</v>
      </c>
      <c r="M13" s="5">
        <f t="shared" si="4"/>
        <v>1.0847702775715344E-3</v>
      </c>
      <c r="N13" s="5">
        <f t="shared" si="0"/>
        <v>2.3210549698213434E-3</v>
      </c>
      <c r="O13" s="5">
        <f t="shared" si="0"/>
        <v>1.3851303061216831E-2</v>
      </c>
    </row>
    <row r="14" spans="1:15" x14ac:dyDescent="0.2">
      <c r="A14" s="1" t="s">
        <v>253</v>
      </c>
      <c r="B14">
        <f>Baza!J13</f>
        <v>32.57860866</v>
      </c>
      <c r="C14">
        <f>Baza!K13</f>
        <v>32.616896619999999</v>
      </c>
      <c r="D14">
        <f>Baza!L13</f>
        <v>32.616896619999999</v>
      </c>
      <c r="E14">
        <f>Baza!M13</f>
        <v>32.616896619999999</v>
      </c>
      <c r="F14">
        <f>Baza!N13</f>
        <v>32.529958860000001</v>
      </c>
      <c r="G14">
        <f>Baza!O13</f>
        <v>32.616896619999999</v>
      </c>
      <c r="H14">
        <f>Baza!P13</f>
        <v>32.127292529999998</v>
      </c>
      <c r="I14">
        <f>Baza!Q13</f>
        <v>32.616896619999999</v>
      </c>
      <c r="J14" s="4">
        <f t="shared" si="1"/>
        <v>3.8287959999998122E-2</v>
      </c>
      <c r="K14" s="4">
        <f t="shared" si="2"/>
        <v>8.6937759999997866E-2</v>
      </c>
      <c r="L14" s="4">
        <f t="shared" si="3"/>
        <v>0.48960409000000027</v>
      </c>
      <c r="M14" s="5">
        <f t="shared" si="4"/>
        <v>1.1738688829310863E-3</v>
      </c>
      <c r="N14" s="5">
        <f t="shared" si="0"/>
        <v>2.6654209630320698E-3</v>
      </c>
      <c r="O14" s="5">
        <f t="shared" si="0"/>
        <v>1.5010750277811081E-2</v>
      </c>
    </row>
    <row r="15" spans="1:15" x14ac:dyDescent="0.2">
      <c r="A15" s="1" t="s">
        <v>254</v>
      </c>
      <c r="B15">
        <f>Baza!J14</f>
        <v>32.59153002</v>
      </c>
      <c r="C15">
        <f>Baza!K14</f>
        <v>32.616896619999999</v>
      </c>
      <c r="D15">
        <f>Baza!L14</f>
        <v>32.616896619999999</v>
      </c>
      <c r="E15">
        <f>Baza!M14</f>
        <v>32.616896619999999</v>
      </c>
      <c r="F15">
        <f>Baza!N14</f>
        <v>32.555491150000002</v>
      </c>
      <c r="G15">
        <f>Baza!O14</f>
        <v>32.616896619999999</v>
      </c>
      <c r="H15">
        <f>Baza!P14</f>
        <v>32.207052609999998</v>
      </c>
      <c r="I15">
        <f>Baza!Q14</f>
        <v>32.616896619999999</v>
      </c>
      <c r="J15" s="4">
        <f t="shared" si="1"/>
        <v>2.536659999999813E-2</v>
      </c>
      <c r="K15" s="4">
        <f t="shared" si="2"/>
        <v>6.1405469999996853E-2</v>
      </c>
      <c r="L15" s="4">
        <f t="shared" si="3"/>
        <v>0.40984401000000048</v>
      </c>
      <c r="M15" s="5">
        <f t="shared" si="4"/>
        <v>7.777134745690018E-4</v>
      </c>
      <c r="N15" s="5">
        <f t="shared" si="0"/>
        <v>1.8826276060348521E-3</v>
      </c>
      <c r="O15" s="5">
        <f t="shared" si="0"/>
        <v>1.2565389490448723E-2</v>
      </c>
    </row>
    <row r="16" spans="1:15" x14ac:dyDescent="0.2">
      <c r="A16" s="1" t="s">
        <v>255</v>
      </c>
      <c r="B16">
        <f>Baza!J15</f>
        <v>32.602272739999997</v>
      </c>
      <c r="C16">
        <f>Baza!K15</f>
        <v>32.616896619999999</v>
      </c>
      <c r="D16">
        <f>Baza!L15</f>
        <v>32.616896619999999</v>
      </c>
      <c r="E16">
        <f>Baza!M15</f>
        <v>32.616896619999999</v>
      </c>
      <c r="F16">
        <f>Baza!N15</f>
        <v>32.565163599999998</v>
      </c>
      <c r="G16">
        <f>Baza!O15</f>
        <v>32.616896619999999</v>
      </c>
      <c r="H16">
        <f>Baza!P15</f>
        <v>32.198888449999998</v>
      </c>
      <c r="I16">
        <f>Baza!Q15</f>
        <v>32.616896619999999</v>
      </c>
      <c r="J16" s="4">
        <f t="shared" si="1"/>
        <v>1.4623880000002032E-2</v>
      </c>
      <c r="K16" s="4">
        <f t="shared" si="2"/>
        <v>5.1733020000000352E-2</v>
      </c>
      <c r="L16" s="4">
        <f t="shared" si="3"/>
        <v>0.41800817000000023</v>
      </c>
      <c r="M16" s="5">
        <f t="shared" si="4"/>
        <v>4.4835289421848231E-4</v>
      </c>
      <c r="N16" s="5">
        <f t="shared" si="0"/>
        <v>1.5860803865772671E-3</v>
      </c>
      <c r="O16" s="5">
        <f t="shared" si="0"/>
        <v>1.2815694113083902E-2</v>
      </c>
    </row>
    <row r="17" spans="1:15" x14ac:dyDescent="0.2">
      <c r="A17" s="1" t="s">
        <v>256</v>
      </c>
      <c r="B17">
        <f>Baza!J16</f>
        <v>32.579800820000003</v>
      </c>
      <c r="C17">
        <f>Baza!K16</f>
        <v>32.616896619999999</v>
      </c>
      <c r="D17">
        <f>Baza!L16</f>
        <v>32.616896619999999</v>
      </c>
      <c r="E17">
        <f>Baza!M16</f>
        <v>32.616896619999999</v>
      </c>
      <c r="F17">
        <f>Baza!N16</f>
        <v>32.544525620000002</v>
      </c>
      <c r="G17">
        <f>Baza!O16</f>
        <v>32.616896619999999</v>
      </c>
      <c r="H17">
        <f>Baza!P16</f>
        <v>32.193965570000003</v>
      </c>
      <c r="I17">
        <f>Baza!Q16</f>
        <v>32.616896619999999</v>
      </c>
      <c r="J17" s="4">
        <f t="shared" si="1"/>
        <v>3.7095799999995904E-2</v>
      </c>
      <c r="K17" s="4">
        <f t="shared" si="2"/>
        <v>7.2370999999996855E-2</v>
      </c>
      <c r="L17" s="4">
        <f t="shared" si="3"/>
        <v>0.42293104999999542</v>
      </c>
      <c r="M17" s="5">
        <f t="shared" si="4"/>
        <v>1.1373185018849874E-3</v>
      </c>
      <c r="N17" s="5">
        <f t="shared" si="0"/>
        <v>2.218819308383265E-3</v>
      </c>
      <c r="O17" s="5">
        <f t="shared" si="0"/>
        <v>1.296662447464922E-2</v>
      </c>
    </row>
    <row r="18" spans="1:15" x14ac:dyDescent="0.2">
      <c r="J18" s="4"/>
      <c r="K18" s="4"/>
      <c r="L18" s="4"/>
      <c r="M18" s="5"/>
      <c r="N18" s="5"/>
      <c r="O18" s="5"/>
    </row>
    <row r="19" spans="1:15" x14ac:dyDescent="0.2">
      <c r="A19" s="1"/>
    </row>
    <row r="21" spans="1:15" x14ac:dyDescent="0.2">
      <c r="B21" t="s">
        <v>271</v>
      </c>
    </row>
    <row r="22" spans="1:15" x14ac:dyDescent="0.2">
      <c r="B22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8</vt:i4>
      </vt:variant>
    </vt:vector>
  </HeadingPairs>
  <TitlesOfParts>
    <vt:vector size="8" baseType="lpstr">
      <vt:lpstr>Baza</vt:lpstr>
      <vt:lpstr>Par_S_005</vt:lpstr>
      <vt:lpstr>Par_S_05</vt:lpstr>
      <vt:lpstr>Par_P_005</vt:lpstr>
      <vt:lpstr>Par_P_05</vt:lpstr>
      <vt:lpstr>Par_R_005</vt:lpstr>
      <vt:lpstr>Par_R_05</vt:lpstr>
      <vt:lpstr>Punty 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Niesłony</dc:creator>
  <cp:lastModifiedBy>Dawid Kucharski</cp:lastModifiedBy>
  <dcterms:created xsi:type="dcterms:W3CDTF">2025-02-17T10:03:57Z</dcterms:created>
  <dcterms:modified xsi:type="dcterms:W3CDTF">2025-09-02T12:23:03Z</dcterms:modified>
</cp:coreProperties>
</file>